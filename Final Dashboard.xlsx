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heik\Downloads\"/>
    </mc:Choice>
  </mc:AlternateContent>
  <xr:revisionPtr revIDLastSave="0" documentId="13_ncr:1_{B1AE2F5B-E049-478F-8D6A-B63EC5A85A90}" xr6:coauthVersionLast="47" xr6:coauthVersionMax="47" xr10:uidLastSave="{00000000-0000-0000-0000-000000000000}"/>
  <bookViews>
    <workbookView xWindow="-108" yWindow="-108" windowWidth="23256" windowHeight="13896" activeTab="4" xr2:uid="{CEB3923A-DD06-4EB6-8AA7-53AF723F10BB}"/>
  </bookViews>
  <sheets>
    <sheet name="Dataset" sheetId="2" r:id="rId1"/>
    <sheet name="KPI" sheetId="3" r:id="rId2"/>
    <sheet name="Slicers" sheetId="7" r:id="rId3"/>
    <sheet name="Analayz" sheetId="9" r:id="rId4"/>
    <sheet name="Dashboard" sheetId="8" r:id="rId5"/>
  </sheets>
  <definedNames>
    <definedName name="_xlcn.WorksheetConnection_Book1discount_impact_on_profit_2000_rows1" hidden="1">discount_impact_on_profit_2000_rows[]</definedName>
    <definedName name="ExternalData_1" localSheetId="0" hidden="1">Dataset!$A$1:$J$2001</definedName>
    <definedName name="Slicer_order_date__Month">#N/A</definedName>
    <definedName name="Slicer_order_date__Year">#N/A</definedName>
    <definedName name="Slicer_product_category">#N/A</definedName>
    <definedName name="Slicer_region">#N/A</definedName>
  </definedNames>
  <calcPr calcId="191029"/>
  <pivotCaches>
    <pivotCache cacheId="0" r:id="rId6"/>
    <pivotCache cacheId="624" r:id="rId7"/>
    <pivotCache cacheId="627" r:id="rId8"/>
    <pivotCache cacheId="630" r:id="rId9"/>
    <pivotCache cacheId="633" r:id="rId10"/>
    <pivotCache cacheId="636" r:id="rId11"/>
    <pivotCache cacheId="639" r:id="rId12"/>
    <pivotCache cacheId="642" r:id="rId13"/>
    <pivotCache cacheId="645" r:id="rId14"/>
    <pivotCache cacheId="648" r:id="rId15"/>
    <pivotCache cacheId="651" r:id="rId16"/>
    <pivotCache cacheId="65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scount_impact_on_profit_2000_rows" name="discount_impact_on_profit_2000_rows" connection="WorksheetConnection_Book1!discount_impact_on_profit_2000_rows"/>
        </x15:modelTables>
        <x15:extLst>
          <ext xmlns:x16="http://schemas.microsoft.com/office/spreadsheetml/2014/11/main" uri="{9835A34E-60A6-4A7C-AAB8-D5F71C897F49}">
            <x16:modelTimeGroupings>
              <x16:modelTimeGrouping tableName="discount_impact_on_profit_2000_row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M46"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4F3A83-EDDC-4F89-9D97-13F02038F363}" keepAlive="1" name="Query - discount_impact_on_profit_2000_rows" description="Connection to the 'discount_impact_on_profit_2000_rows' query in the workbook." type="5" refreshedVersion="8" background="1" saveData="1">
    <dbPr connection="Provider=Microsoft.Mashup.OleDb.1;Data Source=$Workbook$;Location=discount_impact_on_profit_2000_rows;Extended Properties=&quot;&quot;" command="SELECT * FROM [discount_impact_on_profit_2000_rows]"/>
  </connection>
  <connection id="2" xr16:uid="{7F275DA2-9A3E-47D2-B702-CC4195011D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4E30C53-49B6-49B3-8701-144B1AB5B6BF}" name="WorksheetConnection_Book1!discount_impact_on_profit_2000_rows" type="102" refreshedVersion="8" minRefreshableVersion="5">
    <extLst>
      <ext xmlns:x15="http://schemas.microsoft.com/office/spreadsheetml/2010/11/main" uri="{DE250136-89BD-433C-8126-D09CA5730AF9}">
        <x15:connection id="discount_impact_on_profit_2000_rows" autoDelete="1">
          <x15:rangePr sourceName="_xlcn.WorksheetConnection_Book1discount_impact_on_profit_2000_rows1"/>
        </x15:connection>
      </ext>
    </extLst>
  </connection>
</connections>
</file>

<file path=xl/sharedStrings.xml><?xml version="1.0" encoding="utf-8"?>
<sst xmlns="http://schemas.openxmlformats.org/spreadsheetml/2006/main" count="8159" uniqueCount="2104">
  <si>
    <t>order date</t>
  </si>
  <si>
    <t>order id</t>
  </si>
  <si>
    <t>product category</t>
  </si>
  <si>
    <t>product name</t>
  </si>
  <si>
    <t>Cost of products</t>
  </si>
  <si>
    <t>region</t>
  </si>
  <si>
    <t>sales</t>
  </si>
  <si>
    <t>profit</t>
  </si>
  <si>
    <t>Discount %</t>
  </si>
  <si>
    <t>quantity sold</t>
  </si>
  <si>
    <t>ORD-000001</t>
  </si>
  <si>
    <t>Beauty &amp; Personal Care</t>
  </si>
  <si>
    <t>Makeup Brush Set</t>
  </si>
  <si>
    <t>Central</t>
  </si>
  <si>
    <t>ORD-000002</t>
  </si>
  <si>
    <t>Home Appliances</t>
  </si>
  <si>
    <t>Induction Cooktop</t>
  </si>
  <si>
    <t>ORD-000003</t>
  </si>
  <si>
    <t>Office Supplies</t>
  </si>
  <si>
    <t>Whiteboard Markers</t>
  </si>
  <si>
    <t>ORD-000004</t>
  </si>
  <si>
    <t>Electronics</t>
  </si>
  <si>
    <t>Wireless Headphones</t>
  </si>
  <si>
    <t>East</t>
  </si>
  <si>
    <t>ORD-000005</t>
  </si>
  <si>
    <t>Electric Trimmer</t>
  </si>
  <si>
    <t>South</t>
  </si>
  <si>
    <t>ORD-000006</t>
  </si>
  <si>
    <t>Air Fryer</t>
  </si>
  <si>
    <t>ORD-000007</t>
  </si>
  <si>
    <t>Hair Care Kit</t>
  </si>
  <si>
    <t>North</t>
  </si>
  <si>
    <t>ORD-000008</t>
  </si>
  <si>
    <t>Furniture</t>
  </si>
  <si>
    <t>Filing Cabinet</t>
  </si>
  <si>
    <t>ORD-000009</t>
  </si>
  <si>
    <t>West</t>
  </si>
  <si>
    <t>ORD-000010</t>
  </si>
  <si>
    <t>Hair Dryer</t>
  </si>
  <si>
    <t>ORD-000011</t>
  </si>
  <si>
    <t>Electric Kettle</t>
  </si>
  <si>
    <t>ORD-000012</t>
  </si>
  <si>
    <t>Stapler</t>
  </si>
  <si>
    <t>ORD-000013</t>
  </si>
  <si>
    <t>Study Desk</t>
  </si>
  <si>
    <t>ORD-000014</t>
  </si>
  <si>
    <t>Computer Monitor</t>
  </si>
  <si>
    <t>ORD-000015</t>
  </si>
  <si>
    <t>ORD-000016</t>
  </si>
  <si>
    <t>ORD-000017</t>
  </si>
  <si>
    <t>Ballpoint Pen Box</t>
  </si>
  <si>
    <t>ORD-000018</t>
  </si>
  <si>
    <t>ORD-000019</t>
  </si>
  <si>
    <t>Clothing</t>
  </si>
  <si>
    <t>Jeans</t>
  </si>
  <si>
    <t>ORD-000020</t>
  </si>
  <si>
    <t>ORD-000021</t>
  </si>
  <si>
    <t>Keyboard and Mouse Set</t>
  </si>
  <si>
    <t>ORD-000022</t>
  </si>
  <si>
    <t>Casual Dress</t>
  </si>
  <si>
    <t>ORD-000023</t>
  </si>
  <si>
    <t>ORD-000024</t>
  </si>
  <si>
    <t>ORD-000025</t>
  </si>
  <si>
    <t>ORD-000026</t>
  </si>
  <si>
    <t>Skincare Gift Set</t>
  </si>
  <si>
    <t>ORD-000027</t>
  </si>
  <si>
    <t>ORD-000028</t>
  </si>
  <si>
    <t>ORD-000029</t>
  </si>
  <si>
    <t>ORD-000030</t>
  </si>
  <si>
    <t>ORD-000031</t>
  </si>
  <si>
    <t>Cotton T-Shirt</t>
  </si>
  <si>
    <t>ORD-000032</t>
  </si>
  <si>
    <t>ORD-000033</t>
  </si>
  <si>
    <t>ORD-000034</t>
  </si>
  <si>
    <t>ORD-000035</t>
  </si>
  <si>
    <t>ORD-000036</t>
  </si>
  <si>
    <t>Vacuum Cleaner</t>
  </si>
  <si>
    <t>ORD-000037</t>
  </si>
  <si>
    <t>Jacket</t>
  </si>
  <si>
    <t>ORD-000038</t>
  </si>
  <si>
    <t>Face Moisturizer</t>
  </si>
  <si>
    <t>ORD-000039</t>
  </si>
  <si>
    <t>Power Bank</t>
  </si>
  <si>
    <t>ORD-000040</t>
  </si>
  <si>
    <t>Ceiling Fan</t>
  </si>
  <si>
    <t>ORD-000041</t>
  </si>
  <si>
    <t>Room Heater</t>
  </si>
  <si>
    <t>ORD-000042</t>
  </si>
  <si>
    <t>File Folders</t>
  </si>
  <si>
    <t>ORD-000043</t>
  </si>
  <si>
    <t>ORD-000044</t>
  </si>
  <si>
    <t>ORD-000045</t>
  </si>
  <si>
    <t>Office Chair</t>
  </si>
  <si>
    <t>ORD-000046</t>
  </si>
  <si>
    <t>ORD-000047</t>
  </si>
  <si>
    <t>Formal Shirt</t>
  </si>
  <si>
    <t>ORD-000048</t>
  </si>
  <si>
    <t>Smartwatch</t>
  </si>
  <si>
    <t>ORD-000049</t>
  </si>
  <si>
    <t>Mixer Grinder</t>
  </si>
  <si>
    <t>ORD-000050</t>
  </si>
  <si>
    <t>ORD-000051</t>
  </si>
  <si>
    <t>Ergonomic Chair</t>
  </si>
  <si>
    <t>ORD-000052</t>
  </si>
  <si>
    <t>Desk Organizer</t>
  </si>
  <si>
    <t>ORD-000053</t>
  </si>
  <si>
    <t>ORD-000054</t>
  </si>
  <si>
    <t>ORD-000055</t>
  </si>
  <si>
    <t>ORD-000056</t>
  </si>
  <si>
    <t>Bluetooth Speaker</t>
  </si>
  <si>
    <t>ORD-000057</t>
  </si>
  <si>
    <t>ORD-000058</t>
  </si>
  <si>
    <t>ORD-000059</t>
  </si>
  <si>
    <t>Backpack</t>
  </si>
  <si>
    <t>ORD-000060</t>
  </si>
  <si>
    <t>ORD-000061</t>
  </si>
  <si>
    <t>ORD-000062</t>
  </si>
  <si>
    <t>ORD-000063</t>
  </si>
  <si>
    <t>ORD-000064</t>
  </si>
  <si>
    <t>ORD-000065</t>
  </si>
  <si>
    <t>ORD-000066</t>
  </si>
  <si>
    <t>ORD-000067</t>
  </si>
  <si>
    <t>ORD-000068</t>
  </si>
  <si>
    <t>Router</t>
  </si>
  <si>
    <t>ORD-000069</t>
  </si>
  <si>
    <t>ORD-000070</t>
  </si>
  <si>
    <t>ORD-000071</t>
  </si>
  <si>
    <t>ORD-000072</t>
  </si>
  <si>
    <t>ORD-000073</t>
  </si>
  <si>
    <t>ORD-000074</t>
  </si>
  <si>
    <t>ORD-000075</t>
  </si>
  <si>
    <t>ORD-000076</t>
  </si>
  <si>
    <t>ORD-000077</t>
  </si>
  <si>
    <t>ORD-000078</t>
  </si>
  <si>
    <t>ORD-000079</t>
  </si>
  <si>
    <t>ORD-000080</t>
  </si>
  <si>
    <t>ORD-000081</t>
  </si>
  <si>
    <t>ORD-000082</t>
  </si>
  <si>
    <t>ORD-000083</t>
  </si>
  <si>
    <t>ORD-000084</t>
  </si>
  <si>
    <t>Printer Paper Pack</t>
  </si>
  <si>
    <t>ORD-000085</t>
  </si>
  <si>
    <t>ORD-000086</t>
  </si>
  <si>
    <t>ORD-000087</t>
  </si>
  <si>
    <t>ORD-000088</t>
  </si>
  <si>
    <t>ORD-000089</t>
  </si>
  <si>
    <t>ORD-000090</t>
  </si>
  <si>
    <t>ORD-000091</t>
  </si>
  <si>
    <t>ORD-000092</t>
  </si>
  <si>
    <t>ORD-000093</t>
  </si>
  <si>
    <t>ORD-000094</t>
  </si>
  <si>
    <t>ORD-000095</t>
  </si>
  <si>
    <t>Running Shoes</t>
  </si>
  <si>
    <t>ORD-000096</t>
  </si>
  <si>
    <t>Webcam</t>
  </si>
  <si>
    <t>ORD-000097</t>
  </si>
  <si>
    <t>ORD-000098</t>
  </si>
  <si>
    <t>ORD-000099</t>
  </si>
  <si>
    <t>ORD-000100</t>
  </si>
  <si>
    <t>ORD-000101</t>
  </si>
  <si>
    <t>ORD-000102</t>
  </si>
  <si>
    <t>ORD-000103</t>
  </si>
  <si>
    <t>ORD-000104</t>
  </si>
  <si>
    <t>ORD-000105</t>
  </si>
  <si>
    <t>ORD-000106</t>
  </si>
  <si>
    <t>ORD-000107</t>
  </si>
  <si>
    <t>ORD-000108</t>
  </si>
  <si>
    <t>ORD-000109</t>
  </si>
  <si>
    <t>ORD-000110</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</si>
  <si>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</si>
  <si>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</si>
  <si>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</si>
  <si>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</si>
  <si>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</si>
  <si>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</si>
  <si>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</si>
  <si>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</si>
  <si>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</si>
  <si>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</si>
  <si>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</si>
  <si>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</si>
  <si>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</si>
  <si>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</si>
  <si>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</si>
  <si>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</si>
  <si>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</si>
  <si>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</si>
  <si>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</si>
  <si>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Notebook Set</t>
  </si>
  <si>
    <t>ORD-000130</t>
  </si>
  <si>
    <t>ORD-000131</t>
  </si>
  <si>
    <t>ORD-000132</t>
  </si>
  <si>
    <t>ORD-000133</t>
  </si>
  <si>
    <t>ORD-000134</t>
  </si>
  <si>
    <t>ORD-000135</t>
  </si>
  <si>
    <t>ORD-000136</t>
  </si>
  <si>
    <t>ORD-000137</t>
  </si>
  <si>
    <t>Bookshelf</t>
  </si>
  <si>
    <t>ORD-000138</t>
  </si>
  <si>
    <t>ORD-000139</t>
  </si>
  <si>
    <t>ORD-000140</t>
  </si>
  <si>
    <t>ORD-000141</t>
  </si>
  <si>
    <t>ORD-000142</t>
  </si>
  <si>
    <t>Coffee Table</t>
  </si>
  <si>
    <t>ORD-000143</t>
  </si>
  <si>
    <t>ORD-000144</t>
  </si>
  <si>
    <t>ORD-000145</t>
  </si>
  <si>
    <t>Perfume</t>
  </si>
  <si>
    <t>ORD-000146</t>
  </si>
  <si>
    <t>ORD-000147</t>
  </si>
  <si>
    <t>ORD-000148</t>
  </si>
  <si>
    <t>ORD-000149</t>
  </si>
  <si>
    <t>ORD-000150</t>
  </si>
  <si>
    <t>ORD-000151</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</si>
  <si>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</si>
  <si>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</si>
  <si>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</si>
  <si>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</si>
  <si>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</si>
  <si>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</si>
  <si>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</si>
  <si>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</si>
  <si>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</si>
  <si>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</si>
  <si>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</si>
  <si>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</si>
  <si>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</si>
  <si>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</si>
  <si>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</si>
  <si>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</si>
  <si>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</si>
  <si>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</si>
  <si>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</si>
  <si>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</si>
  <si>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</si>
  <si>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</si>
  <si>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</si>
  <si>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</si>
  <si>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</si>
  <si>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</si>
  <si>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</si>
  <si>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</si>
  <si>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</si>
  <si>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</si>
  <si>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</si>
  <si>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</si>
  <si>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</si>
  <si>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</si>
  <si>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</si>
  <si>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</si>
  <si>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</si>
  <si>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</si>
  <si>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</si>
  <si>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</si>
  <si>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</si>
  <si>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</si>
  <si>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</si>
  <si>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</si>
  <si>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</si>
  <si>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</si>
  <si>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</si>
  <si>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</si>
  <si>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</si>
  <si>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</si>
  <si>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</si>
  <si>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</si>
  <si>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</si>
  <si>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</si>
  <si>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</si>
  <si>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</si>
  <si>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</si>
  <si>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</si>
  <si>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</si>
  <si>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Side Table</t>
  </si>
  <si>
    <t>ORD-000211</t>
  </si>
  <si>
    <t>ORD-000212</t>
  </si>
  <si>
    <t>ORD-000213</t>
  </si>
  <si>
    <t>ORD-000214</t>
  </si>
  <si>
    <t>ORD-000215</t>
  </si>
  <si>
    <t>ORD-000216</t>
  </si>
  <si>
    <t>ORD-000217</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</si>
  <si>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</si>
  <si>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</si>
  <si>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</si>
  <si>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</si>
  <si>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</si>
  <si>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</si>
  <si>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</si>
  <si>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</si>
  <si>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</si>
  <si>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</si>
  <si>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</si>
  <si>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</si>
  <si>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</si>
  <si>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</si>
  <si>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</si>
  <si>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</si>
  <si>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</si>
  <si>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</si>
  <si>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</si>
  <si>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</si>
  <si>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</si>
  <si>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</si>
  <si>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</si>
  <si>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</si>
  <si>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</si>
  <si>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</si>
  <si>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</si>
  <si>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</si>
  <si>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</si>
  <si>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</si>
  <si>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</si>
  <si>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</si>
  <si>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</si>
  <si>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</si>
  <si>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</si>
  <si>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</si>
  <si>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</si>
  <si>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</si>
  <si>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</si>
  <si>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</si>
  <si>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</si>
  <si>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</si>
  <si>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</si>
  <si>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</si>
  <si>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</si>
  <si>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</si>
  <si>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</si>
  <si>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</si>
  <si>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</si>
  <si>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</si>
  <si>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</si>
  <si>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</si>
  <si>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</si>
  <si>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</si>
  <si>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</si>
  <si>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</si>
  <si>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</si>
  <si>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</si>
  <si>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</si>
  <si>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</si>
  <si>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</si>
  <si>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</si>
  <si>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</si>
  <si>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</si>
  <si>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</si>
  <si>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</si>
  <si>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</si>
  <si>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</si>
  <si>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</si>
  <si>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</si>
  <si>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</si>
  <si>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</si>
  <si>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</si>
  <si>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</si>
  <si>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</si>
  <si>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</si>
  <si>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</si>
  <si>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</si>
  <si>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</si>
  <si>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</si>
  <si>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</si>
  <si>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</si>
  <si>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</si>
  <si>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</si>
  <si>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</si>
  <si>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</si>
  <si>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</si>
  <si>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</si>
  <si>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ORD-000306</t>
  </si>
  <si>
    <t>ORD-000307</t>
  </si>
  <si>
    <t>ORD-000308</t>
  </si>
  <si>
    <t>ORD-000309</t>
  </si>
  <si>
    <t>ORD-000310</t>
  </si>
  <si>
    <t>ORD-000311</t>
  </si>
  <si>
    <t>ORD-000312</t>
  </si>
  <si>
    <t>ORD-000313</t>
  </si>
  <si>
    <t>ORD-000314</t>
  </si>
  <si>
    <t>ORD-000315</t>
  </si>
  <si>
    <t>ORD-000316</t>
  </si>
  <si>
    <t>ORD-000317</t>
  </si>
  <si>
    <t>ORD-000318</t>
  </si>
  <si>
    <t>ORD-000319</t>
  </si>
  <si>
    <t>ORD-000320</t>
  </si>
  <si>
    <t>ORD-000321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</si>
  <si>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</si>
  <si>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</si>
  <si>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</si>
  <si>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</si>
  <si>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</si>
  <si>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</si>
  <si>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</si>
  <si>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</si>
  <si>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</si>
  <si>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</si>
  <si>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</si>
  <si>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</si>
  <si>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</si>
  <si>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</si>
  <si>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</si>
  <si>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</si>
  <si>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</si>
  <si>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</si>
  <si>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</si>
  <si>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</si>
  <si>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</si>
  <si>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</si>
  <si>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</si>
  <si>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</si>
  <si>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</si>
  <si>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</si>
  <si>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</si>
  <si>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</si>
  <si>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</si>
  <si>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</si>
  <si>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</si>
  <si>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</si>
  <si>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</si>
  <si>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</si>
  <si>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</si>
  <si>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</si>
  <si>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</si>
  <si>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</si>
  <si>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</si>
  <si>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</si>
  <si>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</si>
  <si>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</si>
  <si>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</si>
  <si>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</si>
  <si>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</si>
  <si>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</si>
  <si>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</si>
  <si>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</si>
  <si>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</si>
  <si>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</si>
  <si>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</si>
  <si>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</si>
  <si>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</si>
  <si>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</si>
  <si>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</si>
  <si>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</si>
  <si>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</si>
  <si>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</si>
  <si>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</si>
  <si>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</si>
  <si>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</si>
  <si>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</si>
  <si>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</si>
  <si>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</si>
  <si>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</si>
  <si>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</si>
  <si>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</si>
  <si>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</si>
  <si>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</si>
  <si>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</si>
  <si>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</si>
  <si>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</si>
  <si>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</si>
  <si>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</si>
  <si>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</si>
  <si>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</si>
  <si>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</si>
  <si>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</si>
  <si>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</si>
  <si>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</si>
  <si>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</si>
  <si>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</si>
  <si>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</si>
  <si>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</si>
  <si>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</si>
  <si>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</si>
  <si>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</si>
  <si>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</si>
  <si>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</si>
  <si>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</si>
  <si>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</si>
  <si>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</si>
  <si>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</si>
  <si>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</si>
  <si>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</si>
  <si>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</si>
  <si>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</si>
  <si>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</si>
  <si>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</si>
  <si>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</si>
  <si>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</si>
  <si>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</si>
  <si>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</si>
  <si>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</si>
  <si>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</si>
  <si>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</si>
  <si>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</si>
  <si>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</si>
  <si>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</si>
  <si>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</si>
  <si>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</si>
  <si>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</si>
  <si>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</si>
  <si>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</si>
  <si>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</si>
  <si>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</si>
  <si>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</si>
  <si>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</si>
  <si>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</si>
  <si>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</si>
  <si>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</si>
  <si>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</si>
  <si>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</si>
  <si>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</si>
  <si>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</si>
  <si>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</si>
  <si>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</si>
  <si>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</si>
  <si>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</si>
  <si>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</si>
  <si>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</si>
  <si>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</si>
  <si>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</si>
  <si>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</si>
  <si>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</si>
  <si>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</si>
  <si>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</si>
  <si>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</si>
  <si>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</si>
  <si>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</si>
  <si>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</si>
  <si>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</si>
  <si>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</si>
  <si>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</si>
  <si>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</si>
  <si>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</si>
  <si>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</si>
  <si>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</si>
  <si>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</si>
  <si>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</si>
  <si>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</si>
  <si>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</si>
  <si>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</si>
  <si>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</si>
  <si>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</si>
  <si>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</si>
  <si>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</si>
  <si>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</si>
  <si>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</si>
  <si>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</si>
  <si>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</si>
  <si>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</si>
  <si>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</si>
  <si>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</si>
  <si>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</si>
  <si>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</si>
  <si>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</si>
  <si>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</si>
  <si>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</si>
  <si>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</si>
  <si>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</si>
  <si>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</si>
  <si>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</si>
  <si>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</si>
  <si>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</si>
  <si>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</si>
  <si>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</si>
  <si>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</si>
  <si>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</si>
  <si>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</si>
  <si>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</si>
  <si>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</si>
  <si>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</si>
  <si>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</si>
  <si>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</si>
  <si>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</si>
  <si>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</si>
  <si>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</si>
  <si>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</si>
  <si>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</si>
  <si>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</si>
  <si>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</si>
  <si>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</si>
  <si>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</si>
  <si>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</si>
  <si>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</si>
  <si>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</si>
  <si>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</si>
  <si>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</si>
  <si>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</si>
  <si>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</si>
  <si>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</si>
  <si>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</si>
  <si>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</si>
  <si>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</si>
  <si>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</si>
  <si>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</si>
  <si>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</si>
  <si>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</si>
  <si>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</si>
  <si>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</si>
  <si>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</si>
  <si>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</si>
  <si>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</si>
  <si>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</si>
  <si>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</si>
  <si>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</si>
  <si>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</si>
  <si>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</si>
  <si>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</si>
  <si>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</si>
  <si>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</si>
  <si>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</si>
  <si>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</si>
  <si>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</si>
  <si>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</si>
  <si>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</si>
  <si>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</si>
  <si>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</si>
  <si>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</si>
  <si>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</si>
  <si>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</si>
  <si>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</si>
  <si>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</si>
  <si>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</si>
  <si>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</si>
  <si>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</si>
  <si>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</si>
  <si>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</si>
  <si>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</si>
  <si>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</si>
  <si>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</si>
  <si>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</si>
  <si>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</si>
  <si>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</si>
  <si>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</si>
  <si>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</si>
  <si>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</si>
  <si>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</si>
  <si>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</si>
  <si>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</si>
  <si>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</si>
  <si>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</si>
  <si>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</si>
  <si>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</si>
  <si>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</si>
  <si>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</si>
  <si>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</si>
  <si>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</si>
  <si>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</si>
  <si>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</si>
  <si>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</si>
  <si>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</si>
  <si>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</si>
  <si>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</si>
  <si>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</si>
  <si>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</si>
  <si>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</si>
  <si>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</si>
  <si>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</si>
  <si>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</si>
  <si>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</si>
  <si>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</si>
  <si>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</si>
  <si>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</si>
  <si>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</si>
  <si>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</si>
  <si>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</si>
  <si>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</si>
  <si>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</si>
  <si>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</si>
  <si>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</si>
  <si>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</si>
  <si>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</si>
  <si>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</si>
  <si>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</si>
  <si>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</si>
  <si>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</si>
  <si>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</si>
  <si>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</si>
  <si>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</si>
  <si>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</si>
  <si>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</si>
  <si>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</si>
  <si>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</si>
  <si>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</si>
  <si>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</si>
  <si>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</si>
  <si>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</si>
  <si>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</si>
  <si>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</si>
  <si>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</si>
  <si>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</si>
  <si>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</si>
  <si>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</si>
  <si>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</si>
  <si>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</si>
  <si>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</si>
  <si>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</si>
  <si>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</si>
  <si>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</si>
  <si>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</si>
  <si>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</si>
  <si>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</si>
  <si>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</si>
  <si>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</si>
  <si>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</si>
  <si>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</si>
  <si>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</si>
  <si>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</si>
  <si>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</si>
  <si>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</si>
  <si>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</si>
  <si>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</si>
  <si>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</si>
  <si>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</si>
  <si>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</si>
  <si>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</si>
  <si>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</si>
  <si>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</si>
  <si>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</si>
  <si>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</si>
  <si>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</si>
  <si>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</si>
  <si>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</si>
  <si>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</si>
  <si>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</si>
  <si>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</si>
  <si>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</si>
  <si>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</si>
  <si>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</si>
  <si>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</si>
  <si>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</si>
  <si>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</si>
  <si>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</si>
  <si>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</si>
  <si>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</si>
  <si>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</si>
  <si>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</si>
  <si>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</si>
  <si>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</si>
  <si>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</si>
  <si>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</si>
  <si>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</si>
  <si>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</si>
  <si>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</si>
  <si>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</si>
  <si>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</si>
  <si>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</si>
  <si>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</si>
  <si>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</si>
  <si>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</si>
  <si>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</si>
  <si>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</si>
  <si>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</si>
  <si>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</si>
  <si>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</si>
  <si>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</si>
  <si>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</si>
  <si>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</si>
  <si>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</si>
  <si>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</si>
  <si>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</si>
  <si>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</si>
  <si>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</si>
  <si>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</si>
  <si>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</si>
  <si>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</si>
  <si>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</si>
  <si>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</si>
  <si>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</si>
  <si>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</si>
  <si>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</si>
  <si>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</si>
  <si>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</si>
  <si>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</si>
  <si>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</si>
  <si>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</si>
  <si>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</si>
  <si>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</si>
  <si>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</si>
  <si>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</si>
  <si>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</si>
  <si>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</si>
  <si>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</si>
  <si>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</si>
  <si>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</si>
  <si>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</si>
  <si>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</si>
  <si>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</si>
  <si>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</si>
  <si>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</si>
  <si>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</si>
  <si>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</si>
  <si>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</si>
  <si>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</si>
  <si>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</si>
  <si>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</si>
  <si>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</si>
  <si>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</si>
  <si>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</si>
  <si>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</si>
  <si>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</si>
  <si>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</si>
  <si>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</si>
  <si>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</si>
  <si>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</si>
  <si>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</si>
  <si>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</si>
  <si>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</si>
  <si>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</si>
  <si>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</si>
  <si>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</si>
  <si>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</si>
  <si>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</si>
  <si>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</si>
  <si>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</si>
  <si>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</si>
  <si>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</si>
  <si>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</si>
  <si>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</si>
  <si>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</si>
  <si>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</si>
  <si>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</si>
  <si>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</si>
  <si>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</si>
  <si>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</si>
  <si>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</si>
  <si>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</si>
  <si>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</si>
  <si>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</si>
  <si>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</si>
  <si>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</si>
  <si>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</si>
  <si>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</si>
  <si>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</si>
  <si>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</si>
  <si>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</si>
  <si>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</si>
  <si>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</si>
  <si>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</si>
  <si>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</si>
  <si>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</si>
  <si>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</si>
  <si>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</si>
  <si>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</si>
  <si>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</si>
  <si>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</si>
  <si>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</si>
  <si>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</si>
  <si>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</si>
  <si>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</si>
  <si>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</si>
  <si>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</si>
  <si>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</si>
  <si>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</si>
  <si>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</si>
  <si>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</si>
  <si>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</si>
  <si>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</si>
  <si>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</si>
  <si>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</si>
  <si>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</si>
  <si>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</si>
  <si>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</si>
  <si>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</si>
  <si>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</si>
  <si>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</si>
  <si>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</si>
  <si>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</si>
  <si>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</si>
  <si>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</si>
  <si>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</si>
  <si>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</si>
  <si>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</si>
  <si>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</si>
  <si>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</si>
  <si>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</si>
  <si>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</si>
  <si>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</si>
  <si>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</si>
  <si>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</si>
  <si>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</si>
  <si>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</si>
  <si>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</si>
  <si>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</si>
  <si>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</si>
  <si>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</si>
  <si>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</si>
  <si>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</si>
  <si>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</si>
  <si>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</si>
  <si>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</si>
  <si>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</si>
  <si>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</si>
  <si>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</si>
  <si>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</si>
  <si>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</si>
  <si>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</si>
  <si>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</si>
  <si>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</si>
  <si>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</si>
  <si>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</si>
  <si>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</si>
  <si>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</si>
  <si>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</si>
  <si>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</si>
  <si>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</si>
  <si>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</si>
  <si>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</si>
  <si>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</si>
  <si>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</si>
  <si>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</si>
  <si>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</si>
  <si>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</si>
  <si>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</si>
  <si>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</si>
  <si>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</si>
  <si>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</si>
  <si>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</si>
  <si>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</si>
  <si>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</si>
  <si>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</si>
  <si>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</si>
  <si>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</si>
  <si>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</si>
  <si>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</si>
  <si>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</si>
  <si>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</si>
  <si>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</si>
  <si>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</si>
  <si>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</si>
  <si>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</si>
  <si>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</si>
  <si>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</si>
  <si>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</si>
  <si>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</si>
  <si>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</si>
  <si>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</si>
  <si>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</si>
  <si>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</si>
  <si>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</si>
  <si>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</si>
  <si>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</si>
  <si>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</si>
  <si>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</si>
  <si>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</si>
  <si>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</si>
  <si>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</si>
  <si>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</si>
  <si>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</si>
  <si>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</si>
  <si>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</si>
  <si>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</si>
  <si>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</si>
  <si>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</si>
  <si>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</si>
  <si>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</si>
  <si>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</si>
  <si>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</si>
  <si>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</si>
  <si>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</si>
  <si>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</si>
  <si>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</si>
  <si>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</si>
  <si>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</si>
  <si>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</si>
  <si>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</si>
  <si>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</si>
  <si>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</si>
  <si>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</si>
  <si>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</si>
  <si>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</si>
  <si>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</si>
  <si>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</si>
  <si>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</si>
  <si>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</si>
  <si>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</si>
  <si>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</si>
  <si>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</si>
  <si>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</si>
  <si>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</si>
  <si>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</si>
  <si>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</si>
  <si>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</si>
  <si>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</si>
  <si>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</si>
  <si>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</si>
  <si>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</si>
  <si>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</si>
  <si>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</si>
  <si>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</si>
  <si>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</si>
  <si>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</si>
  <si>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</si>
  <si>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</si>
  <si>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</si>
  <si>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</si>
  <si>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</si>
  <si>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</si>
  <si>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</si>
  <si>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</si>
  <si>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</si>
  <si>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</si>
  <si>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</si>
  <si>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</si>
  <si>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</si>
  <si>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</si>
  <si>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</si>
  <si>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</si>
  <si>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</si>
  <si>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</si>
  <si>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</si>
  <si>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</si>
  <si>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</si>
  <si>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</si>
  <si>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</si>
  <si>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</si>
  <si>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</si>
  <si>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</si>
  <si>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</si>
  <si>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</si>
  <si>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</si>
  <si>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</si>
  <si>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</si>
  <si>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</si>
  <si>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</si>
  <si>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</si>
  <si>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</si>
  <si>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</si>
  <si>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</si>
  <si>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</si>
  <si>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</si>
  <si>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</si>
  <si>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</si>
  <si>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</si>
  <si>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</si>
  <si>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</si>
  <si>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</si>
  <si>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</si>
  <si>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</si>
  <si>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</si>
  <si>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</si>
  <si>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</si>
  <si>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</si>
  <si>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</si>
  <si>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</si>
  <si>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</si>
  <si>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</si>
  <si>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</si>
  <si>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</si>
  <si>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</si>
  <si>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</si>
  <si>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</si>
  <si>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</si>
  <si>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</si>
  <si>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</si>
  <si>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</si>
  <si>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</si>
  <si>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</si>
  <si>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</si>
  <si>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</si>
  <si>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</si>
  <si>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</si>
  <si>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</si>
  <si>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</si>
  <si>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</si>
  <si>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</si>
  <si>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</si>
  <si>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</si>
  <si>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</si>
  <si>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</si>
  <si>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</si>
  <si>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</si>
  <si>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</si>
  <si>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</si>
  <si>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</si>
  <si>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</si>
  <si>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</si>
  <si>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</si>
  <si>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</si>
  <si>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</si>
  <si>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</si>
  <si>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</si>
  <si>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</si>
  <si>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</si>
  <si>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</si>
  <si>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</si>
  <si>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</si>
  <si>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</si>
  <si>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</si>
  <si>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</si>
  <si>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</si>
  <si>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</si>
  <si>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</si>
  <si>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</si>
  <si>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</si>
  <si>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</si>
  <si>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</si>
  <si>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</si>
  <si>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</si>
  <si>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</si>
  <si>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</si>
  <si>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</si>
  <si>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</si>
  <si>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</si>
  <si>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</si>
  <si>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</si>
  <si>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</si>
  <si>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</si>
  <si>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</si>
  <si>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</si>
  <si>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</si>
  <si>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</si>
  <si>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</si>
  <si>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</si>
  <si>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</si>
  <si>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</si>
  <si>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</si>
  <si>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</si>
  <si>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</si>
  <si>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</si>
  <si>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</si>
  <si>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</si>
  <si>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</si>
  <si>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</si>
  <si>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</si>
  <si>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</si>
  <si>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</si>
  <si>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</si>
  <si>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</si>
  <si>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</si>
  <si>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</si>
  <si>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</si>
  <si>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</si>
  <si>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</si>
  <si>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</si>
  <si>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</si>
  <si>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</si>
  <si>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</si>
  <si>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</si>
  <si>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</si>
  <si>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</si>
  <si>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</si>
  <si>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</si>
  <si>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</si>
  <si>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</si>
  <si>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</si>
  <si>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</si>
  <si>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</si>
  <si>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</si>
  <si>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</si>
  <si>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</si>
  <si>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</si>
  <si>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</si>
  <si>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</si>
  <si>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</si>
  <si>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</si>
  <si>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</si>
  <si>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</si>
  <si>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</si>
  <si>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</si>
  <si>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</si>
  <si>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</si>
  <si>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</si>
  <si>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</si>
  <si>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</si>
  <si>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</si>
  <si>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</si>
  <si>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</si>
  <si>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</si>
  <si>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</si>
  <si>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</si>
  <si>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</si>
  <si>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</si>
  <si>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</si>
  <si>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</si>
  <si>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</si>
  <si>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</si>
  <si>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</si>
  <si>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</si>
  <si>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</si>
  <si>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</si>
  <si>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</si>
  <si>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</si>
  <si>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</si>
  <si>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</si>
  <si>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</si>
  <si>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</si>
  <si>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</si>
  <si>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</si>
  <si>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</si>
  <si>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</si>
  <si>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</si>
  <si>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</si>
  <si>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</si>
  <si>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</si>
  <si>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</si>
  <si>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</si>
  <si>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</si>
  <si>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</si>
  <si>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</si>
  <si>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</si>
  <si>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</si>
  <si>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</si>
  <si>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</si>
  <si>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</si>
  <si>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</si>
  <si>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</si>
  <si>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</si>
  <si>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</si>
  <si>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</si>
  <si>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</si>
  <si>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</si>
  <si>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</si>
  <si>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</si>
  <si>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</si>
  <si>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</si>
  <si>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</si>
  <si>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</si>
  <si>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</si>
  <si>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</si>
  <si>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</si>
  <si>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</si>
  <si>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</si>
  <si>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</si>
  <si>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</si>
  <si>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</si>
  <si>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</si>
  <si>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</si>
  <si>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</si>
  <si>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</si>
  <si>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</si>
  <si>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</si>
  <si>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</si>
  <si>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</si>
  <si>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</si>
  <si>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</si>
  <si>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</si>
  <si>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</si>
  <si>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</si>
  <si>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</si>
  <si>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</si>
  <si>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</si>
  <si>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</si>
  <si>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</si>
  <si>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</si>
  <si>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</si>
  <si>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</si>
  <si>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</si>
  <si>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</si>
  <si>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</si>
  <si>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</si>
  <si>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</si>
  <si>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</si>
  <si>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</si>
  <si>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</si>
  <si>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</si>
  <si>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</si>
  <si>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</si>
  <si>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</si>
  <si>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</si>
  <si>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</si>
  <si>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</si>
  <si>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</si>
  <si>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</si>
  <si>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</si>
  <si>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</si>
  <si>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</si>
  <si>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</si>
  <si>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</si>
  <si>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</si>
  <si>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</si>
  <si>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</si>
  <si>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</si>
  <si>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</si>
  <si>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</si>
  <si>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</si>
  <si>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</si>
  <si>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</si>
  <si>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</si>
  <si>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</si>
  <si>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</si>
  <si>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</si>
  <si>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</si>
  <si>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</si>
  <si>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</si>
  <si>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</si>
  <si>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</si>
  <si>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</si>
  <si>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</si>
  <si>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</si>
  <si>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</si>
  <si>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</si>
  <si>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</si>
  <si>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</si>
  <si>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</si>
  <si>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</si>
  <si>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</si>
  <si>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</si>
  <si>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</si>
  <si>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</si>
  <si>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</si>
  <si>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</si>
  <si>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</si>
  <si>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</si>
  <si>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</si>
  <si>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</si>
  <si>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</si>
  <si>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</si>
  <si>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</si>
  <si>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</si>
  <si>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</si>
  <si>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</si>
  <si>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</si>
  <si>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</si>
  <si>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</si>
  <si>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</si>
  <si>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</si>
  <si>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</si>
  <si>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</si>
  <si>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</si>
  <si>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</si>
  <si>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</si>
  <si>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</si>
  <si>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</si>
  <si>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</si>
  <si>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</si>
  <si>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</si>
  <si>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</si>
  <si>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</si>
  <si>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</si>
  <si>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</si>
  <si>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</si>
  <si>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</si>
  <si>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</si>
  <si>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</si>
  <si>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</si>
  <si>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</si>
  <si>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</si>
  <si>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</si>
  <si>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</si>
  <si>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</si>
  <si>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</si>
  <si>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</si>
  <si>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</si>
  <si>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</si>
  <si>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</si>
  <si>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</si>
  <si>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</si>
  <si>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</si>
  <si>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</si>
  <si>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</si>
  <si>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</si>
  <si>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</si>
  <si>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</si>
  <si>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</si>
  <si>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</si>
  <si>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</si>
  <si>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</si>
  <si>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</si>
  <si>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</si>
  <si>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</si>
  <si>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</si>
  <si>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</si>
  <si>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</si>
  <si>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</si>
  <si>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</si>
  <si>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</si>
  <si>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</si>
  <si>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</si>
  <si>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</si>
  <si>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</si>
  <si>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</si>
  <si>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</si>
  <si>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</si>
  <si>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</si>
  <si>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</si>
  <si>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</si>
  <si>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</si>
  <si>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</si>
  <si>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</si>
  <si>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</si>
  <si>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</si>
  <si>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</si>
  <si>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</si>
  <si>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</si>
  <si>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</si>
  <si>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</si>
  <si>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</si>
  <si>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</si>
  <si>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</si>
  <si>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</si>
  <si>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</si>
  <si>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</si>
  <si>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</si>
  <si>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</si>
  <si>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</si>
  <si>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</si>
  <si>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</si>
  <si>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</si>
  <si>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</si>
  <si>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</si>
  <si>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</si>
  <si>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</si>
  <si>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</si>
  <si>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</si>
  <si>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</si>
  <si>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</si>
  <si>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</si>
  <si>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</si>
  <si>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</si>
  <si>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</si>
  <si>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</si>
  <si>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</si>
  <si>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</si>
  <si>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</si>
  <si>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</si>
  <si>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</si>
  <si>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</si>
  <si>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</si>
  <si>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</si>
  <si>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</si>
  <si>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</si>
  <si>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</si>
  <si>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</si>
  <si>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</si>
  <si>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</si>
  <si>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</si>
  <si>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</si>
  <si>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</si>
  <si>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</si>
  <si>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</si>
  <si>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</si>
  <si>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</si>
  <si>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</si>
  <si>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</si>
  <si>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</si>
  <si>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</si>
  <si>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</si>
  <si>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</si>
  <si>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</si>
  <si>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</si>
  <si>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</si>
  <si>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</si>
  <si>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</si>
  <si>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</si>
  <si>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</si>
  <si>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</si>
  <si>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</si>
  <si>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</si>
  <si>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</si>
  <si>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</si>
  <si>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</si>
  <si>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</si>
  <si>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</si>
  <si>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</si>
  <si>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</si>
  <si>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</si>
  <si>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</si>
  <si>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</si>
  <si>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</si>
  <si>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</si>
  <si>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</si>
  <si>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</si>
  <si>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</si>
  <si>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</si>
  <si>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</si>
  <si>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</si>
  <si>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</si>
  <si>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</si>
  <si>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</si>
  <si>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</si>
  <si>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</si>
  <si>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</si>
  <si>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</si>
  <si>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</si>
  <si>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</si>
  <si>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</si>
  <si>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</si>
  <si>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</si>
  <si>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</si>
  <si>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</si>
  <si>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</si>
  <si>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</si>
  <si>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</si>
  <si>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</si>
  <si>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</si>
  <si>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</si>
  <si>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</si>
  <si>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</si>
  <si>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</si>
  <si>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</si>
  <si>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</si>
  <si>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</si>
  <si>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</si>
  <si>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</si>
  <si>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</si>
  <si>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</si>
  <si>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</si>
  <si>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</si>
  <si>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</si>
  <si>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</si>
  <si>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</si>
  <si>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</si>
  <si>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</si>
  <si>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</si>
  <si>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</si>
  <si>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</si>
  <si>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</si>
  <si>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</si>
  <si>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</si>
  <si>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</si>
  <si>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</si>
  <si>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</si>
  <si>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</si>
  <si>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</si>
  <si>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</si>
  <si>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</si>
  <si>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</si>
  <si>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</si>
  <si>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</si>
  <si>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</si>
  <si>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</si>
  <si>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</si>
  <si>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</si>
  <si>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</si>
  <si>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</si>
  <si>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</si>
  <si>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</si>
  <si>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</si>
  <si>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</si>
  <si>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</si>
  <si>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</si>
  <si>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</si>
  <si>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</si>
  <si>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</si>
  <si>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</si>
  <si>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</si>
  <si>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</si>
  <si>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</si>
  <si>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</si>
  <si>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</si>
  <si>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</si>
  <si>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</si>
  <si>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</si>
  <si>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</si>
  <si>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</si>
  <si>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</si>
  <si>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</si>
  <si>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</si>
  <si>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</si>
  <si>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</si>
  <si>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</si>
  <si>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</si>
  <si>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</si>
  <si>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</si>
  <si>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</si>
  <si>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</si>
  <si>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</si>
  <si>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</si>
  <si>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</si>
  <si>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</si>
  <si>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</si>
  <si>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</si>
  <si>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</si>
  <si>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</si>
  <si>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</si>
  <si>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</si>
  <si>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</si>
  <si>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</si>
  <si>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</si>
  <si>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</si>
  <si>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</si>
  <si>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</si>
  <si>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</si>
  <si>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</si>
  <si>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</si>
  <si>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</si>
  <si>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</si>
  <si>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</si>
  <si>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</si>
  <si>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</si>
  <si>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</si>
  <si>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</si>
  <si>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ORD-001517</t>
  </si>
  <si>
    <t>ORD-001518</t>
  </si>
  <si>
    <t>ORD-001519</t>
  </si>
  <si>
    <t>ORD-001520</t>
  </si>
  <si>
    <t>ORD-001521</t>
  </si>
  <si>
    <t>ORD-001522</t>
  </si>
  <si>
    <t>ORD-001523</t>
  </si>
  <si>
    <t>ORD-001524</t>
  </si>
  <si>
    <t>ORD-001525</t>
  </si>
  <si>
    <t>ORD-001526</t>
  </si>
  <si>
    <t>ORD-001527</t>
  </si>
  <si>
    <t>ORD-001528</t>
  </si>
  <si>
    <t>ORD-001529</t>
  </si>
  <si>
    <t>ORD-001530</t>
  </si>
  <si>
    <t>ORD-001531</t>
  </si>
  <si>
    <t>ORD-001532</t>
  </si>
  <si>
    <t>ORD-001533</t>
  </si>
  <si>
    <t>ORD-001534</t>
  </si>
  <si>
    <t>ORD-001535</t>
  </si>
  <si>
    <t>ORD-001536</t>
  </si>
  <si>
    <t>ORD-001537</t>
  </si>
  <si>
    <t>ORD-001538</t>
  </si>
  <si>
    <t>ORD-001539</t>
  </si>
  <si>
    <t>ORD-001540</t>
  </si>
  <si>
    <t>ORD-001541</t>
  </si>
  <si>
    <t>ORD-001542</t>
  </si>
  <si>
    <t>ORD-001543</t>
  </si>
  <si>
    <t>ORD-001544</t>
  </si>
  <si>
    <t>ORD-001545</t>
  </si>
  <si>
    <t>ORD-001546</t>
  </si>
  <si>
    <t>ORD-001547</t>
  </si>
  <si>
    <t>ORD-001548</t>
  </si>
  <si>
    <t>ORD-001549</t>
  </si>
  <si>
    <t>ORD-001550</t>
  </si>
  <si>
    <t>ORD-001551</t>
  </si>
  <si>
    <t>ORD-001552</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</si>
  <si>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</si>
  <si>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</si>
  <si>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</si>
  <si>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</si>
  <si>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</si>
  <si>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</si>
  <si>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</si>
  <si>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</si>
  <si>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</si>
  <si>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</si>
  <si>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</si>
  <si>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</si>
  <si>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</si>
  <si>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</si>
  <si>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</si>
  <si>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</si>
  <si>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</si>
  <si>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</si>
  <si>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</si>
  <si>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</si>
  <si>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</si>
  <si>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</si>
  <si>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</si>
  <si>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</si>
  <si>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ORD-001577</t>
  </si>
  <si>
    <t>ORD-001578</t>
  </si>
  <si>
    <t>ORD-001579</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</si>
  <si>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</si>
  <si>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</si>
  <si>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</si>
  <si>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</si>
  <si>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</si>
  <si>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</si>
  <si>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</si>
  <si>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</si>
  <si>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</si>
  <si>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</si>
  <si>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</si>
  <si>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</si>
  <si>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</si>
  <si>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</si>
  <si>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</si>
  <si>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</si>
  <si>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</si>
  <si>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</si>
  <si>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ORD-001598</t>
  </si>
  <si>
    <t>ORD-001599</t>
  </si>
  <si>
    <t>ORD-001600</t>
  </si>
  <si>
    <t>ORD-001601</t>
  </si>
  <si>
    <t>ORD-001602</t>
  </si>
  <si>
    <t>ORD-001603</t>
  </si>
  <si>
    <t>ORD-001604</t>
  </si>
  <si>
    <t>ORD-001605</t>
  </si>
  <si>
    <t>ORD-001606</t>
  </si>
  <si>
    <t>ORD-001607</t>
  </si>
  <si>
    <t>ORD-001608</t>
  </si>
  <si>
    <t>ORD-001609</t>
  </si>
  <si>
    <t>ORD-001610</t>
  </si>
  <si>
    <t>ORD-001611</t>
  </si>
  <si>
    <t>ORD-001612</t>
  </si>
  <si>
    <t>ORD-001613</t>
  </si>
  <si>
    <t>ORD-001614</t>
  </si>
  <si>
    <t>ORD-001615</t>
  </si>
  <si>
    <t>ORD-001616</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</si>
  <si>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</si>
  <si>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</si>
  <si>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</si>
  <si>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</si>
  <si>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</si>
  <si>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</si>
  <si>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</si>
  <si>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</si>
  <si>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</si>
  <si>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</si>
  <si>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</si>
  <si>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</si>
  <si>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</si>
  <si>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</si>
  <si>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</si>
  <si>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</si>
  <si>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</si>
  <si>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</si>
  <si>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</si>
  <si>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</si>
  <si>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</si>
  <si>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</si>
  <si>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</si>
  <si>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</si>
  <si>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</si>
  <si>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</si>
  <si>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</si>
  <si>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</si>
  <si>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</si>
  <si>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</si>
  <si>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</si>
  <si>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</si>
  <si>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</si>
  <si>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</si>
  <si>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</si>
  <si>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</si>
  <si>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</si>
  <si>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</si>
  <si>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</si>
  <si>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</si>
  <si>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</si>
  <si>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</si>
  <si>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</si>
  <si>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</si>
  <si>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</si>
  <si>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</si>
  <si>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</si>
  <si>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</si>
  <si>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</si>
  <si>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</si>
  <si>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</si>
  <si>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</si>
  <si>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</si>
  <si>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</si>
  <si>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</si>
  <si>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</si>
  <si>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</si>
  <si>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</si>
  <si>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</si>
  <si>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ORD-001676</t>
  </si>
  <si>
    <t>ORD-001677</t>
  </si>
  <si>
    <t>ORD-001678</t>
  </si>
  <si>
    <t>ORD-001679</t>
  </si>
  <si>
    <t>ORD-001680</t>
  </si>
  <si>
    <t>ORD-001681</t>
  </si>
  <si>
    <t>ORD-001682</t>
  </si>
  <si>
    <t>ORD-001683</t>
  </si>
  <si>
    <t>ORD-001684</t>
  </si>
  <si>
    <t>ORD-001685</t>
  </si>
  <si>
    <t>ORD-001686</t>
  </si>
  <si>
    <t>ORD-001687</t>
  </si>
  <si>
    <t>ORD-001688</t>
  </si>
  <si>
    <t>ORD-001689</t>
  </si>
  <si>
    <t>ORD-001690</t>
  </si>
  <si>
    <t>ORD-001691</t>
  </si>
  <si>
    <t>ORD-001692</t>
  </si>
  <si>
    <t>ORD-001693</t>
  </si>
  <si>
    <t>ORD-001694</t>
  </si>
  <si>
    <t>ORD-001695</t>
  </si>
  <si>
    <t>ORD-001696</t>
  </si>
  <si>
    <t>ORD-001697</t>
  </si>
  <si>
    <t>ORD-001698</t>
  </si>
  <si>
    <t>ORD-001699</t>
  </si>
  <si>
    <t>ORD-001700</t>
  </si>
  <si>
    <t>ORD-001701</t>
  </si>
  <si>
    <t>ORD-001702</t>
  </si>
  <si>
    <t>ORD-001703</t>
  </si>
  <si>
    <t>ORD-001704</t>
  </si>
  <si>
    <t>ORD-001705</t>
  </si>
  <si>
    <t>ORD-001706</t>
  </si>
  <si>
    <t>ORD-001707</t>
  </si>
  <si>
    <t>ORD-001708</t>
  </si>
  <si>
    <t>ORD-001709</t>
  </si>
  <si>
    <t>ORD-001710</t>
  </si>
  <si>
    <t>ORD-001711</t>
  </si>
  <si>
    <t>ORD-001712</t>
  </si>
  <si>
    <t>ORD-001713</t>
  </si>
  <si>
    <t>ORD-001714</t>
  </si>
  <si>
    <t>ORD-001715</t>
  </si>
  <si>
    <t>ORD-001716</t>
  </si>
  <si>
    <t>ORD-001717</t>
  </si>
  <si>
    <t>ORD-001718</t>
  </si>
  <si>
    <t>ORD-001719</t>
  </si>
  <si>
    <t>ORD-001720</t>
  </si>
  <si>
    <t>ORD-001721</t>
  </si>
  <si>
    <t>ORD-001722</t>
  </si>
  <si>
    <t>ORD-001723</t>
  </si>
  <si>
    <t>ORD-001724</t>
  </si>
  <si>
    <t>ORD-001725</t>
  </si>
  <si>
    <t>ORD-001726</t>
  </si>
  <si>
    <t>ORD-001727</t>
  </si>
  <si>
    <t>ORD-001728</t>
  </si>
  <si>
    <t>ORD-001729</t>
  </si>
  <si>
    <t>ORD-001730</t>
  </si>
  <si>
    <t>ORD-001731</t>
  </si>
  <si>
    <t>ORD-001732</t>
  </si>
  <si>
    <t>ORD-001733</t>
  </si>
  <si>
    <t>ORD-001734</t>
  </si>
  <si>
    <t>ORD-001735</t>
  </si>
  <si>
    <t>ORD-001736</t>
  </si>
  <si>
    <t>ORD-001737</t>
  </si>
  <si>
    <t>ORD-001738</t>
  </si>
  <si>
    <t>ORD-001739</t>
  </si>
  <si>
    <t>ORD-001740</t>
  </si>
  <si>
    <t>ORD-001741</t>
  </si>
  <si>
    <t>ORD-001742</t>
  </si>
  <si>
    <t>ORD-001743</t>
  </si>
  <si>
    <t>ORD-001744</t>
  </si>
  <si>
    <t>ORD-001745</t>
  </si>
  <si>
    <t>ORD-001746</t>
  </si>
  <si>
    <t>ORD-001747</t>
  </si>
  <si>
    <t>ORD-001748</t>
  </si>
  <si>
    <t>ORD-001749</t>
  </si>
  <si>
    <t>ORD-001750</t>
  </si>
  <si>
    <t>ORD-001751</t>
  </si>
  <si>
    <t>ORD-001752</t>
  </si>
  <si>
    <t>ORD-001753</t>
  </si>
  <si>
    <t>ORD-001754</t>
  </si>
  <si>
    <t>ORD-001755</t>
  </si>
  <si>
    <t>ORD-001756</t>
  </si>
  <si>
    <t>ORD-001757</t>
  </si>
  <si>
    <t>ORD-001758</t>
  </si>
  <si>
    <t>ORD-001759</t>
  </si>
  <si>
    <t>ORD-001760</t>
  </si>
  <si>
    <t>ORD-001761</t>
  </si>
  <si>
    <t>ORD-001762</t>
  </si>
  <si>
    <t>ORD-001763</t>
  </si>
  <si>
    <t>ORD-001764</t>
  </si>
  <si>
    <t>ORD-001765</t>
  </si>
  <si>
    <t>ORD-001766</t>
  </si>
  <si>
    <t>ORD-001767</t>
  </si>
  <si>
    <t>ORD-001768</t>
  </si>
  <si>
    <t>ORD-001769</t>
  </si>
  <si>
    <t>ORD-001770</t>
  </si>
  <si>
    <t>ORD-001771</t>
  </si>
  <si>
    <t>ORD-001772</t>
  </si>
  <si>
    <t>ORD-001773</t>
  </si>
  <si>
    <t>ORD-001774</t>
  </si>
  <si>
    <t>ORD-001775</t>
  </si>
  <si>
    <t>ORD-001776</t>
  </si>
  <si>
    <t>ORD-001777</t>
  </si>
  <si>
    <t>ORD-001778</t>
  </si>
  <si>
    <t>ORD-001779</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</si>
  <si>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</si>
  <si>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</si>
  <si>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</si>
  <si>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</si>
  <si>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</si>
  <si>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</si>
  <si>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</si>
  <si>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</si>
  <si>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</si>
  <si>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</si>
  <si>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</si>
  <si>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</si>
  <si>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</si>
  <si>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</si>
  <si>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</si>
  <si>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</si>
  <si>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</si>
  <si>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</si>
  <si>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</si>
  <si>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</si>
  <si>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ORD-001800</t>
  </si>
  <si>
    <t>ORD-001801</t>
  </si>
  <si>
    <t>ORD-001802</t>
  </si>
  <si>
    <t>ORD-001803</t>
  </si>
  <si>
    <t>ORD-001804</t>
  </si>
  <si>
    <t>ORD-001805</t>
  </si>
  <si>
    <t>ORD-001806</t>
  </si>
  <si>
    <t>ORD-001807</t>
  </si>
  <si>
    <t>ORD-001808</t>
  </si>
  <si>
    <t>ORD-001809</t>
  </si>
  <si>
    <t>ORD-001810</t>
  </si>
  <si>
    <t>ORD-001811</t>
  </si>
  <si>
    <t>ORD-001812</t>
  </si>
  <si>
    <t>ORD-001813</t>
  </si>
  <si>
    <t>ORD-001814</t>
  </si>
  <si>
    <t>ORD-001815</t>
  </si>
  <si>
    <t>ORD-001816</t>
  </si>
  <si>
    <t>ORD-001817</t>
  </si>
  <si>
    <t>ORD-001818</t>
  </si>
  <si>
    <t>ORD-001819</t>
  </si>
  <si>
    <t>ORD-001820</t>
  </si>
  <si>
    <t>ORD-001821</t>
  </si>
  <si>
    <t>ORD-001822</t>
  </si>
  <si>
    <t>ORD-001823</t>
  </si>
  <si>
    <t>ORD-001824</t>
  </si>
  <si>
    <t>ORD-001825</t>
  </si>
  <si>
    <t>ORD-001826</t>
  </si>
  <si>
    <t>ORD-001827</t>
  </si>
  <si>
    <t>ORD-001828</t>
  </si>
  <si>
    <t>ORD-001829</t>
  </si>
  <si>
    <t>ORD-001830</t>
  </si>
  <si>
    <t>ORD-001831</t>
  </si>
  <si>
    <t>ORD-001832</t>
  </si>
  <si>
    <t>ORD-001833</t>
  </si>
  <si>
    <t>ORD-001834</t>
  </si>
  <si>
    <t>ORD-001835</t>
  </si>
  <si>
    <t>ORD-001836</t>
  </si>
  <si>
    <t>ORD-001837</t>
  </si>
  <si>
    <t>ORD-001838</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</si>
  <si>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</si>
  <si>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</si>
  <si>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</si>
  <si>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</si>
  <si>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</si>
  <si>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</si>
  <si>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</si>
  <si>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</si>
  <si>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</si>
  <si>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</si>
  <si>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</si>
  <si>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</si>
  <si>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</si>
  <si>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</si>
  <si>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</si>
  <si>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</si>
  <si>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</si>
  <si>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</si>
  <si>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</si>
  <si>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</si>
  <si>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</si>
  <si>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</si>
  <si>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</si>
  <si>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</si>
  <si>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</si>
  <si>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</si>
  <si>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ORD-001865</t>
  </si>
  <si>
    <t>ORD-001866</t>
  </si>
  <si>
    <t>ORD-001867</t>
  </si>
  <si>
    <t>ORD-001868</t>
  </si>
  <si>
    <t>ORD-001869</t>
  </si>
  <si>
    <t>ORD-001870</t>
  </si>
  <si>
    <t>ORD-001871</t>
  </si>
  <si>
    <t>ORD-001872</t>
  </si>
  <si>
    <t>ORD-001873</t>
  </si>
  <si>
    <t>ORD-001874</t>
  </si>
  <si>
    <t>ORD-001875</t>
  </si>
  <si>
    <t>ORD-001876</t>
  </si>
  <si>
    <t>ORD-001877</t>
  </si>
  <si>
    <t>ORD-001878</t>
  </si>
  <si>
    <t>ORD-001879</t>
  </si>
  <si>
    <t>ORD-001880</t>
  </si>
  <si>
    <t>ORD-001881</t>
  </si>
  <si>
    <t>ORD-001882</t>
  </si>
  <si>
    <t>ORD-001883</t>
  </si>
  <si>
    <t>ORD-001884</t>
  </si>
  <si>
    <t>ORD-001885</t>
  </si>
  <si>
    <t>ORD-001886</t>
  </si>
  <si>
    <t>ORD-001887</t>
  </si>
  <si>
    <t>ORD-001888</t>
  </si>
  <si>
    <t>ORD-001889</t>
  </si>
  <si>
    <t>ORD-001890</t>
  </si>
  <si>
    <t>ORD-001891</t>
  </si>
  <si>
    <t>ORD-001892</t>
  </si>
  <si>
    <t>ORD-001893</t>
  </si>
  <si>
    <t>ORD-001894</t>
  </si>
  <si>
    <t>ORD-001895</t>
  </si>
  <si>
    <t>ORD-001896</t>
  </si>
  <si>
    <t>ORD-001897</t>
  </si>
  <si>
    <t>ORD-001898</t>
  </si>
  <si>
    <t>ORD-001899</t>
  </si>
  <si>
    <t>ORD-001900</t>
  </si>
  <si>
    <t>ORD-001901</t>
  </si>
  <si>
    <t>ORD-001902</t>
  </si>
  <si>
    <t>ORD-001903</t>
  </si>
  <si>
    <t>ORD-001904</t>
  </si>
  <si>
    <t>ORD-001905</t>
  </si>
  <si>
    <t>ORD-001906</t>
  </si>
  <si>
    <t>ORD-001907</t>
  </si>
  <si>
    <t>ORD-001908</t>
  </si>
  <si>
    <t>ORD-001909</t>
  </si>
  <si>
    <t>ORD-001910</t>
  </si>
  <si>
    <t>ORD-001911</t>
  </si>
  <si>
    <t>ORD-001912</t>
  </si>
  <si>
    <t>ORD-001913</t>
  </si>
  <si>
    <t>ORD-001914</t>
  </si>
  <si>
    <t>ORD-001915</t>
  </si>
  <si>
    <t>ORD-001916</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</si>
  <si>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</si>
  <si>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</si>
  <si>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</si>
  <si>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</si>
  <si>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</si>
  <si>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</si>
  <si>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</si>
  <si>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</si>
  <si>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</si>
  <si>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</si>
  <si>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</si>
  <si>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</si>
  <si>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</si>
  <si>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</si>
  <si>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</si>
  <si>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</si>
  <si>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</si>
  <si>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</si>
  <si>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</si>
  <si>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</si>
  <si>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</si>
  <si>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</si>
  <si>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</si>
  <si>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</si>
  <si>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</si>
  <si>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</si>
  <si>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</si>
  <si>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</si>
  <si>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</si>
  <si>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</si>
  <si>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</si>
  <si>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</si>
  <si>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</si>
  <si>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</si>
  <si>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</si>
  <si>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</si>
  <si>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</si>
  <si>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</si>
  <si>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</si>
  <si>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</si>
  <si>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</si>
  <si>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</si>
  <si>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</si>
  <si>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</si>
  <si>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</si>
  <si>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</si>
  <si>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</si>
  <si>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</si>
  <si>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</si>
  <si>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</si>
  <si>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</si>
  <si>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</si>
  <si>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</si>
  <si>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</si>
  <si>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</si>
  <si>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</si>
  <si>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</si>
  <si>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</si>
  <si>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</si>
  <si>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</si>
  <si>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</si>
  <si>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</si>
  <si>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</si>
  <si>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</si>
  <si>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</si>
  <si>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ORD-001982</t>
  </si>
  <si>
    <t>ORD-001983</t>
  </si>
  <si>
    <t>ORD-001984</t>
  </si>
  <si>
    <t>ORD-001985</t>
  </si>
  <si>
    <t>ORD-001986</t>
  </si>
  <si>
    <t>ORD-001987</t>
  </si>
  <si>
    <t>ORD-001988</t>
  </si>
  <si>
    <t>ORD-001989</t>
  </si>
  <si>
    <t>ORD-001990</t>
  </si>
  <si>
    <t>ORD-001991</t>
  </si>
  <si>
    <t>ORD-001992</t>
  </si>
  <si>
    <t>ORD-001993</t>
  </si>
  <si>
    <t>ORD-001994</t>
  </si>
  <si>
    <t>ORD-001995</t>
  </si>
  <si>
    <t>ORD-001996</t>
  </si>
  <si>
    <t>ORD-001997</t>
  </si>
  <si>
    <t>ORD-001998</t>
  </si>
  <si>
    <t>ORD-001999</t>
  </si>
  <si>
    <t>ORD-002000</t>
  </si>
  <si>
    <t>Total Sales</t>
  </si>
  <si>
    <t>Total Profit</t>
  </si>
  <si>
    <t>Avg Discount %</t>
  </si>
  <si>
    <t xml:space="preserve"> Cost of products</t>
  </si>
  <si>
    <t>Grand Total</t>
  </si>
  <si>
    <t>Quantity sold</t>
  </si>
  <si>
    <t>2023</t>
  </si>
  <si>
    <t>2024</t>
  </si>
  <si>
    <t>2025</t>
  </si>
  <si>
    <t>Jan</t>
  </si>
  <si>
    <t>Feb</t>
  </si>
  <si>
    <t>Mar</t>
  </si>
  <si>
    <t>Apr</t>
  </si>
  <si>
    <t>May</t>
  </si>
  <si>
    <t>Jun</t>
  </si>
  <si>
    <t>Jul</t>
  </si>
  <si>
    <t>Aug</t>
  </si>
  <si>
    <t>Sep</t>
  </si>
  <si>
    <t>Oct</t>
  </si>
  <si>
    <t>Nov</t>
  </si>
  <si>
    <t>Dec</t>
  </si>
  <si>
    <t>Product Category</t>
  </si>
  <si>
    <t>Region</t>
  </si>
  <si>
    <t xml:space="preserve">Product Name </t>
  </si>
  <si>
    <t>order month</t>
  </si>
  <si>
    <t>order year</t>
  </si>
  <si>
    <t>Year</t>
  </si>
  <si>
    <t>Month</t>
  </si>
  <si>
    <t>Sum of profit</t>
  </si>
  <si>
    <t>Sum of sales</t>
  </si>
  <si>
    <t>Row Labels</t>
  </si>
  <si>
    <t>Discount type</t>
  </si>
  <si>
    <t>discount range</t>
  </si>
  <si>
    <t>(Multiple Items)</t>
  </si>
  <si>
    <t>0-10%</t>
  </si>
  <si>
    <t>10-20%</t>
  </si>
  <si>
    <t>20-30%</t>
  </si>
  <si>
    <t>Profit</t>
  </si>
  <si>
    <t>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</si>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</sst>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 fontId="1" fillId="0" borderId="0" xfId="0" applyNumberFormat="1" applyFont="1"/>
    <xf numFmtId="0" fontId="2" fillId="0" borderId="0" xfId="0" applyFont="1" applyAlignment="1">
      <alignment vertical="center"/>
    </xf>
    <xf numFmtId="1" fontId="0" fillId="0" borderId="0" xfId="0" applyNumberFormat="1"/>
    <xf numFmtId="0" fontId="1" fillId="0" borderId="0" xfId="0" applyNumberFormat="1" applyFont="1"/>
  </cellXfs>
  <cellStyles count="1">
    <cellStyle name="Normal" xfId="0" builtinId="0"/>
  </cellStyles>
  <dxfs count="21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1" formatCode="0"/>
    </dxf>
    <dxf>
      <numFmt numFmtId="1" formatCode="0"/>
    </dxf>
    <dxf>
      <alignment vertical="bottom"/>
    </dxf>
    <dxf>
      <numFmt numFmtId="1" formatCode="0"/>
    </dxf>
    <dxf>
      <numFmt numFmtId="1" formatCode="0"/>
    </dxf>
    <dxf>
      <numFmt numFmtId="1" formatCode="0"/>
    </dxf>
    <dxf>
      <numFmt numFmtId="1" formatCode="0"/>
    </dxf>
    <dxf>
      <font>
        <b/>
      </font>
    </dxf>
    <dxf>
      <font>
        <b/>
      </font>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Dashboard.xlsx]Analayz!PivotTable2</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Category</a:t>
            </a:r>
            <a:r>
              <a:rPr lang="en-IN" sz="1800" b="1" baseline="0">
                <a:solidFill>
                  <a:schemeClr val="tx1"/>
                </a:solidFill>
              </a:rPr>
              <a:t> wise Profit &amp; Sales</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2.68817204301075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0"/>
              <c:y val="-1.3440860215053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1.34408602150537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1.79211469534050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1.34408602150538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1.34408602150536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2.2401433691756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0"/>
              <c:y val="-3.1362007168458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Analayz!$B$11</c:f>
              <c:strCache>
                <c:ptCount val="1"/>
                <c:pt idx="0">
                  <c:v>Sum of sales</c:v>
                </c:pt>
              </c:strCache>
            </c:strRef>
          </c:tx>
          <c:spPr>
            <a:solidFill>
              <a:schemeClr val="tx1"/>
            </a:solidFill>
            <a:ln>
              <a:noFill/>
            </a:ln>
            <a:effectLst/>
          </c:spPr>
          <c:invertIfNegative val="0"/>
          <c:dPt>
            <c:idx val="5"/>
            <c:invertIfNegative val="0"/>
            <c:bubble3D val="0"/>
            <c:extLst>
              <c:ext xmlns:c16="http://schemas.microsoft.com/office/drawing/2014/chart" uri="{C3380CC4-5D6E-409C-BE32-E72D297353CC}">
                <c16:uniqueId val="{00000005-CB4E-46C8-B9B4-CEF3F0EA29BE}"/>
              </c:ext>
            </c:extLst>
          </c:dPt>
          <c:dLbls>
            <c:dLbl>
              <c:idx val="5"/>
              <c:layout>
                <c:manualLayout>
                  <c:x val="0"/>
                  <c:y val="-1.3440860215053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4E-46C8-B9B4-CEF3F0EA29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Analayz!$A$12:$A$18</c:f>
              <c:strCache>
                <c:ptCount val="6"/>
                <c:pt idx="0">
                  <c:v>Beauty &amp; Personal Care</c:v>
                </c:pt>
                <c:pt idx="1">
                  <c:v>Clothing</c:v>
                </c:pt>
                <c:pt idx="2">
                  <c:v>Electronics</c:v>
                </c:pt>
                <c:pt idx="3">
                  <c:v>Furniture</c:v>
                </c:pt>
                <c:pt idx="4">
                  <c:v>Home Appliances</c:v>
                </c:pt>
                <c:pt idx="5">
                  <c:v>Office Supplies</c:v>
                </c:pt>
              </c:strCache>
            </c:strRef>
          </c:cat>
          <c:val>
            <c:numRef>
              <c:f>Analayz!$B$12:$B$18</c:f>
              <c:numCache>
                <c:formatCode>0</c:formatCode>
                <c:ptCount val="6"/>
                <c:pt idx="0">
                  <c:v>1405965.07</c:v>
                </c:pt>
                <c:pt idx="1">
                  <c:v>2064212.71</c:v>
                </c:pt>
                <c:pt idx="2">
                  <c:v>9246602.8000000007</c:v>
                </c:pt>
                <c:pt idx="3">
                  <c:v>6640423.7999999998</c:v>
                </c:pt>
                <c:pt idx="4">
                  <c:v>5032369</c:v>
                </c:pt>
                <c:pt idx="5">
                  <c:v>613190.07999999996</c:v>
                </c:pt>
              </c:numCache>
            </c:numRef>
          </c:val>
          <c:extLst>
            <c:ext xmlns:c16="http://schemas.microsoft.com/office/drawing/2014/chart" uri="{C3380CC4-5D6E-409C-BE32-E72D297353CC}">
              <c16:uniqueId val="{00000000-CB4E-46C8-B9B4-CEF3F0EA29BE}"/>
            </c:ext>
          </c:extLst>
        </c:ser>
        <c:ser>
          <c:idx val="1"/>
          <c:order val="1"/>
          <c:tx>
            <c:strRef>
              <c:f>Analayz!$C$11</c:f>
              <c:strCache>
                <c:ptCount val="1"/>
                <c:pt idx="0">
                  <c:v>Sum of profit</c:v>
                </c:pt>
              </c:strCache>
            </c:strRef>
          </c:tx>
          <c:spPr>
            <a:solidFill>
              <a:schemeClr val="bg1"/>
            </a:solidFill>
            <a:ln>
              <a:noFill/>
            </a:ln>
            <a:effectLst/>
          </c:spPr>
          <c:invertIfNegative val="0"/>
          <c:dLbls>
            <c:dLbl>
              <c:idx val="5"/>
              <c:layout>
                <c:manualLayout>
                  <c:x val="0"/>
                  <c:y val="-3.13620071684588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F5-43DD-9FC5-62F0FECA98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Analayz!$A$12:$A$18</c:f>
              <c:strCache>
                <c:ptCount val="6"/>
                <c:pt idx="0">
                  <c:v>Beauty &amp; Personal Care</c:v>
                </c:pt>
                <c:pt idx="1">
                  <c:v>Clothing</c:v>
                </c:pt>
                <c:pt idx="2">
                  <c:v>Electronics</c:v>
                </c:pt>
                <c:pt idx="3">
                  <c:v>Furniture</c:v>
                </c:pt>
                <c:pt idx="4">
                  <c:v>Home Appliances</c:v>
                </c:pt>
                <c:pt idx="5">
                  <c:v>Office Supplies</c:v>
                </c:pt>
              </c:strCache>
            </c:strRef>
          </c:cat>
          <c:val>
            <c:numRef>
              <c:f>Analayz!$C$12:$C$18</c:f>
              <c:numCache>
                <c:formatCode>0</c:formatCode>
                <c:ptCount val="6"/>
                <c:pt idx="0">
                  <c:v>588309.86</c:v>
                </c:pt>
                <c:pt idx="1">
                  <c:v>856027.68</c:v>
                </c:pt>
                <c:pt idx="2">
                  <c:v>1355175.19</c:v>
                </c:pt>
                <c:pt idx="3">
                  <c:v>1562789.33</c:v>
                </c:pt>
                <c:pt idx="4">
                  <c:v>1014555.48</c:v>
                </c:pt>
                <c:pt idx="5">
                  <c:v>215406.57</c:v>
                </c:pt>
              </c:numCache>
            </c:numRef>
          </c:val>
          <c:extLst>
            <c:ext xmlns:c16="http://schemas.microsoft.com/office/drawing/2014/chart" uri="{C3380CC4-5D6E-409C-BE32-E72D297353CC}">
              <c16:uniqueId val="{00000001-23F5-43DD-9FC5-62F0FECA981F}"/>
            </c:ext>
          </c:extLst>
        </c:ser>
        <c:dLbls>
          <c:dLblPos val="outEnd"/>
          <c:showLegendKey val="0"/>
          <c:showVal val="1"/>
          <c:showCatName val="0"/>
          <c:showSerName val="0"/>
          <c:showPercent val="0"/>
          <c:showBubbleSize val="0"/>
        </c:dLbls>
        <c:gapWidth val="182"/>
        <c:axId val="1869055071"/>
        <c:axId val="1868934591"/>
      </c:barChart>
      <c:catAx>
        <c:axId val="1869055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68934591"/>
        <c:crosses val="autoZero"/>
        <c:auto val="1"/>
        <c:lblAlgn val="ctr"/>
        <c:lblOffset val="100"/>
        <c:noMultiLvlLbl val="0"/>
      </c:catAx>
      <c:valAx>
        <c:axId val="186893459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90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Dashboard.xlsx]Analayz!PivotTable1</c:name>
    <c:fmtId val="2"/>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IN" sz="1600" b="1"/>
              <a:t>Region</a:t>
            </a:r>
            <a:r>
              <a:rPr lang="en-IN" sz="1600" b="1" baseline="0"/>
              <a:t> wise Sales &amp; Profit</a:t>
            </a:r>
            <a:endParaRPr lang="en-IN" sz="1600" b="1"/>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0"/>
              <c:y val="-1.826484018264840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3.2808398950131233E-3"/>
              <c:y val="-9.1324200913242004E-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dLbl>
          <c:idx val="0"/>
          <c:layout>
            <c:manualLayout>
              <c:x val="0"/>
              <c:y val="-1.369863013698630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layout>
            <c:manualLayout>
              <c:x val="0"/>
              <c:y val="-1.369863013698630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layout>
            <c:manualLayout>
              <c:x val="0"/>
              <c:y val="-1.369863013698630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Analayz!$B$3</c:f>
              <c:strCache>
                <c:ptCount val="1"/>
                <c:pt idx="0">
                  <c:v>Sales</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Analayz!$A$4:$A$9</c:f>
              <c:strCache>
                <c:ptCount val="5"/>
                <c:pt idx="0">
                  <c:v>Central</c:v>
                </c:pt>
                <c:pt idx="1">
                  <c:v>East</c:v>
                </c:pt>
                <c:pt idx="2">
                  <c:v>North</c:v>
                </c:pt>
                <c:pt idx="3">
                  <c:v>South</c:v>
                </c:pt>
                <c:pt idx="4">
                  <c:v>West</c:v>
                </c:pt>
              </c:strCache>
            </c:strRef>
          </c:cat>
          <c:val>
            <c:numRef>
              <c:f>Analayz!$B$4:$B$9</c:f>
              <c:numCache>
                <c:formatCode>0</c:formatCode>
                <c:ptCount val="5"/>
                <c:pt idx="0">
                  <c:v>3376114.85</c:v>
                </c:pt>
                <c:pt idx="1">
                  <c:v>3767835.59</c:v>
                </c:pt>
                <c:pt idx="2">
                  <c:v>5433119.2800000003</c:v>
                </c:pt>
                <c:pt idx="3">
                  <c:v>6398788.3600000003</c:v>
                </c:pt>
                <c:pt idx="4">
                  <c:v>6026905.3799999999</c:v>
                </c:pt>
              </c:numCache>
            </c:numRef>
          </c:val>
          <c:extLst>
            <c:ext xmlns:c16="http://schemas.microsoft.com/office/drawing/2014/chart" uri="{C3380CC4-5D6E-409C-BE32-E72D297353CC}">
              <c16:uniqueId val="{00000000-822F-49CF-A2F4-FC8826E2267D}"/>
            </c:ext>
          </c:extLst>
        </c:ser>
        <c:ser>
          <c:idx val="1"/>
          <c:order val="1"/>
          <c:tx>
            <c:strRef>
              <c:f>Analayz!$C$3</c:f>
              <c:strCache>
                <c:ptCount val="1"/>
                <c:pt idx="0">
                  <c:v>Profit</c:v>
                </c:pt>
              </c:strCache>
            </c:strRef>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3-822F-49CF-A2F4-FC8826E2267D}"/>
              </c:ext>
            </c:extLst>
          </c:dPt>
          <c:dPt>
            <c:idx val="1"/>
            <c:invertIfNegative val="0"/>
            <c:bubble3D val="0"/>
            <c:extLst>
              <c:ext xmlns:c16="http://schemas.microsoft.com/office/drawing/2014/chart" uri="{C3380CC4-5D6E-409C-BE32-E72D297353CC}">
                <c16:uniqueId val="{00000002-822F-49CF-A2F4-FC8826E2267D}"/>
              </c:ext>
            </c:extLst>
          </c:dPt>
          <c:dPt>
            <c:idx val="2"/>
            <c:invertIfNegative val="0"/>
            <c:bubble3D val="0"/>
            <c:extLst>
              <c:ext xmlns:c16="http://schemas.microsoft.com/office/drawing/2014/chart" uri="{C3380CC4-5D6E-409C-BE32-E72D297353CC}">
                <c16:uniqueId val="{00000004-822F-49CF-A2F4-FC8826E2267D}"/>
              </c:ext>
            </c:extLst>
          </c:dPt>
          <c:dPt>
            <c:idx val="3"/>
            <c:invertIfNegative val="0"/>
            <c:bubble3D val="0"/>
            <c:extLst>
              <c:ext xmlns:c16="http://schemas.microsoft.com/office/drawing/2014/chart" uri="{C3380CC4-5D6E-409C-BE32-E72D297353CC}">
                <c16:uniqueId val="{00000005-822F-49CF-A2F4-FC8826E2267D}"/>
              </c:ext>
            </c:extLst>
          </c:dPt>
          <c:dPt>
            <c:idx val="4"/>
            <c:invertIfNegative val="0"/>
            <c:bubble3D val="0"/>
            <c:extLst>
              <c:ext xmlns:c16="http://schemas.microsoft.com/office/drawing/2014/chart" uri="{C3380CC4-5D6E-409C-BE32-E72D297353CC}">
                <c16:uniqueId val="{00000006-822F-49CF-A2F4-FC8826E2267D}"/>
              </c:ext>
            </c:extLst>
          </c:dPt>
          <c:dLbls>
            <c:dLbl>
              <c:idx val="0"/>
              <c:layout>
                <c:manualLayout>
                  <c:x val="-3.2808398950131233E-3"/>
                  <c:y val="-9.13242009132420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2F-49CF-A2F4-FC8826E2267D}"/>
                </c:ext>
              </c:extLst>
            </c:dLbl>
            <c:dLbl>
              <c:idx val="1"/>
              <c:layout>
                <c:manualLayout>
                  <c:x val="0"/>
                  <c:y val="-1.8264840182648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2F-49CF-A2F4-FC8826E2267D}"/>
                </c:ext>
              </c:extLst>
            </c:dLbl>
            <c:dLbl>
              <c:idx val="2"/>
              <c:layout>
                <c:manualLayout>
                  <c:x val="0"/>
                  <c:y val="-1.3698630136986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2F-49CF-A2F4-FC8826E2267D}"/>
                </c:ext>
              </c:extLst>
            </c:dLbl>
            <c:dLbl>
              <c:idx val="3"/>
              <c:layout>
                <c:manualLayout>
                  <c:x val="0"/>
                  <c:y val="-1.3698630136986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2F-49CF-A2F4-FC8826E2267D}"/>
                </c:ext>
              </c:extLst>
            </c:dLbl>
            <c:dLbl>
              <c:idx val="4"/>
              <c:layout>
                <c:manualLayout>
                  <c:x val="0"/>
                  <c:y val="-1.3698630136986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2F-49CF-A2F4-FC8826E2267D}"/>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Analayz!$A$4:$A$9</c:f>
              <c:strCache>
                <c:ptCount val="5"/>
                <c:pt idx="0">
                  <c:v>Central</c:v>
                </c:pt>
                <c:pt idx="1">
                  <c:v>East</c:v>
                </c:pt>
                <c:pt idx="2">
                  <c:v>North</c:v>
                </c:pt>
                <c:pt idx="3">
                  <c:v>South</c:v>
                </c:pt>
                <c:pt idx="4">
                  <c:v>West</c:v>
                </c:pt>
              </c:strCache>
            </c:strRef>
          </c:cat>
          <c:val>
            <c:numRef>
              <c:f>Analayz!$C$4:$C$9</c:f>
              <c:numCache>
                <c:formatCode>0</c:formatCode>
                <c:ptCount val="5"/>
                <c:pt idx="0">
                  <c:v>739680.92</c:v>
                </c:pt>
                <c:pt idx="1">
                  <c:v>823148.14</c:v>
                </c:pt>
                <c:pt idx="2">
                  <c:v>1173891.3500000001</c:v>
                </c:pt>
                <c:pt idx="3">
                  <c:v>1551180.36</c:v>
                </c:pt>
                <c:pt idx="4">
                  <c:v>1304363.3400000001</c:v>
                </c:pt>
              </c:numCache>
            </c:numRef>
          </c:val>
          <c:extLst>
            <c:ext xmlns:c16="http://schemas.microsoft.com/office/drawing/2014/chart" uri="{C3380CC4-5D6E-409C-BE32-E72D297353CC}">
              <c16:uniqueId val="{00000001-822F-49CF-A2F4-FC8826E2267D}"/>
            </c:ext>
          </c:extLst>
        </c:ser>
        <c:dLbls>
          <c:dLblPos val="outEnd"/>
          <c:showLegendKey val="0"/>
          <c:showVal val="1"/>
          <c:showCatName val="0"/>
          <c:showSerName val="0"/>
          <c:showPercent val="0"/>
          <c:showBubbleSize val="0"/>
        </c:dLbls>
        <c:gapWidth val="182"/>
        <c:axId val="1960404351"/>
        <c:axId val="1960396671"/>
      </c:barChart>
      <c:catAx>
        <c:axId val="196040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60396671"/>
        <c:crosses val="autoZero"/>
        <c:auto val="1"/>
        <c:lblAlgn val="ctr"/>
        <c:lblOffset val="100"/>
        <c:noMultiLvlLbl val="0"/>
      </c:catAx>
      <c:valAx>
        <c:axId val="19603966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604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a:t>
            </a:r>
            <a:r>
              <a:rPr lang="en-IN" sz="1600" b="1" baseline="0">
                <a:solidFill>
                  <a:schemeClr val="tx1"/>
                </a:solidFill>
              </a:rPr>
              <a:t> wise sales and profit</a:t>
            </a:r>
            <a:endParaRPr lang="en-IN" sz="1600" b="1">
              <a:solidFill>
                <a:schemeClr val="tx1"/>
              </a:solidFill>
            </a:endParaRPr>
          </a:p>
        </c:rich>
      </c:tx>
      <c:layout>
        <c:manualLayout>
          <c:xMode val="edge"/>
          <c:yMode val="edge"/>
          <c:x val="0.22652379362473687"/>
          <c:y val="1.8525872949709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8.1911462914101438E-2"/>
              <c:y val="-8.5266693726814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8.0377749615071201E-2"/>
              <c:y val="-0.17748419050827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7.8979771328056295E-2"/>
              <c:y val="-9.90993182440335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0.1288185282908238"/>
              <c:y val="-0.103710193083106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7.0184696569920837E-2"/>
              <c:y val="-0.154429816312912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5.5526238639695101E-2"/>
              <c:y val="-0.103710193083106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1.4482556435063031E-2"/>
              <c:y val="-8.9877568565887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4.7903840515977722E-2"/>
              <c:y val="-8.0655818887740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3.7936089123424215E-2"/>
              <c:y val="-0.126764567278472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8.1911462914101493E-2"/>
              <c:y val="-0.108321067922180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c:spPr>
        <c:marker>
          <c:symbol val="circle"/>
          <c:size val="5"/>
          <c:spPr>
            <a:solidFill>
              <a:schemeClr val="bg1"/>
            </a:solidFill>
            <a:ln w="9525">
              <a:solidFill>
                <a:schemeClr val="tx1"/>
              </a:solidFill>
            </a:ln>
            <a:effectLst/>
          </c:spPr>
        </c:marker>
        <c:dLbl>
          <c:idx val="0"/>
          <c:layout>
            <c:manualLayout>
              <c:x val="-6.7253004983875694E-2"/>
              <c:y val="-0.149818941473838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7.7446058029026058E-2"/>
              <c:y val="6.6892175962601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0.10032248607446496"/>
              <c:y val="0.19599667145665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9.445910290237472E-2"/>
              <c:y val="0.1106954869337972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148929932571091"/>
                  <c:h val="6.9094140994017478E-2"/>
                </c:manualLayout>
              </c15:layout>
            </c:ext>
          </c:extLst>
        </c:dLbl>
      </c:pivotFmt>
      <c:pivotFmt>
        <c:idx val="20"/>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7.6868953386103778E-2"/>
              <c:y val="0.149887923065919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1.8235121665200874E-2"/>
              <c:y val="0.246716294686456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2.1166813251246183E-2"/>
              <c:y val="0.232883670169237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5.5526238639695212E-2"/>
              <c:y val="0.149887923065919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8.7129873937261806E-2"/>
              <c:y val="0.1521933604854561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960128994429787"/>
                  <c:h val="6.9094140994017478E-2"/>
                </c:manualLayout>
              </c15:layout>
            </c:ext>
          </c:extLst>
        </c:dLbl>
      </c:pivotFmt>
      <c:pivotFmt>
        <c:idx val="25"/>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7.6868953386103889E-2"/>
              <c:y val="0.237494545008310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6.1389621811785457E-2"/>
              <c:y val="9.4557424997040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7.1005570214013491E-2"/>
              <c:y val="0.20060754629572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Lbl>
          <c:idx val="0"/>
          <c:layout>
            <c:manualLayout>
              <c:x val="-6.2210495455878041E-2"/>
              <c:y val="0.108390049514260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1691586045148E-2"/>
          <c:y val="0.18690199313233791"/>
          <c:w val="0.76811750773897325"/>
          <c:h val="0.71111344276960364"/>
        </c:manualLayout>
      </c:layout>
      <c:lineChart>
        <c:grouping val="stacked"/>
        <c:varyColors val="0"/>
        <c:ser>
          <c:idx val="0"/>
          <c:order val="0"/>
          <c:tx>
            <c:strRef>
              <c:f>Analayz!$B$20</c:f>
              <c:strCache>
                <c:ptCount val="1"/>
                <c:pt idx="0">
                  <c:v>Sales</c:v>
                </c:pt>
              </c:strCache>
            </c:strRef>
          </c:tx>
          <c:spPr>
            <a:ln w="28575" cap="rnd">
              <a:solidFill>
                <a:schemeClr val="bg1">
                  <a:lumMod val="95000"/>
                </a:schemeClr>
              </a:solidFill>
              <a:round/>
            </a:ln>
            <a:effectLst/>
          </c:spPr>
          <c:marker>
            <c:symbol val="circle"/>
            <c:size val="5"/>
            <c:spPr>
              <a:solidFill>
                <a:schemeClr val="tx1"/>
              </a:solidFill>
              <a:ln w="9525">
                <a:solidFill>
                  <a:schemeClr val="bg1">
                    <a:lumMod val="95000"/>
                  </a:schemeClr>
                </a:solidFill>
              </a:ln>
              <a:effectLst/>
            </c:spPr>
          </c:marker>
          <c:dPt>
            <c:idx val="0"/>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0D-B74A-43AA-9BCE-64E6D7EFABC1}"/>
              </c:ext>
            </c:extLst>
          </c:dPt>
          <c:dPt>
            <c:idx val="1"/>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0E-B74A-43AA-9BCE-64E6D7EFABC1}"/>
              </c:ext>
            </c:extLst>
          </c:dPt>
          <c:dPt>
            <c:idx val="2"/>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0F-B74A-43AA-9BCE-64E6D7EFABC1}"/>
              </c:ext>
            </c:extLst>
          </c:dPt>
          <c:dPt>
            <c:idx val="3"/>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0-B74A-43AA-9BCE-64E6D7EFABC1}"/>
              </c:ext>
            </c:extLst>
          </c:dPt>
          <c:dPt>
            <c:idx val="4"/>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1-B74A-43AA-9BCE-64E6D7EFABC1}"/>
              </c:ext>
            </c:extLst>
          </c:dPt>
          <c:dPt>
            <c:idx val="5"/>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7-B74A-43AA-9BCE-64E6D7EFABC1}"/>
              </c:ext>
            </c:extLst>
          </c:dPt>
          <c:dPt>
            <c:idx val="6"/>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6-B74A-43AA-9BCE-64E6D7EFABC1}"/>
              </c:ext>
            </c:extLst>
          </c:dPt>
          <c:dPt>
            <c:idx val="7"/>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5-B74A-43AA-9BCE-64E6D7EFABC1}"/>
              </c:ext>
            </c:extLst>
          </c:dPt>
          <c:dPt>
            <c:idx val="8"/>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8-B74A-43AA-9BCE-64E6D7EFABC1}"/>
              </c:ext>
            </c:extLst>
          </c:dPt>
          <c:dPt>
            <c:idx val="9"/>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4-B74A-43AA-9BCE-64E6D7EFABC1}"/>
              </c:ext>
            </c:extLst>
          </c:dPt>
          <c:dPt>
            <c:idx val="10"/>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3-B74A-43AA-9BCE-64E6D7EFABC1}"/>
              </c:ext>
            </c:extLst>
          </c:dPt>
          <c:dPt>
            <c:idx val="11"/>
            <c:marker>
              <c:symbol val="circle"/>
              <c:size val="5"/>
              <c:spPr>
                <a:solidFill>
                  <a:schemeClr val="tx1"/>
                </a:solidFill>
                <a:ln w="9525">
                  <a:solidFill>
                    <a:schemeClr val="bg1">
                      <a:lumMod val="95000"/>
                    </a:schemeClr>
                  </a:solidFill>
                </a:ln>
                <a:effectLst/>
              </c:spPr>
            </c:marker>
            <c:bubble3D val="0"/>
            <c:extLst>
              <c:ext xmlns:c16="http://schemas.microsoft.com/office/drawing/2014/chart" uri="{C3380CC4-5D6E-409C-BE32-E72D297353CC}">
                <c16:uniqueId val="{00000012-B74A-43AA-9BCE-64E6D7EFABC1}"/>
              </c:ext>
            </c:extLst>
          </c:dPt>
          <c:dLbls>
            <c:dLbl>
              <c:idx val="0"/>
              <c:layout>
                <c:manualLayout>
                  <c:x val="-7.7446058029026058E-2"/>
                  <c:y val="6.6892175962601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74A-43AA-9BCE-64E6D7EFABC1}"/>
                </c:ext>
              </c:extLst>
            </c:dLbl>
            <c:dLbl>
              <c:idx val="1"/>
              <c:layout>
                <c:manualLayout>
                  <c:x val="-0.10032248607446496"/>
                  <c:y val="0.195996671456651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74A-43AA-9BCE-64E6D7EFABC1}"/>
                </c:ext>
              </c:extLst>
            </c:dLbl>
            <c:dLbl>
              <c:idx val="2"/>
              <c:layout>
                <c:manualLayout>
                  <c:x val="-9.445910290237472E-2"/>
                  <c:y val="0.1106954869337972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148929932571091"/>
                      <c:h val="6.9094140994017478E-2"/>
                    </c:manualLayout>
                  </c15:layout>
                </c:ext>
                <c:ext xmlns:c16="http://schemas.microsoft.com/office/drawing/2014/chart" uri="{C3380CC4-5D6E-409C-BE32-E72D297353CC}">
                  <c16:uniqueId val="{0000000F-B74A-43AA-9BCE-64E6D7EFABC1}"/>
                </c:ext>
              </c:extLst>
            </c:dLbl>
            <c:dLbl>
              <c:idx val="3"/>
              <c:layout>
                <c:manualLayout>
                  <c:x val="-7.6868953386103778E-2"/>
                  <c:y val="0.14988792306591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74A-43AA-9BCE-64E6D7EFABC1}"/>
                </c:ext>
              </c:extLst>
            </c:dLbl>
            <c:dLbl>
              <c:idx val="4"/>
              <c:layout>
                <c:manualLayout>
                  <c:x val="-1.8235121665200874E-2"/>
                  <c:y val="0.246716294686456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74A-43AA-9BCE-64E6D7EFABC1}"/>
                </c:ext>
              </c:extLst>
            </c:dLbl>
            <c:dLbl>
              <c:idx val="5"/>
              <c:layout>
                <c:manualLayout>
                  <c:x val="-7.1005570214013491E-2"/>
                  <c:y val="0.20060754629572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74A-43AA-9BCE-64E6D7EFABC1}"/>
                </c:ext>
              </c:extLst>
            </c:dLbl>
            <c:dLbl>
              <c:idx val="6"/>
              <c:layout>
                <c:manualLayout>
                  <c:x val="-6.1389621811785457E-2"/>
                  <c:y val="9.4557424997040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74A-43AA-9BCE-64E6D7EFABC1}"/>
                </c:ext>
              </c:extLst>
            </c:dLbl>
            <c:dLbl>
              <c:idx val="7"/>
              <c:layout>
                <c:manualLayout>
                  <c:x val="-7.6868953386103889E-2"/>
                  <c:y val="0.237494545008310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74A-43AA-9BCE-64E6D7EFABC1}"/>
                </c:ext>
              </c:extLst>
            </c:dLbl>
            <c:dLbl>
              <c:idx val="8"/>
              <c:layout>
                <c:manualLayout>
                  <c:x val="-6.2210495455878041E-2"/>
                  <c:y val="0.108390049514260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74A-43AA-9BCE-64E6D7EFABC1}"/>
                </c:ext>
              </c:extLst>
            </c:dLbl>
            <c:dLbl>
              <c:idx val="9"/>
              <c:layout>
                <c:manualLayout>
                  <c:x val="-8.7129873937261806E-2"/>
                  <c:y val="0.1521933604854561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960128994429787"/>
                      <c:h val="6.9094140994017478E-2"/>
                    </c:manualLayout>
                  </c15:layout>
                </c:ext>
                <c:ext xmlns:c16="http://schemas.microsoft.com/office/drawing/2014/chart" uri="{C3380CC4-5D6E-409C-BE32-E72D297353CC}">
                  <c16:uniqueId val="{00000014-B74A-43AA-9BCE-64E6D7EFABC1}"/>
                </c:ext>
              </c:extLst>
            </c:dLbl>
            <c:dLbl>
              <c:idx val="10"/>
              <c:layout>
                <c:manualLayout>
                  <c:x val="-5.5526238639695212E-2"/>
                  <c:y val="0.149887923065919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74A-43AA-9BCE-64E6D7EFABC1}"/>
                </c:ext>
              </c:extLst>
            </c:dLbl>
            <c:dLbl>
              <c:idx val="11"/>
              <c:layout>
                <c:manualLayout>
                  <c:x val="-2.1166813251246183E-2"/>
                  <c:y val="0.232883670169237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74A-43AA-9BCE-64E6D7EFAB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Analayz!$B$21:$B$33</c:f>
              <c:numCache>
                <c:formatCode>0</c:formatCode>
                <c:ptCount val="12"/>
                <c:pt idx="0">
                  <c:v>1926915.84</c:v>
                </c:pt>
                <c:pt idx="1">
                  <c:v>1895508.36</c:v>
                </c:pt>
                <c:pt idx="2">
                  <c:v>2513205.98</c:v>
                </c:pt>
                <c:pt idx="3">
                  <c:v>1699823.06</c:v>
                </c:pt>
                <c:pt idx="4">
                  <c:v>1780396.31</c:v>
                </c:pt>
                <c:pt idx="5">
                  <c:v>2251063.5099999998</c:v>
                </c:pt>
                <c:pt idx="6">
                  <c:v>2298692.5</c:v>
                </c:pt>
                <c:pt idx="7">
                  <c:v>2039425.78</c:v>
                </c:pt>
                <c:pt idx="8">
                  <c:v>2500793.1800000002</c:v>
                </c:pt>
                <c:pt idx="9">
                  <c:v>2315977.21</c:v>
                </c:pt>
                <c:pt idx="10">
                  <c:v>1886240.1</c:v>
                </c:pt>
                <c:pt idx="11">
                  <c:v>1894721.63</c:v>
                </c:pt>
              </c:numCache>
            </c:numRef>
          </c:val>
          <c:smooth val="0"/>
          <c:extLst>
            <c:ext xmlns:c16="http://schemas.microsoft.com/office/drawing/2014/chart" uri="{C3380CC4-5D6E-409C-BE32-E72D297353CC}">
              <c16:uniqueId val="{00000000-B74A-43AA-9BCE-64E6D7EFABC1}"/>
            </c:ext>
          </c:extLst>
        </c:ser>
        <c:ser>
          <c:idx val="1"/>
          <c:order val="1"/>
          <c:tx>
            <c:strRef>
              <c:f>Analayz!$C$20</c:f>
              <c:strCache>
                <c:ptCount val="1"/>
                <c:pt idx="0">
                  <c:v>Profit</c:v>
                </c:pt>
              </c:strCache>
            </c:strRef>
          </c:tx>
          <c:spPr>
            <a:ln w="28575" cap="rnd">
              <a:solidFill>
                <a:schemeClr val="tx1"/>
              </a:solidFill>
              <a:round/>
            </a:ln>
            <a:effectLst/>
          </c:spPr>
          <c:marker>
            <c:symbol val="circle"/>
            <c:size val="5"/>
            <c:spPr>
              <a:solidFill>
                <a:schemeClr val="bg1"/>
              </a:solidFill>
              <a:ln w="9525">
                <a:solidFill>
                  <a:schemeClr val="tx1"/>
                </a:solidFill>
              </a:ln>
              <a:effectLst/>
            </c:spPr>
          </c:marker>
          <c:dPt>
            <c:idx val="0"/>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3-B74A-43AA-9BCE-64E6D7EFABC1}"/>
              </c:ext>
            </c:extLst>
          </c:dPt>
          <c:dPt>
            <c:idx val="1"/>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4-B74A-43AA-9BCE-64E6D7EFABC1}"/>
              </c:ext>
            </c:extLst>
          </c:dPt>
          <c:dPt>
            <c:idx val="2"/>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2-B74A-43AA-9BCE-64E6D7EFABC1}"/>
              </c:ext>
            </c:extLst>
          </c:dPt>
          <c:dPt>
            <c:idx val="3"/>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C-B74A-43AA-9BCE-64E6D7EFABC1}"/>
              </c:ext>
            </c:extLst>
          </c:dPt>
          <c:dPt>
            <c:idx val="5"/>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5-B74A-43AA-9BCE-64E6D7EFABC1}"/>
              </c:ext>
            </c:extLst>
          </c:dPt>
          <c:dPt>
            <c:idx val="6"/>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6-B74A-43AA-9BCE-64E6D7EFABC1}"/>
              </c:ext>
            </c:extLst>
          </c:dPt>
          <c:dPt>
            <c:idx val="7"/>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B-B74A-43AA-9BCE-64E6D7EFABC1}"/>
              </c:ext>
            </c:extLst>
          </c:dPt>
          <c:dPt>
            <c:idx val="8"/>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7-B74A-43AA-9BCE-64E6D7EFABC1}"/>
              </c:ext>
            </c:extLst>
          </c:dPt>
          <c:dPt>
            <c:idx val="9"/>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8-B74A-43AA-9BCE-64E6D7EFABC1}"/>
              </c:ext>
            </c:extLst>
          </c:dPt>
          <c:dPt>
            <c:idx val="10"/>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A-B74A-43AA-9BCE-64E6D7EFABC1}"/>
              </c:ext>
            </c:extLst>
          </c:dPt>
          <c:dPt>
            <c:idx val="11"/>
            <c:marker>
              <c:symbol val="circle"/>
              <c:size val="5"/>
              <c:spPr>
                <a:solidFill>
                  <a:schemeClr val="bg1"/>
                </a:solidFill>
                <a:ln w="9525">
                  <a:solidFill>
                    <a:schemeClr val="tx1"/>
                  </a:solidFill>
                </a:ln>
                <a:effectLst/>
              </c:spPr>
            </c:marker>
            <c:bubble3D val="0"/>
            <c:extLst>
              <c:ext xmlns:c16="http://schemas.microsoft.com/office/drawing/2014/chart" uri="{C3380CC4-5D6E-409C-BE32-E72D297353CC}">
                <c16:uniqueId val="{00000009-B74A-43AA-9BCE-64E6D7EFABC1}"/>
              </c:ext>
            </c:extLst>
          </c:dPt>
          <c:dLbls>
            <c:dLbl>
              <c:idx val="0"/>
              <c:layout>
                <c:manualLayout>
                  <c:x val="-8.0377749615071201E-2"/>
                  <c:y val="-0.177484190508278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4A-43AA-9BCE-64E6D7EFABC1}"/>
                </c:ext>
              </c:extLst>
            </c:dLbl>
            <c:dLbl>
              <c:idx val="1"/>
              <c:layout>
                <c:manualLayout>
                  <c:x val="-7.8979771328056295E-2"/>
                  <c:y val="-9.9099318244033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4A-43AA-9BCE-64E6D7EFABC1}"/>
                </c:ext>
              </c:extLst>
            </c:dLbl>
            <c:dLbl>
              <c:idx val="2"/>
              <c:layout>
                <c:manualLayout>
                  <c:x val="-8.1911462914101438E-2"/>
                  <c:y val="-8.5266693726814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4A-43AA-9BCE-64E6D7EFABC1}"/>
                </c:ext>
              </c:extLst>
            </c:dLbl>
            <c:dLbl>
              <c:idx val="3"/>
              <c:layout>
                <c:manualLayout>
                  <c:x val="-6.7253004983875694E-2"/>
                  <c:y val="-0.149818941473838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74A-43AA-9BCE-64E6D7EFABC1}"/>
                </c:ext>
              </c:extLst>
            </c:dLbl>
            <c:dLbl>
              <c:idx val="5"/>
              <c:layout>
                <c:manualLayout>
                  <c:x val="-0.1288185282908238"/>
                  <c:y val="-0.103710193083106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4A-43AA-9BCE-64E6D7EFABC1}"/>
                </c:ext>
              </c:extLst>
            </c:dLbl>
            <c:dLbl>
              <c:idx val="6"/>
              <c:layout>
                <c:manualLayout>
                  <c:x val="-7.0184696569920837E-2"/>
                  <c:y val="-0.154429816312912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4A-43AA-9BCE-64E6D7EFABC1}"/>
                </c:ext>
              </c:extLst>
            </c:dLbl>
            <c:dLbl>
              <c:idx val="7"/>
              <c:layout>
                <c:manualLayout>
                  <c:x val="-8.1911462914101493E-2"/>
                  <c:y val="-0.108321067922180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4A-43AA-9BCE-64E6D7EFABC1}"/>
                </c:ext>
              </c:extLst>
            </c:dLbl>
            <c:dLbl>
              <c:idx val="8"/>
              <c:layout>
                <c:manualLayout>
                  <c:x val="-5.5526238639695101E-2"/>
                  <c:y val="-0.103710193083106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4A-43AA-9BCE-64E6D7EFABC1}"/>
                </c:ext>
              </c:extLst>
            </c:dLbl>
            <c:dLbl>
              <c:idx val="9"/>
              <c:layout>
                <c:manualLayout>
                  <c:x val="-1.4482556435063031E-2"/>
                  <c:y val="-8.98775685658872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4A-43AA-9BCE-64E6D7EFABC1}"/>
                </c:ext>
              </c:extLst>
            </c:dLbl>
            <c:dLbl>
              <c:idx val="10"/>
              <c:layout>
                <c:manualLayout>
                  <c:x val="-3.7936089123424215E-2"/>
                  <c:y val="-0.126764567278472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4A-43AA-9BCE-64E6D7EFABC1}"/>
                </c:ext>
              </c:extLst>
            </c:dLbl>
            <c:dLbl>
              <c:idx val="11"/>
              <c:layout>
                <c:manualLayout>
                  <c:x val="4.7903840515977722E-2"/>
                  <c:y val="-8.0655818887740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4A-43AA-9BCE-64E6D7EFAB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Analayz!$C$21:$C$33</c:f>
              <c:numCache>
                <c:formatCode>0</c:formatCode>
                <c:ptCount val="12"/>
                <c:pt idx="0">
                  <c:v>481376.66</c:v>
                </c:pt>
                <c:pt idx="1">
                  <c:v>440772.51</c:v>
                </c:pt>
                <c:pt idx="2">
                  <c:v>601653.88</c:v>
                </c:pt>
                <c:pt idx="3">
                  <c:v>411578.34</c:v>
                </c:pt>
                <c:pt idx="4">
                  <c:v>365964.96</c:v>
                </c:pt>
                <c:pt idx="5">
                  <c:v>577098.36</c:v>
                </c:pt>
                <c:pt idx="6">
                  <c:v>459786.14</c:v>
                </c:pt>
                <c:pt idx="7">
                  <c:v>495839.92</c:v>
                </c:pt>
                <c:pt idx="8">
                  <c:v>473314.96</c:v>
                </c:pt>
                <c:pt idx="9">
                  <c:v>483853.42</c:v>
                </c:pt>
                <c:pt idx="10">
                  <c:v>384820.56</c:v>
                </c:pt>
                <c:pt idx="11">
                  <c:v>416204.4</c:v>
                </c:pt>
              </c:numCache>
            </c:numRef>
          </c:val>
          <c:smooth val="0"/>
          <c:extLst>
            <c:ext xmlns:c16="http://schemas.microsoft.com/office/drawing/2014/chart" uri="{C3380CC4-5D6E-409C-BE32-E72D297353CC}">
              <c16:uniqueId val="{00000001-B74A-43AA-9BCE-64E6D7EFABC1}"/>
            </c:ext>
          </c:extLst>
        </c:ser>
        <c:dLbls>
          <c:dLblPos val="t"/>
          <c:showLegendKey val="0"/>
          <c:showVal val="1"/>
          <c:showCatName val="0"/>
          <c:showSerName val="0"/>
          <c:showPercent val="0"/>
          <c:showBubbleSize val="0"/>
        </c:dLbls>
        <c:marker val="1"/>
        <c:smooth val="0"/>
        <c:axId val="1869049791"/>
        <c:axId val="1869050271"/>
      </c:lineChart>
      <c:catAx>
        <c:axId val="186904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9050271"/>
        <c:crosses val="autoZero"/>
        <c:auto val="1"/>
        <c:lblAlgn val="ctr"/>
        <c:lblOffset val="100"/>
        <c:noMultiLvlLbl val="0"/>
      </c:catAx>
      <c:valAx>
        <c:axId val="1869050271"/>
        <c:scaling>
          <c:orientation val="minMax"/>
        </c:scaling>
        <c:delete val="1"/>
        <c:axPos val="l"/>
        <c:numFmt formatCode="0" sourceLinked="1"/>
        <c:majorTickMark val="none"/>
        <c:minorTickMark val="none"/>
        <c:tickLblPos val="nextTo"/>
        <c:crossAx val="186904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Low</a:t>
            </a:r>
            <a:r>
              <a:rPr lang="en-US" b="1" baseline="0">
                <a:solidFill>
                  <a:schemeClr val="tx1"/>
                </a:solidFill>
              </a:rPr>
              <a:t> &amp;zero discount product</a:t>
            </a:r>
            <a:r>
              <a:rPr lang="en-US" b="1">
                <a:solidFill>
                  <a:schemeClr val="tx1"/>
                </a:solidFill>
              </a:rPr>
              <a:t> </a:t>
            </a:r>
          </a:p>
        </c:rich>
      </c:tx>
      <c:layout>
        <c:manualLayout>
          <c:xMode val="edge"/>
          <c:yMode val="edge"/>
          <c:x val="0.52502971986405789"/>
          <c:y val="3.540088824046859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lumMod val="95000"/>
                <a:lumOff val="5000"/>
              </a:schemeClr>
            </a:solidFill>
            <a:round/>
          </a:ln>
          <a:effectLst/>
        </c:spPr>
        <c:marker>
          <c:symbol val="none"/>
        </c:marker>
        <c:dLbl>
          <c:idx val="0"/>
          <c:layout>
            <c:manualLayout>
              <c:x val="1.4801657785671996E-2"/>
              <c:y val="-0.249772933696639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tx1">
                <a:lumMod val="95000"/>
                <a:lumOff val="5000"/>
              </a:schemeClr>
            </a:solidFill>
            <a:round/>
          </a:ln>
          <a:effectLst/>
        </c:spPr>
        <c:marker>
          <c:symbol val="none"/>
        </c:marker>
        <c:dLbl>
          <c:idx val="0"/>
          <c:layout>
            <c:manualLayout>
              <c:x val="4.1444641799881589E-2"/>
              <c:y val="-0.213442325158946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lumMod val="95000"/>
                <a:lumOff val="5000"/>
              </a:schemeClr>
            </a:solidFill>
            <a:round/>
          </a:ln>
          <a:effectLst/>
        </c:spPr>
        <c:marker>
          <c:symbol val="none"/>
        </c:marker>
        <c:dLbl>
          <c:idx val="0"/>
          <c:layout>
            <c:manualLayout>
              <c:x val="-0.11249259917110717"/>
              <c:y val="-5.4495912806539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tx1">
                <a:lumMod val="95000"/>
                <a:lumOff val="5000"/>
              </a:schemeClr>
            </a:solidFill>
            <a:round/>
          </a:ln>
          <a:effectLst/>
        </c:spPr>
        <c:marker>
          <c:symbol val="none"/>
        </c:marker>
        <c:dLbl>
          <c:idx val="0"/>
          <c:layout>
            <c:manualLayout>
              <c:x val="7.4008288928359978E-2"/>
              <c:y val="-5.903723887375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tx1">
                <a:lumMod val="95000"/>
                <a:lumOff val="5000"/>
              </a:schemeClr>
            </a:solidFill>
            <a:round/>
          </a:ln>
          <a:effectLst/>
        </c:spPr>
        <c:marker>
          <c:symbol val="none"/>
        </c:marker>
        <c:dLbl>
          <c:idx val="0"/>
          <c:layout>
            <c:manualLayout>
              <c:x val="2.6642984014209482E-2"/>
              <c:y val="-2.2706630336058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tx1">
                <a:lumMod val="95000"/>
                <a:lumOff val="5000"/>
              </a:schemeClr>
            </a:solidFill>
            <a:round/>
          </a:ln>
          <a:effectLst/>
        </c:spPr>
        <c:marker>
          <c:symbol val="none"/>
        </c:marker>
        <c:dLbl>
          <c:idx val="0"/>
          <c:layout>
            <c:manualLayout>
              <c:x val="1.1841326228537596E-2"/>
              <c:y val="0.14078110808356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bg1"/>
            </a:solidFill>
            <a:round/>
          </a:ln>
          <a:effectLst/>
        </c:spPr>
        <c:marker>
          <c:symbol val="none"/>
        </c:marker>
        <c:dLbl>
          <c:idx val="0"/>
          <c:layout>
            <c:manualLayout>
              <c:x val="8.8809946714031973E-2"/>
              <c:y val="-0.14078110808356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bg1"/>
            </a:solidFill>
            <a:round/>
          </a:ln>
          <a:effectLst/>
        </c:spPr>
        <c:marker>
          <c:symbol val="none"/>
        </c:marker>
        <c:dLbl>
          <c:idx val="0"/>
          <c:layout>
            <c:manualLayout>
              <c:x val="0.10953226761397282"/>
              <c:y val="-0.131698455949137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bg1"/>
            </a:solidFill>
            <a:round/>
          </a:ln>
          <a:effectLst/>
        </c:spPr>
        <c:marker>
          <c:symbol val="none"/>
        </c:marker>
        <c:dLbl>
          <c:idx val="0"/>
          <c:layout>
            <c:manualLayout>
              <c:x val="-0.10361160449970397"/>
              <c:y val="7.72025431425976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bg1"/>
            </a:solidFill>
            <a:round/>
          </a:ln>
          <a:effectLst/>
        </c:spPr>
        <c:marker>
          <c:symbol val="none"/>
        </c:marker>
        <c:dLbl>
          <c:idx val="0"/>
          <c:layout>
            <c:manualLayout>
              <c:x val="-6.5127294256956778E-2"/>
              <c:y val="5.90372388737509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bg1"/>
            </a:solidFill>
            <a:round/>
          </a:ln>
          <a:effectLst/>
        </c:spPr>
        <c:marker>
          <c:symbol val="none"/>
        </c:marker>
        <c:dLbl>
          <c:idx val="0"/>
          <c:layout>
            <c:manualLayout>
              <c:x val="-5.6246299585553688E-2"/>
              <c:y val="-7.72025431425976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bg1"/>
            </a:solidFill>
            <a:round/>
          </a:ln>
          <a:effectLst/>
        </c:spPr>
        <c:marker>
          <c:symbol val="none"/>
        </c:marker>
        <c:dLbl>
          <c:idx val="0"/>
          <c:layout>
            <c:manualLayout>
              <c:x val="8.8809946714031966E-3"/>
              <c:y val="-0.172570390554041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58112473951417E-2"/>
          <c:y val="0.14210774743075372"/>
          <c:w val="0.52053304615786256"/>
          <c:h val="0.79852889642200719"/>
        </c:manualLayout>
      </c:layout>
      <c:lineChart>
        <c:grouping val="standard"/>
        <c:varyColors val="0"/>
        <c:ser>
          <c:idx val="0"/>
          <c:order val="0"/>
          <c:tx>
            <c:strRef>
              <c:f>Analayz!$H$3</c:f>
              <c:strCache>
                <c:ptCount val="1"/>
                <c:pt idx="0">
                  <c:v>Sum of sales</c:v>
                </c:pt>
              </c:strCache>
            </c:strRef>
          </c:tx>
          <c:spPr>
            <a:ln w="28575" cap="rnd">
              <a:solidFill>
                <a:schemeClr val="tx1">
                  <a:lumMod val="95000"/>
                  <a:lumOff val="5000"/>
                </a:schemeClr>
              </a:solidFill>
              <a:round/>
            </a:ln>
            <a:effectLst/>
          </c:spPr>
          <c:marker>
            <c:symbol val="none"/>
          </c:marker>
          <c:dPt>
            <c:idx val="0"/>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1-B580-4105-810D-F74671936F4F}"/>
              </c:ext>
            </c:extLst>
          </c:dPt>
          <c:dPt>
            <c:idx val="1"/>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3-B580-4105-810D-F74671936F4F}"/>
              </c:ext>
            </c:extLst>
          </c:dPt>
          <c:dPt>
            <c:idx val="2"/>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5-B580-4105-810D-F74671936F4F}"/>
              </c:ext>
            </c:extLst>
          </c:dPt>
          <c:dPt>
            <c:idx val="3"/>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7-B580-4105-810D-F74671936F4F}"/>
              </c:ext>
            </c:extLst>
          </c:dPt>
          <c:dPt>
            <c:idx val="4"/>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9-B580-4105-810D-F74671936F4F}"/>
              </c:ext>
            </c:extLst>
          </c:dPt>
          <c:dPt>
            <c:idx val="5"/>
            <c:marker>
              <c:symbol val="none"/>
            </c:marker>
            <c:bubble3D val="0"/>
            <c:spPr>
              <a:ln w="28575" cap="rnd">
                <a:solidFill>
                  <a:schemeClr val="tx1">
                    <a:lumMod val="95000"/>
                    <a:lumOff val="5000"/>
                  </a:schemeClr>
                </a:solidFill>
                <a:round/>
              </a:ln>
              <a:effectLst/>
            </c:spPr>
            <c:extLst>
              <c:ext xmlns:c16="http://schemas.microsoft.com/office/drawing/2014/chart" uri="{C3380CC4-5D6E-409C-BE32-E72D297353CC}">
                <c16:uniqueId val="{0000000B-B580-4105-810D-F74671936F4F}"/>
              </c:ext>
            </c:extLst>
          </c:dPt>
          <c:dLbls>
            <c:dLbl>
              <c:idx val="0"/>
              <c:layout>
                <c:manualLayout>
                  <c:x val="1.4801657785671996E-2"/>
                  <c:y val="-0.249772933696639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80-4105-810D-F74671936F4F}"/>
                </c:ext>
              </c:extLst>
            </c:dLbl>
            <c:dLbl>
              <c:idx val="1"/>
              <c:layout>
                <c:manualLayout>
                  <c:x val="4.1444641799881589E-2"/>
                  <c:y val="-0.213442325158946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80-4105-810D-F74671936F4F}"/>
                </c:ext>
              </c:extLst>
            </c:dLbl>
            <c:dLbl>
              <c:idx val="2"/>
              <c:layout>
                <c:manualLayout>
                  <c:x val="-0.11249259917110717"/>
                  <c:y val="-5.4495912806539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80-4105-810D-F74671936F4F}"/>
                </c:ext>
              </c:extLst>
            </c:dLbl>
            <c:dLbl>
              <c:idx val="3"/>
              <c:layout>
                <c:manualLayout>
                  <c:x val="7.4008288928359978E-2"/>
                  <c:y val="-5.903723887375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80-4105-810D-F74671936F4F}"/>
                </c:ext>
              </c:extLst>
            </c:dLbl>
            <c:dLbl>
              <c:idx val="4"/>
              <c:layout>
                <c:manualLayout>
                  <c:x val="2.6642984014209482E-2"/>
                  <c:y val="-2.2706630336058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80-4105-810D-F74671936F4F}"/>
                </c:ext>
              </c:extLst>
            </c:dLbl>
            <c:dLbl>
              <c:idx val="5"/>
              <c:layout>
                <c:manualLayout>
                  <c:x val="1.1841326228537596E-2"/>
                  <c:y val="0.1407811080835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80-4105-810D-F74671936F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Analayz!$G$4:$G$10</c:f>
              <c:strCache>
                <c:ptCount val="6"/>
                <c:pt idx="0">
                  <c:v>Beauty &amp; Personal Care</c:v>
                </c:pt>
                <c:pt idx="1">
                  <c:v>Clothing</c:v>
                </c:pt>
                <c:pt idx="2">
                  <c:v>Electronics</c:v>
                </c:pt>
                <c:pt idx="3">
                  <c:v>Furniture</c:v>
                </c:pt>
                <c:pt idx="4">
                  <c:v>Home Appliances</c:v>
                </c:pt>
                <c:pt idx="5">
                  <c:v>Office Supplies</c:v>
                </c:pt>
              </c:strCache>
            </c:strRef>
          </c:cat>
          <c:val>
            <c:numRef>
              <c:f>Analayz!$H$4:$H$10</c:f>
              <c:numCache>
                <c:formatCode>0</c:formatCode>
                <c:ptCount val="6"/>
                <c:pt idx="0">
                  <c:v>827172.97999999986</c:v>
                </c:pt>
                <c:pt idx="1">
                  <c:v>1367139.419999999</c:v>
                </c:pt>
                <c:pt idx="2">
                  <c:v>5766806.2000000011</c:v>
                </c:pt>
                <c:pt idx="3">
                  <c:v>4408965.6700000009</c:v>
                </c:pt>
                <c:pt idx="4">
                  <c:v>3393741.3599999994</c:v>
                </c:pt>
                <c:pt idx="5">
                  <c:v>383397.67000000027</c:v>
                </c:pt>
              </c:numCache>
            </c:numRef>
          </c:val>
          <c:smooth val="0"/>
          <c:extLst>
            <c:ext xmlns:c16="http://schemas.microsoft.com/office/drawing/2014/chart" uri="{C3380CC4-5D6E-409C-BE32-E72D297353CC}">
              <c16:uniqueId val="{0000000C-B580-4105-810D-F74671936F4F}"/>
            </c:ext>
          </c:extLst>
        </c:ser>
        <c:ser>
          <c:idx val="1"/>
          <c:order val="1"/>
          <c:tx>
            <c:strRef>
              <c:f>Analayz!$I$3</c:f>
              <c:strCache>
                <c:ptCount val="1"/>
                <c:pt idx="0">
                  <c:v>Sum of profit</c:v>
                </c:pt>
              </c:strCache>
            </c:strRef>
          </c:tx>
          <c:spPr>
            <a:ln w="28575" cap="rnd">
              <a:solidFill>
                <a:schemeClr val="bg1"/>
              </a:solidFill>
              <a:round/>
            </a:ln>
            <a:effectLst/>
          </c:spPr>
          <c:marker>
            <c:symbol val="none"/>
          </c:marker>
          <c:dPt>
            <c:idx val="0"/>
            <c:marker>
              <c:symbol val="none"/>
            </c:marker>
            <c:bubble3D val="0"/>
            <c:spPr>
              <a:ln w="28575" cap="rnd">
                <a:solidFill>
                  <a:schemeClr val="bg1"/>
                </a:solidFill>
                <a:round/>
              </a:ln>
              <a:effectLst/>
            </c:spPr>
            <c:extLst>
              <c:ext xmlns:c16="http://schemas.microsoft.com/office/drawing/2014/chart" uri="{C3380CC4-5D6E-409C-BE32-E72D297353CC}">
                <c16:uniqueId val="{0000000E-B580-4105-810D-F74671936F4F}"/>
              </c:ext>
            </c:extLst>
          </c:dPt>
          <c:dPt>
            <c:idx val="1"/>
            <c:marker>
              <c:symbol val="none"/>
            </c:marker>
            <c:bubble3D val="0"/>
            <c:spPr>
              <a:ln w="28575" cap="rnd">
                <a:solidFill>
                  <a:schemeClr val="bg1"/>
                </a:solidFill>
                <a:round/>
              </a:ln>
              <a:effectLst/>
            </c:spPr>
            <c:extLst>
              <c:ext xmlns:c16="http://schemas.microsoft.com/office/drawing/2014/chart" uri="{C3380CC4-5D6E-409C-BE32-E72D297353CC}">
                <c16:uniqueId val="{00000010-B580-4105-810D-F74671936F4F}"/>
              </c:ext>
            </c:extLst>
          </c:dPt>
          <c:dPt>
            <c:idx val="2"/>
            <c:marker>
              <c:symbol val="none"/>
            </c:marker>
            <c:bubble3D val="0"/>
            <c:spPr>
              <a:ln w="28575" cap="rnd">
                <a:solidFill>
                  <a:schemeClr val="bg1"/>
                </a:solidFill>
                <a:round/>
              </a:ln>
              <a:effectLst/>
            </c:spPr>
            <c:extLst>
              <c:ext xmlns:c16="http://schemas.microsoft.com/office/drawing/2014/chart" uri="{C3380CC4-5D6E-409C-BE32-E72D297353CC}">
                <c16:uniqueId val="{00000012-B580-4105-810D-F74671936F4F}"/>
              </c:ext>
            </c:extLst>
          </c:dPt>
          <c:dPt>
            <c:idx val="3"/>
            <c:marker>
              <c:symbol val="none"/>
            </c:marker>
            <c:bubble3D val="0"/>
            <c:spPr>
              <a:ln w="28575" cap="rnd">
                <a:solidFill>
                  <a:schemeClr val="bg1"/>
                </a:solidFill>
                <a:round/>
              </a:ln>
              <a:effectLst/>
            </c:spPr>
            <c:extLst>
              <c:ext xmlns:c16="http://schemas.microsoft.com/office/drawing/2014/chart" uri="{C3380CC4-5D6E-409C-BE32-E72D297353CC}">
                <c16:uniqueId val="{00000014-B580-4105-810D-F74671936F4F}"/>
              </c:ext>
            </c:extLst>
          </c:dPt>
          <c:dPt>
            <c:idx val="4"/>
            <c:marker>
              <c:symbol val="none"/>
            </c:marker>
            <c:bubble3D val="0"/>
            <c:spPr>
              <a:ln w="28575" cap="rnd">
                <a:solidFill>
                  <a:schemeClr val="bg1"/>
                </a:solidFill>
                <a:round/>
              </a:ln>
              <a:effectLst/>
            </c:spPr>
            <c:extLst>
              <c:ext xmlns:c16="http://schemas.microsoft.com/office/drawing/2014/chart" uri="{C3380CC4-5D6E-409C-BE32-E72D297353CC}">
                <c16:uniqueId val="{00000016-B580-4105-810D-F74671936F4F}"/>
              </c:ext>
            </c:extLst>
          </c:dPt>
          <c:dPt>
            <c:idx val="5"/>
            <c:marker>
              <c:symbol val="none"/>
            </c:marker>
            <c:bubble3D val="0"/>
            <c:spPr>
              <a:ln w="28575" cap="rnd">
                <a:solidFill>
                  <a:schemeClr val="bg1"/>
                </a:solidFill>
                <a:round/>
              </a:ln>
              <a:effectLst/>
            </c:spPr>
            <c:extLst>
              <c:ext xmlns:c16="http://schemas.microsoft.com/office/drawing/2014/chart" uri="{C3380CC4-5D6E-409C-BE32-E72D297353CC}">
                <c16:uniqueId val="{00000018-B580-4105-810D-F74671936F4F}"/>
              </c:ext>
            </c:extLst>
          </c:dPt>
          <c:dLbls>
            <c:dLbl>
              <c:idx val="0"/>
              <c:layout>
                <c:manualLayout>
                  <c:x val="8.8809946714031973E-2"/>
                  <c:y val="-0.1407811080835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80-4105-810D-F74671936F4F}"/>
                </c:ext>
              </c:extLst>
            </c:dLbl>
            <c:dLbl>
              <c:idx val="1"/>
              <c:layout>
                <c:manualLayout>
                  <c:x val="0.10953226761397282"/>
                  <c:y val="-0.13169845594913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80-4105-810D-F74671936F4F}"/>
                </c:ext>
              </c:extLst>
            </c:dLbl>
            <c:dLbl>
              <c:idx val="2"/>
              <c:layout>
                <c:manualLayout>
                  <c:x val="-0.10361160449970397"/>
                  <c:y val="7.7202543142597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580-4105-810D-F74671936F4F}"/>
                </c:ext>
              </c:extLst>
            </c:dLbl>
            <c:dLbl>
              <c:idx val="3"/>
              <c:layout>
                <c:manualLayout>
                  <c:x val="-6.5127294256956778E-2"/>
                  <c:y val="5.9037238873750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580-4105-810D-F74671936F4F}"/>
                </c:ext>
              </c:extLst>
            </c:dLbl>
            <c:dLbl>
              <c:idx val="4"/>
              <c:layout>
                <c:manualLayout>
                  <c:x val="-5.6246299585553688E-2"/>
                  <c:y val="-7.7202543142597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580-4105-810D-F74671936F4F}"/>
                </c:ext>
              </c:extLst>
            </c:dLbl>
            <c:dLbl>
              <c:idx val="5"/>
              <c:layout>
                <c:manualLayout>
                  <c:x val="8.8809946714031966E-3"/>
                  <c:y val="-0.17257039055404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580-4105-810D-F74671936F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Analayz!$G$4:$G$10</c:f>
              <c:strCache>
                <c:ptCount val="6"/>
                <c:pt idx="0">
                  <c:v>Beauty &amp; Personal Care</c:v>
                </c:pt>
                <c:pt idx="1">
                  <c:v>Clothing</c:v>
                </c:pt>
                <c:pt idx="2">
                  <c:v>Electronics</c:v>
                </c:pt>
                <c:pt idx="3">
                  <c:v>Furniture</c:v>
                </c:pt>
                <c:pt idx="4">
                  <c:v>Home Appliances</c:v>
                </c:pt>
                <c:pt idx="5">
                  <c:v>Office Supplies</c:v>
                </c:pt>
              </c:strCache>
            </c:strRef>
          </c:cat>
          <c:val>
            <c:numRef>
              <c:f>Analayz!$I$4:$I$10</c:f>
              <c:numCache>
                <c:formatCode>0</c:formatCode>
                <c:ptCount val="6"/>
                <c:pt idx="0">
                  <c:v>378089.25000000012</c:v>
                </c:pt>
                <c:pt idx="1">
                  <c:v>613681.8399999995</c:v>
                </c:pt>
                <c:pt idx="2">
                  <c:v>1136830.5899999999</c:v>
                </c:pt>
                <c:pt idx="3">
                  <c:v>1254779.1899999995</c:v>
                </c:pt>
                <c:pt idx="4">
                  <c:v>821847.47</c:v>
                </c:pt>
                <c:pt idx="5">
                  <c:v>150702.11000000002</c:v>
                </c:pt>
              </c:numCache>
            </c:numRef>
          </c:val>
          <c:smooth val="0"/>
          <c:extLst>
            <c:ext xmlns:c16="http://schemas.microsoft.com/office/drawing/2014/chart" uri="{C3380CC4-5D6E-409C-BE32-E72D297353CC}">
              <c16:uniqueId val="{00000019-B580-4105-810D-F74671936F4F}"/>
            </c:ext>
          </c:extLst>
        </c:ser>
        <c:dLbls>
          <c:showLegendKey val="0"/>
          <c:showVal val="0"/>
          <c:showCatName val="0"/>
          <c:showSerName val="0"/>
          <c:showPercent val="0"/>
          <c:showBubbleSize val="0"/>
        </c:dLbls>
        <c:smooth val="0"/>
        <c:axId val="1093419024"/>
        <c:axId val="1093412304"/>
      </c:lineChart>
      <c:catAx>
        <c:axId val="109341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3412304"/>
        <c:auto val="1"/>
        <c:lblAlgn val="ctr"/>
        <c:lblOffset val="100"/>
        <c:noMultiLvlLbl val="0"/>
      </c:catAx>
      <c:valAx>
        <c:axId val="109341230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3419024"/>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Dashboard.xlsx]Analayz!PivotTable11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Discount</a:t>
            </a:r>
            <a:r>
              <a:rPr lang="en-US" b="1" baseline="0">
                <a:solidFill>
                  <a:schemeClr val="tx1"/>
                </a:solidFill>
              </a:rPr>
              <a:t> range vs Sales and Profit</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03960396039604E-2"/>
          <c:y val="0.16616022099447517"/>
          <c:w val="0.6925017541124191"/>
          <c:h val="0.68752519540029877"/>
        </c:manualLayout>
      </c:layout>
      <c:barChart>
        <c:barDir val="col"/>
        <c:grouping val="clustered"/>
        <c:varyColors val="0"/>
        <c:ser>
          <c:idx val="0"/>
          <c:order val="0"/>
          <c:tx>
            <c:strRef>
              <c:f>Analayz!$I$13</c:f>
              <c:strCache>
                <c:ptCount val="1"/>
                <c:pt idx="0">
                  <c:v>Sum of sales</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Analayz!$H$14:$H$17</c:f>
              <c:strCache>
                <c:ptCount val="3"/>
                <c:pt idx="0">
                  <c:v>0-10%</c:v>
                </c:pt>
                <c:pt idx="1">
                  <c:v>10-20%</c:v>
                </c:pt>
                <c:pt idx="2">
                  <c:v>20-30%</c:v>
                </c:pt>
              </c:strCache>
            </c:strRef>
          </c:cat>
          <c:val>
            <c:numRef>
              <c:f>Analayz!$I$14:$I$17</c:f>
              <c:numCache>
                <c:formatCode>0</c:formatCode>
                <c:ptCount val="3"/>
                <c:pt idx="0">
                  <c:v>16147223.300000023</c:v>
                </c:pt>
                <c:pt idx="1">
                  <c:v>6770284.7999999998</c:v>
                </c:pt>
                <c:pt idx="2">
                  <c:v>2085255.3600000003</c:v>
                </c:pt>
              </c:numCache>
            </c:numRef>
          </c:val>
          <c:extLst>
            <c:ext xmlns:c16="http://schemas.microsoft.com/office/drawing/2014/chart" uri="{C3380CC4-5D6E-409C-BE32-E72D297353CC}">
              <c16:uniqueId val="{00000000-F293-4F36-8E85-2699B7D633B5}"/>
            </c:ext>
          </c:extLst>
        </c:ser>
        <c:ser>
          <c:idx val="1"/>
          <c:order val="1"/>
          <c:tx>
            <c:strRef>
              <c:f>Analayz!$J$13</c:f>
              <c:strCache>
                <c:ptCount val="1"/>
                <c:pt idx="0">
                  <c:v>Sum of profit</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Analayz!$H$14:$H$17</c:f>
              <c:strCache>
                <c:ptCount val="3"/>
                <c:pt idx="0">
                  <c:v>0-10%</c:v>
                </c:pt>
                <c:pt idx="1">
                  <c:v>10-20%</c:v>
                </c:pt>
                <c:pt idx="2">
                  <c:v>20-30%</c:v>
                </c:pt>
              </c:strCache>
            </c:strRef>
          </c:cat>
          <c:val>
            <c:numRef>
              <c:f>Analayz!$J$14:$J$17</c:f>
              <c:numCache>
                <c:formatCode>0</c:formatCode>
                <c:ptCount val="3"/>
                <c:pt idx="0">
                  <c:v>4355930.4500000011</c:v>
                </c:pt>
                <c:pt idx="1">
                  <c:v>1027426.57</c:v>
                </c:pt>
                <c:pt idx="2">
                  <c:v>208907.08999999994</c:v>
                </c:pt>
              </c:numCache>
            </c:numRef>
          </c:val>
          <c:extLst>
            <c:ext xmlns:c16="http://schemas.microsoft.com/office/drawing/2014/chart" uri="{C3380CC4-5D6E-409C-BE32-E72D297353CC}">
              <c16:uniqueId val="{00000001-F293-4F36-8E85-2699B7D633B5}"/>
            </c:ext>
          </c:extLst>
        </c:ser>
        <c:dLbls>
          <c:dLblPos val="outEnd"/>
          <c:showLegendKey val="0"/>
          <c:showVal val="1"/>
          <c:showCatName val="0"/>
          <c:showSerName val="0"/>
          <c:showPercent val="0"/>
          <c:showBubbleSize val="0"/>
        </c:dLbls>
        <c:gapWidth val="219"/>
        <c:overlap val="-27"/>
        <c:axId val="1998466063"/>
        <c:axId val="1998457903"/>
      </c:barChart>
      <c:catAx>
        <c:axId val="1998466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8457903"/>
        <c:crosses val="autoZero"/>
        <c:auto val="1"/>
        <c:lblAlgn val="ctr"/>
        <c:lblOffset val="100"/>
        <c:noMultiLvlLbl val="0"/>
      </c:catAx>
      <c:valAx>
        <c:axId val="199845790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84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Dashboard.xlsx]Analayz!PivotTable8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Discount</a:t>
            </a:r>
            <a:r>
              <a:rPr lang="en-US" b="1" baseline="0">
                <a:solidFill>
                  <a:schemeClr val="tx1"/>
                </a:solidFill>
              </a:rPr>
              <a:t> % vs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layout>
            <c:manualLayout>
              <c:x val="-2.9764181007010834E-2"/>
              <c:y val="-0.10050276892332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layout>
            <c:manualLayout>
              <c:x val="-1.4212874442319948E-2"/>
              <c:y val="-3.7946915482749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layout>
            <c:manualLayout>
              <c:x val="-8.1134480560866792E-2"/>
              <c:y val="7.37599656611288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layout>
            <c:manualLayout>
              <c:x val="-7.4760994263862332E-2"/>
              <c:y val="-4.24151907285048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none"/>
        </c:marker>
      </c:pivotFmt>
      <c:pivotFmt>
        <c:idx val="8"/>
        <c:spPr>
          <a:ln w="28575" cap="rnd">
            <a:solidFill>
              <a:schemeClr val="bg1"/>
            </a:solidFill>
            <a:round/>
          </a:ln>
          <a:effectLst/>
        </c:spPr>
        <c:marker>
          <c:symbol val="none"/>
        </c:marker>
        <c:dLbl>
          <c:idx val="0"/>
          <c:layout>
            <c:manualLayout>
              <c:x val="-9.0312300828553224E-2"/>
              <c:y val="-5.1351741220015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layout>
            <c:manualLayout>
              <c:x val="-4.3403441682600498E-2"/>
              <c:y val="-8.7097943186056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layout>
            <c:manualLayout>
              <c:x val="-5.6150414276609308E-2"/>
              <c:y val="-9.15662184318113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solidFill>
            <a:round/>
          </a:ln>
          <a:effectLst/>
        </c:spPr>
        <c:marker>
          <c:symbol val="none"/>
        </c:marker>
        <c:dLbl>
          <c:idx val="0"/>
          <c:layout>
            <c:manualLayout>
              <c:x val="-4.2511153601019876E-2"/>
              <c:y val="-8.2629667940301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Analayz!$B$35</c:f>
              <c:strCache>
                <c:ptCount val="1"/>
                <c:pt idx="0">
                  <c:v>Total</c:v>
                </c:pt>
              </c:strCache>
            </c:strRef>
          </c:tx>
          <c:spPr>
            <a:ln w="28575" cap="rnd">
              <a:solidFill>
                <a:schemeClr val="bg1"/>
              </a:solidFill>
              <a:round/>
            </a:ln>
            <a:effectLst/>
          </c:spPr>
          <c:marker>
            <c:symbol val="none"/>
          </c:marker>
          <c:dPt>
            <c:idx val="0"/>
            <c:marker>
              <c:symbol val="none"/>
            </c:marker>
            <c:bubble3D val="0"/>
            <c:extLst>
              <c:ext xmlns:c16="http://schemas.microsoft.com/office/drawing/2014/chart" uri="{C3380CC4-5D6E-409C-BE32-E72D297353CC}">
                <c16:uniqueId val="{00000004-F83A-470A-8A54-F961AF300C05}"/>
              </c:ext>
            </c:extLst>
          </c:dPt>
          <c:dPt>
            <c:idx val="1"/>
            <c:marker>
              <c:symbol val="none"/>
            </c:marker>
            <c:bubble3D val="0"/>
            <c:extLst>
              <c:ext xmlns:c16="http://schemas.microsoft.com/office/drawing/2014/chart" uri="{C3380CC4-5D6E-409C-BE32-E72D297353CC}">
                <c16:uniqueId val="{00000003-F83A-470A-8A54-F961AF300C05}"/>
              </c:ext>
            </c:extLst>
          </c:dPt>
          <c:dPt>
            <c:idx val="2"/>
            <c:marker>
              <c:symbol val="none"/>
            </c:marker>
            <c:bubble3D val="0"/>
            <c:extLst>
              <c:ext xmlns:c16="http://schemas.microsoft.com/office/drawing/2014/chart" uri="{C3380CC4-5D6E-409C-BE32-E72D297353CC}">
                <c16:uniqueId val="{00000002-F83A-470A-8A54-F961AF300C05}"/>
              </c:ext>
            </c:extLst>
          </c:dPt>
          <c:dPt>
            <c:idx val="3"/>
            <c:marker>
              <c:symbol val="none"/>
            </c:marker>
            <c:bubble3D val="0"/>
            <c:extLst>
              <c:ext xmlns:c16="http://schemas.microsoft.com/office/drawing/2014/chart" uri="{C3380CC4-5D6E-409C-BE32-E72D297353CC}">
                <c16:uniqueId val="{00000006-F83A-470A-8A54-F961AF300C05}"/>
              </c:ext>
            </c:extLst>
          </c:dPt>
          <c:dPt>
            <c:idx val="5"/>
            <c:marker>
              <c:symbol val="none"/>
            </c:marker>
            <c:bubble3D val="0"/>
            <c:extLst>
              <c:ext xmlns:c16="http://schemas.microsoft.com/office/drawing/2014/chart" uri="{C3380CC4-5D6E-409C-BE32-E72D297353CC}">
                <c16:uniqueId val="{00000001-F83A-470A-8A54-F961AF300C05}"/>
              </c:ext>
            </c:extLst>
          </c:dPt>
          <c:dPt>
            <c:idx val="6"/>
            <c:marker>
              <c:symbol val="none"/>
            </c:marker>
            <c:bubble3D val="0"/>
            <c:extLst>
              <c:ext xmlns:c16="http://schemas.microsoft.com/office/drawing/2014/chart" uri="{C3380CC4-5D6E-409C-BE32-E72D297353CC}">
                <c16:uniqueId val="{00000007-F83A-470A-8A54-F961AF300C05}"/>
              </c:ext>
            </c:extLst>
          </c:dPt>
          <c:dPt>
            <c:idx val="7"/>
            <c:marker>
              <c:symbol val="none"/>
            </c:marker>
            <c:bubble3D val="0"/>
            <c:extLst>
              <c:ext xmlns:c16="http://schemas.microsoft.com/office/drawing/2014/chart" uri="{C3380CC4-5D6E-409C-BE32-E72D297353CC}">
                <c16:uniqueId val="{00000009-F83A-470A-8A54-F961AF300C05}"/>
              </c:ext>
            </c:extLst>
          </c:dPt>
          <c:dPt>
            <c:idx val="8"/>
            <c:marker>
              <c:symbol val="none"/>
            </c:marker>
            <c:bubble3D val="0"/>
            <c:extLst>
              <c:ext xmlns:c16="http://schemas.microsoft.com/office/drawing/2014/chart" uri="{C3380CC4-5D6E-409C-BE32-E72D297353CC}">
                <c16:uniqueId val="{00000008-F83A-470A-8A54-F961AF300C05}"/>
              </c:ext>
            </c:extLst>
          </c:dPt>
          <c:dLbls>
            <c:dLbl>
              <c:idx val="0"/>
              <c:layout>
                <c:manualLayout>
                  <c:x val="-7.4760994263862332E-2"/>
                  <c:y val="-4.24151907285048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3A-470A-8A54-F961AF300C05}"/>
                </c:ext>
              </c:extLst>
            </c:dLbl>
            <c:dLbl>
              <c:idx val="1"/>
              <c:layout>
                <c:manualLayout>
                  <c:x val="-8.1134480560866792E-2"/>
                  <c:y val="7.37599656611288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3A-470A-8A54-F961AF300C05}"/>
                </c:ext>
              </c:extLst>
            </c:dLbl>
            <c:dLbl>
              <c:idx val="2"/>
              <c:layout>
                <c:manualLayout>
                  <c:x val="-1.4212874442319948E-2"/>
                  <c:y val="-3.79469154827496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3A-470A-8A54-F961AF300C05}"/>
                </c:ext>
              </c:extLst>
            </c:dLbl>
            <c:dLbl>
              <c:idx val="3"/>
              <c:layout>
                <c:manualLayout>
                  <c:x val="-9.0312300828553224E-2"/>
                  <c:y val="-5.135174122001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3A-470A-8A54-F961AF300C05}"/>
                </c:ext>
              </c:extLst>
            </c:dLbl>
            <c:dLbl>
              <c:idx val="5"/>
              <c:layout>
                <c:manualLayout>
                  <c:x val="-2.9764181007010834E-2"/>
                  <c:y val="-0.100502768923321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3A-470A-8A54-F961AF300C05}"/>
                </c:ext>
              </c:extLst>
            </c:dLbl>
            <c:dLbl>
              <c:idx val="6"/>
              <c:layout>
                <c:manualLayout>
                  <c:x val="-4.3403441682600498E-2"/>
                  <c:y val="-8.7097943186056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3A-470A-8A54-F961AF300C05}"/>
                </c:ext>
              </c:extLst>
            </c:dLbl>
            <c:dLbl>
              <c:idx val="7"/>
              <c:layout>
                <c:manualLayout>
                  <c:x val="-4.2511153601019876E-2"/>
                  <c:y val="-8.2629667940301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3A-470A-8A54-F961AF300C05}"/>
                </c:ext>
              </c:extLst>
            </c:dLbl>
            <c:dLbl>
              <c:idx val="8"/>
              <c:layout>
                <c:manualLayout>
                  <c:x val="-5.6150414276609308E-2"/>
                  <c:y val="-9.1566218431811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83A-470A-8A54-F961AF300C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Analayz!$A$36:$A$46</c:f>
              <c:strCache>
                <c:ptCount val="10"/>
                <c:pt idx="0">
                  <c:v>0</c:v>
                </c:pt>
                <c:pt idx="1">
                  <c:v>5</c:v>
                </c:pt>
                <c:pt idx="2">
                  <c:v>10</c:v>
                </c:pt>
                <c:pt idx="3">
                  <c:v>14</c:v>
                </c:pt>
                <c:pt idx="4">
                  <c:v>15</c:v>
                </c:pt>
                <c:pt idx="5">
                  <c:v>16</c:v>
                </c:pt>
                <c:pt idx="6">
                  <c:v>17</c:v>
                </c:pt>
                <c:pt idx="7">
                  <c:v>18</c:v>
                </c:pt>
                <c:pt idx="8">
                  <c:v>19</c:v>
                </c:pt>
                <c:pt idx="9">
                  <c:v>20</c:v>
                </c:pt>
              </c:strCache>
            </c:strRef>
          </c:cat>
          <c:val>
            <c:numRef>
              <c:f>Analayz!$B$36:$B$46</c:f>
              <c:numCache>
                <c:formatCode>0</c:formatCode>
                <c:ptCount val="10"/>
                <c:pt idx="0">
                  <c:v>1616668.18</c:v>
                </c:pt>
                <c:pt idx="1">
                  <c:v>1352843.35</c:v>
                </c:pt>
                <c:pt idx="2">
                  <c:v>1386418.92</c:v>
                </c:pt>
                <c:pt idx="3">
                  <c:v>121.49</c:v>
                </c:pt>
                <c:pt idx="4">
                  <c:v>597079.77</c:v>
                </c:pt>
                <c:pt idx="5">
                  <c:v>390.81</c:v>
                </c:pt>
                <c:pt idx="6">
                  <c:v>6221.71</c:v>
                </c:pt>
                <c:pt idx="7">
                  <c:v>388.92</c:v>
                </c:pt>
                <c:pt idx="8">
                  <c:v>2449.54</c:v>
                </c:pt>
                <c:pt idx="9">
                  <c:v>420774.33</c:v>
                </c:pt>
              </c:numCache>
            </c:numRef>
          </c:val>
          <c:smooth val="0"/>
          <c:extLst>
            <c:ext xmlns:c16="http://schemas.microsoft.com/office/drawing/2014/chart" uri="{C3380CC4-5D6E-409C-BE32-E72D297353CC}">
              <c16:uniqueId val="{00000000-F83A-470A-8A54-F961AF300C05}"/>
            </c:ext>
          </c:extLst>
        </c:ser>
        <c:dLbls>
          <c:showLegendKey val="0"/>
          <c:showVal val="0"/>
          <c:showCatName val="0"/>
          <c:showSerName val="0"/>
          <c:showPercent val="0"/>
          <c:showBubbleSize val="0"/>
        </c:dLbls>
        <c:smooth val="0"/>
        <c:axId val="192717424"/>
        <c:axId val="192724144"/>
      </c:lineChart>
      <c:catAx>
        <c:axId val="1927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724144"/>
        <c:crosses val="autoZero"/>
        <c:auto val="1"/>
        <c:lblAlgn val="ctr"/>
        <c:lblOffset val="100"/>
        <c:noMultiLvlLbl val="0"/>
      </c:catAx>
      <c:valAx>
        <c:axId val="1927241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717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152400</xdr:colOff>
      <xdr:row>41</xdr:row>
      <xdr:rowOff>129540</xdr:rowOff>
    </xdr:to>
    <xdr:sp macro="" textlink="">
      <xdr:nvSpPr>
        <xdr:cNvPr id="2" name="Rectangle 1">
          <a:extLst>
            <a:ext uri="{FF2B5EF4-FFF2-40B4-BE49-F238E27FC236}">
              <a16:creationId xmlns:a16="http://schemas.microsoft.com/office/drawing/2014/main" id="{4B011F02-8F74-D2D4-B886-09CA951D0DF8}"/>
            </a:ext>
          </a:extLst>
        </xdr:cNvPr>
        <xdr:cNvSpPr/>
      </xdr:nvSpPr>
      <xdr:spPr>
        <a:xfrm>
          <a:off x="0" y="0"/>
          <a:ext cx="14204778" cy="7588216"/>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6  </a:t>
          </a:r>
        </a:p>
      </xdr:txBody>
    </xdr:sp>
    <xdr:clientData/>
  </xdr:twoCellAnchor>
  <xdr:twoCellAnchor>
    <xdr:from>
      <xdr:col>2</xdr:col>
      <xdr:colOff>441960</xdr:colOff>
      <xdr:row>0</xdr:row>
      <xdr:rowOff>45720</xdr:rowOff>
    </xdr:from>
    <xdr:to>
      <xdr:col>23</xdr:col>
      <xdr:colOff>114300</xdr:colOff>
      <xdr:row>3</xdr:row>
      <xdr:rowOff>137160</xdr:rowOff>
    </xdr:to>
    <xdr:sp macro="" textlink="">
      <xdr:nvSpPr>
        <xdr:cNvPr id="3" name="Rectangle: Rounded Corners 2">
          <a:extLst>
            <a:ext uri="{FF2B5EF4-FFF2-40B4-BE49-F238E27FC236}">
              <a16:creationId xmlns:a16="http://schemas.microsoft.com/office/drawing/2014/main" id="{DB1285E8-A81D-F780-E356-87C9C24EDE52}"/>
            </a:ext>
          </a:extLst>
        </xdr:cNvPr>
        <xdr:cNvSpPr/>
      </xdr:nvSpPr>
      <xdr:spPr>
        <a:xfrm>
          <a:off x="1661160" y="45720"/>
          <a:ext cx="12473940" cy="64008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Analyzing</a:t>
          </a:r>
          <a:r>
            <a:rPr lang="en-IN" sz="2800" b="1" baseline="0">
              <a:solidFill>
                <a:schemeClr val="tx1"/>
              </a:solidFill>
            </a:rPr>
            <a:t> Discount Impact on Company Profit</a:t>
          </a:r>
        </a:p>
      </xdr:txBody>
    </xdr:sp>
    <xdr:clientData/>
  </xdr:twoCellAnchor>
  <xdr:twoCellAnchor>
    <xdr:from>
      <xdr:col>0</xdr:col>
      <xdr:colOff>22860</xdr:colOff>
      <xdr:row>0</xdr:row>
      <xdr:rowOff>45720</xdr:rowOff>
    </xdr:from>
    <xdr:to>
      <xdr:col>1</xdr:col>
      <xdr:colOff>213360</xdr:colOff>
      <xdr:row>3</xdr:row>
      <xdr:rowOff>144780</xdr:rowOff>
    </xdr:to>
    <xdr:sp macro="" textlink="">
      <xdr:nvSpPr>
        <xdr:cNvPr id="4" name="Rectangle: Rounded Corners 3">
          <a:extLst>
            <a:ext uri="{FF2B5EF4-FFF2-40B4-BE49-F238E27FC236}">
              <a16:creationId xmlns:a16="http://schemas.microsoft.com/office/drawing/2014/main" id="{9EA08582-07EB-42F9-A5DE-1766B1244AEA}"/>
            </a:ext>
          </a:extLst>
        </xdr:cNvPr>
        <xdr:cNvSpPr/>
      </xdr:nvSpPr>
      <xdr:spPr>
        <a:xfrm>
          <a:off x="22860" y="45720"/>
          <a:ext cx="800100" cy="64770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editAs="oneCell">
    <xdr:from>
      <xdr:col>0</xdr:col>
      <xdr:colOff>53340</xdr:colOff>
      <xdr:row>0</xdr:row>
      <xdr:rowOff>0</xdr:rowOff>
    </xdr:from>
    <xdr:to>
      <xdr:col>1</xdr:col>
      <xdr:colOff>175260</xdr:colOff>
      <xdr:row>4</xdr:row>
      <xdr:rowOff>76200</xdr:rowOff>
    </xdr:to>
    <xdr:pic>
      <xdr:nvPicPr>
        <xdr:cNvPr id="6" name="Graphic 5" descr="Money with solid fill">
          <a:extLst>
            <a:ext uri="{FF2B5EF4-FFF2-40B4-BE49-F238E27FC236}">
              <a16:creationId xmlns:a16="http://schemas.microsoft.com/office/drawing/2014/main" id="{88479ED8-DB72-44C1-AC99-20ABB55421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40" y="0"/>
          <a:ext cx="731520" cy="807720"/>
        </a:xfrm>
        <a:prstGeom prst="rect">
          <a:avLst/>
        </a:prstGeom>
      </xdr:spPr>
    </xdr:pic>
    <xdr:clientData/>
  </xdr:twoCellAnchor>
  <xdr:twoCellAnchor>
    <xdr:from>
      <xdr:col>1</xdr:col>
      <xdr:colOff>228600</xdr:colOff>
      <xdr:row>0</xdr:row>
      <xdr:rowOff>45720</xdr:rowOff>
    </xdr:from>
    <xdr:to>
      <xdr:col>2</xdr:col>
      <xdr:colOff>419100</xdr:colOff>
      <xdr:row>3</xdr:row>
      <xdr:rowOff>144780</xdr:rowOff>
    </xdr:to>
    <xdr:sp macro="" textlink="">
      <xdr:nvSpPr>
        <xdr:cNvPr id="7" name="Rectangle: Rounded Corners 6">
          <a:extLst>
            <a:ext uri="{FF2B5EF4-FFF2-40B4-BE49-F238E27FC236}">
              <a16:creationId xmlns:a16="http://schemas.microsoft.com/office/drawing/2014/main" id="{C474C63E-3B25-48AF-8038-EE7A98F524A6}"/>
            </a:ext>
          </a:extLst>
        </xdr:cNvPr>
        <xdr:cNvSpPr/>
      </xdr:nvSpPr>
      <xdr:spPr>
        <a:xfrm>
          <a:off x="838200" y="45720"/>
          <a:ext cx="800100" cy="64770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editAs="oneCell">
    <xdr:from>
      <xdr:col>1</xdr:col>
      <xdr:colOff>205740</xdr:colOff>
      <xdr:row>0</xdr:row>
      <xdr:rowOff>0</xdr:rowOff>
    </xdr:from>
    <xdr:to>
      <xdr:col>2</xdr:col>
      <xdr:colOff>457200</xdr:colOff>
      <xdr:row>4</xdr:row>
      <xdr:rowOff>53340</xdr:rowOff>
    </xdr:to>
    <xdr:pic>
      <xdr:nvPicPr>
        <xdr:cNvPr id="9" name="Graphic 8" descr="Brain with solid fill">
          <a:extLst>
            <a:ext uri="{FF2B5EF4-FFF2-40B4-BE49-F238E27FC236}">
              <a16:creationId xmlns:a16="http://schemas.microsoft.com/office/drawing/2014/main" id="{9F392538-C5F1-0E74-7728-229E92BE35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5340" y="0"/>
          <a:ext cx="861060" cy="784860"/>
        </a:xfrm>
        <a:prstGeom prst="rect">
          <a:avLst/>
        </a:prstGeom>
      </xdr:spPr>
    </xdr:pic>
    <xdr:clientData/>
  </xdr:twoCellAnchor>
  <xdr:twoCellAnchor>
    <xdr:from>
      <xdr:col>0</xdr:col>
      <xdr:colOff>30480</xdr:colOff>
      <xdr:row>4</xdr:row>
      <xdr:rowOff>7620</xdr:rowOff>
    </xdr:from>
    <xdr:to>
      <xdr:col>4</xdr:col>
      <xdr:colOff>45720</xdr:colOff>
      <xdr:row>9</xdr:row>
      <xdr:rowOff>114300</xdr:rowOff>
    </xdr:to>
    <xdr:sp macro="" textlink="">
      <xdr:nvSpPr>
        <xdr:cNvPr id="10" name="Rectangle: Rounded Corners 9">
          <a:extLst>
            <a:ext uri="{FF2B5EF4-FFF2-40B4-BE49-F238E27FC236}">
              <a16:creationId xmlns:a16="http://schemas.microsoft.com/office/drawing/2014/main" id="{E6BAE295-F752-3763-6D5F-0AC91475435F}"/>
            </a:ext>
          </a:extLst>
        </xdr:cNvPr>
        <xdr:cNvSpPr/>
      </xdr:nvSpPr>
      <xdr:spPr>
        <a:xfrm>
          <a:off x="30480" y="739140"/>
          <a:ext cx="2453640" cy="102108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4</xdr:col>
      <xdr:colOff>83820</xdr:colOff>
      <xdr:row>4</xdr:row>
      <xdr:rowOff>15240</xdr:rowOff>
    </xdr:from>
    <xdr:to>
      <xdr:col>8</xdr:col>
      <xdr:colOff>83820</xdr:colOff>
      <xdr:row>9</xdr:row>
      <xdr:rowOff>129540</xdr:rowOff>
    </xdr:to>
    <xdr:sp macro="" textlink="">
      <xdr:nvSpPr>
        <xdr:cNvPr id="13" name="Rectangle: Rounded Corners 12">
          <a:extLst>
            <a:ext uri="{FF2B5EF4-FFF2-40B4-BE49-F238E27FC236}">
              <a16:creationId xmlns:a16="http://schemas.microsoft.com/office/drawing/2014/main" id="{93C2ED43-82EF-4F31-8E63-140C0793C433}"/>
            </a:ext>
          </a:extLst>
        </xdr:cNvPr>
        <xdr:cNvSpPr/>
      </xdr:nvSpPr>
      <xdr:spPr>
        <a:xfrm>
          <a:off x="2522220" y="746760"/>
          <a:ext cx="2438400" cy="102870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8</xdr:col>
      <xdr:colOff>129540</xdr:colOff>
      <xdr:row>4</xdr:row>
      <xdr:rowOff>22860</xdr:rowOff>
    </xdr:from>
    <xdr:to>
      <xdr:col>12</xdr:col>
      <xdr:colOff>129540</xdr:colOff>
      <xdr:row>9</xdr:row>
      <xdr:rowOff>137160</xdr:rowOff>
    </xdr:to>
    <xdr:sp macro="" textlink="">
      <xdr:nvSpPr>
        <xdr:cNvPr id="15" name="Rectangle: Rounded Corners 14">
          <a:extLst>
            <a:ext uri="{FF2B5EF4-FFF2-40B4-BE49-F238E27FC236}">
              <a16:creationId xmlns:a16="http://schemas.microsoft.com/office/drawing/2014/main" id="{D89CC199-1427-49C9-AD66-4034DB386378}"/>
            </a:ext>
          </a:extLst>
        </xdr:cNvPr>
        <xdr:cNvSpPr/>
      </xdr:nvSpPr>
      <xdr:spPr>
        <a:xfrm>
          <a:off x="5006340" y="754380"/>
          <a:ext cx="2438400" cy="102870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12</xdr:col>
      <xdr:colOff>160020</xdr:colOff>
      <xdr:row>4</xdr:row>
      <xdr:rowOff>30480</xdr:rowOff>
    </xdr:from>
    <xdr:to>
      <xdr:col>16</xdr:col>
      <xdr:colOff>160020</xdr:colOff>
      <xdr:row>9</xdr:row>
      <xdr:rowOff>137160</xdr:rowOff>
    </xdr:to>
    <xdr:sp macro="" textlink="">
      <xdr:nvSpPr>
        <xdr:cNvPr id="16" name="Rectangle: Rounded Corners 15">
          <a:extLst>
            <a:ext uri="{FF2B5EF4-FFF2-40B4-BE49-F238E27FC236}">
              <a16:creationId xmlns:a16="http://schemas.microsoft.com/office/drawing/2014/main" id="{14C9D04B-C510-4A5C-900F-2A4E8A12F8FB}"/>
            </a:ext>
          </a:extLst>
        </xdr:cNvPr>
        <xdr:cNvSpPr/>
      </xdr:nvSpPr>
      <xdr:spPr>
        <a:xfrm>
          <a:off x="7475220" y="762000"/>
          <a:ext cx="2438400" cy="102108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16</xdr:col>
      <xdr:colOff>190500</xdr:colOff>
      <xdr:row>4</xdr:row>
      <xdr:rowOff>30480</xdr:rowOff>
    </xdr:from>
    <xdr:to>
      <xdr:col>20</xdr:col>
      <xdr:colOff>190500</xdr:colOff>
      <xdr:row>9</xdr:row>
      <xdr:rowOff>144780</xdr:rowOff>
    </xdr:to>
    <xdr:sp macro="" textlink="">
      <xdr:nvSpPr>
        <xdr:cNvPr id="17" name="Rectangle: Rounded Corners 16">
          <a:extLst>
            <a:ext uri="{FF2B5EF4-FFF2-40B4-BE49-F238E27FC236}">
              <a16:creationId xmlns:a16="http://schemas.microsoft.com/office/drawing/2014/main" id="{AE0B8B63-D2A3-471C-981D-86B6172EC4FD}"/>
            </a:ext>
          </a:extLst>
        </xdr:cNvPr>
        <xdr:cNvSpPr/>
      </xdr:nvSpPr>
      <xdr:spPr>
        <a:xfrm>
          <a:off x="9944100" y="762000"/>
          <a:ext cx="2438400" cy="1028700"/>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0</xdr:col>
      <xdr:colOff>228600</xdr:colOff>
      <xdr:row>4</xdr:row>
      <xdr:rowOff>99060</xdr:rowOff>
    </xdr:from>
    <xdr:to>
      <xdr:col>3</xdr:col>
      <xdr:colOff>480060</xdr:colOff>
      <xdr:row>6</xdr:row>
      <xdr:rowOff>152400</xdr:rowOff>
    </xdr:to>
    <xdr:sp macro="" textlink="">
      <xdr:nvSpPr>
        <xdr:cNvPr id="18" name="TextBox 17">
          <a:extLst>
            <a:ext uri="{FF2B5EF4-FFF2-40B4-BE49-F238E27FC236}">
              <a16:creationId xmlns:a16="http://schemas.microsoft.com/office/drawing/2014/main" id="{72E77653-AC86-B13B-DEAF-36531DB29B9A}"/>
            </a:ext>
          </a:extLst>
        </xdr:cNvPr>
        <xdr:cNvSpPr txBox="1"/>
      </xdr:nvSpPr>
      <xdr:spPr>
        <a:xfrm>
          <a:off x="228600" y="830580"/>
          <a:ext cx="20802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a:t>
          </a:r>
          <a:r>
            <a:rPr lang="en-IN" sz="2400" b="1" baseline="0"/>
            <a:t> Sales</a:t>
          </a:r>
          <a:endParaRPr lang="en-IN" sz="2400" b="1"/>
        </a:p>
      </xdr:txBody>
    </xdr:sp>
    <xdr:clientData/>
  </xdr:twoCellAnchor>
  <xdr:twoCellAnchor>
    <xdr:from>
      <xdr:col>4</xdr:col>
      <xdr:colOff>259080</xdr:colOff>
      <xdr:row>4</xdr:row>
      <xdr:rowOff>106680</xdr:rowOff>
    </xdr:from>
    <xdr:to>
      <xdr:col>7</xdr:col>
      <xdr:colOff>518160</xdr:colOff>
      <xdr:row>6</xdr:row>
      <xdr:rowOff>167640</xdr:rowOff>
    </xdr:to>
    <xdr:sp macro="" textlink="">
      <xdr:nvSpPr>
        <xdr:cNvPr id="19" name="TextBox 18">
          <a:extLst>
            <a:ext uri="{FF2B5EF4-FFF2-40B4-BE49-F238E27FC236}">
              <a16:creationId xmlns:a16="http://schemas.microsoft.com/office/drawing/2014/main" id="{68858C47-7D14-8592-428C-8EBB5E078C5E}"/>
            </a:ext>
          </a:extLst>
        </xdr:cNvPr>
        <xdr:cNvSpPr txBox="1"/>
      </xdr:nvSpPr>
      <xdr:spPr>
        <a:xfrm>
          <a:off x="2697480" y="838200"/>
          <a:ext cx="20878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Profit</a:t>
          </a:r>
        </a:p>
      </xdr:txBody>
    </xdr:sp>
    <xdr:clientData/>
  </xdr:twoCellAnchor>
  <xdr:twoCellAnchor>
    <xdr:from>
      <xdr:col>8</xdr:col>
      <xdr:colOff>266700</xdr:colOff>
      <xdr:row>4</xdr:row>
      <xdr:rowOff>99060</xdr:rowOff>
    </xdr:from>
    <xdr:to>
      <xdr:col>12</xdr:col>
      <xdr:colOff>15240</xdr:colOff>
      <xdr:row>6</xdr:row>
      <xdr:rowOff>137160</xdr:rowOff>
    </xdr:to>
    <xdr:sp macro="" textlink="">
      <xdr:nvSpPr>
        <xdr:cNvPr id="20" name="TextBox 19">
          <a:extLst>
            <a:ext uri="{FF2B5EF4-FFF2-40B4-BE49-F238E27FC236}">
              <a16:creationId xmlns:a16="http://schemas.microsoft.com/office/drawing/2014/main" id="{EDEFCF1C-7D1E-BE7A-5F5E-B86E654049D1}"/>
            </a:ext>
          </a:extLst>
        </xdr:cNvPr>
        <xdr:cNvSpPr txBox="1"/>
      </xdr:nvSpPr>
      <xdr:spPr>
        <a:xfrm>
          <a:off x="5143500" y="830580"/>
          <a:ext cx="21869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Avg</a:t>
          </a:r>
          <a:r>
            <a:rPr lang="en-IN" sz="2400" b="1" baseline="0"/>
            <a:t> Discount %</a:t>
          </a:r>
          <a:endParaRPr lang="en-IN" sz="2400" b="1"/>
        </a:p>
      </xdr:txBody>
    </xdr:sp>
    <xdr:clientData/>
  </xdr:twoCellAnchor>
  <xdr:twoCellAnchor>
    <xdr:from>
      <xdr:col>12</xdr:col>
      <xdr:colOff>213360</xdr:colOff>
      <xdr:row>4</xdr:row>
      <xdr:rowOff>99060</xdr:rowOff>
    </xdr:from>
    <xdr:to>
      <xdr:col>16</xdr:col>
      <xdr:colOff>106680</xdr:colOff>
      <xdr:row>6</xdr:row>
      <xdr:rowOff>160020</xdr:rowOff>
    </xdr:to>
    <xdr:sp macro="" textlink="">
      <xdr:nvSpPr>
        <xdr:cNvPr id="21" name="TextBox 20">
          <a:extLst>
            <a:ext uri="{FF2B5EF4-FFF2-40B4-BE49-F238E27FC236}">
              <a16:creationId xmlns:a16="http://schemas.microsoft.com/office/drawing/2014/main" id="{BC707F83-C8DE-1279-515F-0FE2D0D86F42}"/>
            </a:ext>
          </a:extLst>
        </xdr:cNvPr>
        <xdr:cNvSpPr txBox="1"/>
      </xdr:nvSpPr>
      <xdr:spPr>
        <a:xfrm>
          <a:off x="7528560" y="830580"/>
          <a:ext cx="23317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Cost of Products</a:t>
          </a:r>
        </a:p>
      </xdr:txBody>
    </xdr:sp>
    <xdr:clientData/>
  </xdr:twoCellAnchor>
  <xdr:twoCellAnchor>
    <xdr:from>
      <xdr:col>16</xdr:col>
      <xdr:colOff>365760</xdr:colOff>
      <xdr:row>4</xdr:row>
      <xdr:rowOff>83820</xdr:rowOff>
    </xdr:from>
    <xdr:to>
      <xdr:col>20</xdr:col>
      <xdr:colOff>0</xdr:colOff>
      <xdr:row>6</xdr:row>
      <xdr:rowOff>129540</xdr:rowOff>
    </xdr:to>
    <xdr:sp macro="" textlink="">
      <xdr:nvSpPr>
        <xdr:cNvPr id="22" name="TextBox 21">
          <a:extLst>
            <a:ext uri="{FF2B5EF4-FFF2-40B4-BE49-F238E27FC236}">
              <a16:creationId xmlns:a16="http://schemas.microsoft.com/office/drawing/2014/main" id="{3660405C-2D1B-2603-FF19-72EA1FB257B5}"/>
            </a:ext>
          </a:extLst>
        </xdr:cNvPr>
        <xdr:cNvSpPr txBox="1"/>
      </xdr:nvSpPr>
      <xdr:spPr>
        <a:xfrm>
          <a:off x="10119360" y="815340"/>
          <a:ext cx="2072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Quantity</a:t>
          </a:r>
          <a:r>
            <a:rPr lang="en-IN" sz="2400" b="1" baseline="0"/>
            <a:t> Sold</a:t>
          </a:r>
          <a:endParaRPr lang="en-IN" sz="2400" b="1"/>
        </a:p>
      </xdr:txBody>
    </xdr:sp>
    <xdr:clientData/>
  </xdr:twoCellAnchor>
  <xdr:twoCellAnchor>
    <xdr:from>
      <xdr:col>1</xdr:col>
      <xdr:colOff>60960</xdr:colOff>
      <xdr:row>6</xdr:row>
      <xdr:rowOff>175260</xdr:rowOff>
    </xdr:from>
    <xdr:to>
      <xdr:col>3</xdr:col>
      <xdr:colOff>22860</xdr:colOff>
      <xdr:row>8</xdr:row>
      <xdr:rowOff>167640</xdr:rowOff>
    </xdr:to>
    <xdr:sp macro="" textlink="KPI!A7">
      <xdr:nvSpPr>
        <xdr:cNvPr id="25" name="TextBox 24">
          <a:extLst>
            <a:ext uri="{FF2B5EF4-FFF2-40B4-BE49-F238E27FC236}">
              <a16:creationId xmlns:a16="http://schemas.microsoft.com/office/drawing/2014/main" id="{D884D3FE-152D-855D-10AC-C1AC38D5E2DF}"/>
            </a:ext>
          </a:extLst>
        </xdr:cNvPr>
        <xdr:cNvSpPr txBox="1"/>
      </xdr:nvSpPr>
      <xdr:spPr>
        <a:xfrm>
          <a:off x="670560" y="1272540"/>
          <a:ext cx="11811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C9AA58-7A59-4A99-A16D-D80661F3417B}" type="TxLink">
            <a:rPr lang="en-US" sz="1800" b="1" i="0" u="none" strike="noStrike">
              <a:solidFill>
                <a:schemeClr val="tx1"/>
              </a:solidFill>
              <a:latin typeface="+mn-lt"/>
            </a:rPr>
            <a:pPr/>
            <a:t>25002763</a:t>
          </a:fld>
          <a:endParaRPr lang="en-IN" sz="1800">
            <a:solidFill>
              <a:schemeClr val="tx1"/>
            </a:solidFill>
            <a:latin typeface="+mn-lt"/>
          </a:endParaRPr>
        </a:p>
      </xdr:txBody>
    </xdr:sp>
    <xdr:clientData/>
  </xdr:twoCellAnchor>
  <xdr:twoCellAnchor>
    <xdr:from>
      <xdr:col>5</xdr:col>
      <xdr:colOff>190500</xdr:colOff>
      <xdr:row>6</xdr:row>
      <xdr:rowOff>175260</xdr:rowOff>
    </xdr:from>
    <xdr:to>
      <xdr:col>7</xdr:col>
      <xdr:colOff>342900</xdr:colOff>
      <xdr:row>9</xdr:row>
      <xdr:rowOff>114300</xdr:rowOff>
    </xdr:to>
    <xdr:sp macro="" textlink="KPI!B7">
      <xdr:nvSpPr>
        <xdr:cNvPr id="26" name="TextBox 25">
          <a:extLst>
            <a:ext uri="{FF2B5EF4-FFF2-40B4-BE49-F238E27FC236}">
              <a16:creationId xmlns:a16="http://schemas.microsoft.com/office/drawing/2014/main" id="{7BAD3CB9-A7CA-CCC5-AE5B-57A90CBC6A42}"/>
            </a:ext>
          </a:extLst>
        </xdr:cNvPr>
        <xdr:cNvSpPr txBox="1"/>
      </xdr:nvSpPr>
      <xdr:spPr>
        <a:xfrm>
          <a:off x="3238500" y="1272540"/>
          <a:ext cx="13716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49338E-1487-492F-ADA4-6550DBD836CB}" type="TxLink">
            <a:rPr lang="en-US" sz="1800" b="1" i="0" u="none" strike="noStrike">
              <a:solidFill>
                <a:srgbClr val="000000"/>
              </a:solidFill>
              <a:latin typeface="Aptos Narrow"/>
            </a:rPr>
            <a:pPr/>
            <a:t>5592264</a:t>
          </a:fld>
          <a:endParaRPr lang="en-IN" sz="1800"/>
        </a:p>
      </xdr:txBody>
    </xdr:sp>
    <xdr:clientData/>
  </xdr:twoCellAnchor>
  <xdr:twoCellAnchor>
    <xdr:from>
      <xdr:col>9</xdr:col>
      <xdr:colOff>236220</xdr:colOff>
      <xdr:row>6</xdr:row>
      <xdr:rowOff>175260</xdr:rowOff>
    </xdr:from>
    <xdr:to>
      <xdr:col>11</xdr:col>
      <xdr:colOff>182880</xdr:colOff>
      <xdr:row>9</xdr:row>
      <xdr:rowOff>7620</xdr:rowOff>
    </xdr:to>
    <xdr:sp macro="" textlink="KPI!C7">
      <xdr:nvSpPr>
        <xdr:cNvPr id="27" name="TextBox 26">
          <a:extLst>
            <a:ext uri="{FF2B5EF4-FFF2-40B4-BE49-F238E27FC236}">
              <a16:creationId xmlns:a16="http://schemas.microsoft.com/office/drawing/2014/main" id="{C9D51EB8-E081-B608-CE5A-2A0532808028}"/>
            </a:ext>
          </a:extLst>
        </xdr:cNvPr>
        <xdr:cNvSpPr txBox="1"/>
      </xdr:nvSpPr>
      <xdr:spPr>
        <a:xfrm>
          <a:off x="5722620" y="1272540"/>
          <a:ext cx="11658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58747-EC3F-4892-A814-D8C9A2A789EE}" type="TxLink">
            <a:rPr lang="en-US" sz="1800" b="1" i="0" u="none" strike="noStrike">
              <a:solidFill>
                <a:srgbClr val="000000"/>
              </a:solidFill>
              <a:latin typeface="Aptos Narrow"/>
            </a:rPr>
            <a:pPr/>
            <a:t>11.4855</a:t>
          </a:fld>
          <a:endParaRPr lang="en-IN" sz="1800"/>
        </a:p>
      </xdr:txBody>
    </xdr:sp>
    <xdr:clientData/>
  </xdr:twoCellAnchor>
  <xdr:twoCellAnchor>
    <xdr:from>
      <xdr:col>13</xdr:col>
      <xdr:colOff>205740</xdr:colOff>
      <xdr:row>6</xdr:row>
      <xdr:rowOff>175260</xdr:rowOff>
    </xdr:from>
    <xdr:to>
      <xdr:col>15</xdr:col>
      <xdr:colOff>259080</xdr:colOff>
      <xdr:row>8</xdr:row>
      <xdr:rowOff>106680</xdr:rowOff>
    </xdr:to>
    <xdr:sp macro="" textlink="KPI!D7">
      <xdr:nvSpPr>
        <xdr:cNvPr id="28" name="TextBox 27">
          <a:extLst>
            <a:ext uri="{FF2B5EF4-FFF2-40B4-BE49-F238E27FC236}">
              <a16:creationId xmlns:a16="http://schemas.microsoft.com/office/drawing/2014/main" id="{8B351A8C-D9ED-18FF-9259-F4BEB30866E9}"/>
            </a:ext>
          </a:extLst>
        </xdr:cNvPr>
        <xdr:cNvSpPr txBox="1"/>
      </xdr:nvSpPr>
      <xdr:spPr>
        <a:xfrm>
          <a:off x="8130540" y="1272540"/>
          <a:ext cx="12725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D3D039-7558-4B38-BB20-C5EA26405C27}" type="TxLink">
            <a:rPr lang="en-US" sz="1800" b="1" i="0" u="none" strike="noStrike">
              <a:solidFill>
                <a:srgbClr val="000000"/>
              </a:solidFill>
              <a:latin typeface="Aptos Narrow"/>
            </a:rPr>
            <a:pPr/>
            <a:t>19410499</a:t>
          </a:fld>
          <a:endParaRPr lang="en-IN" sz="1800"/>
        </a:p>
      </xdr:txBody>
    </xdr:sp>
    <xdr:clientData/>
  </xdr:twoCellAnchor>
  <xdr:twoCellAnchor>
    <xdr:from>
      <xdr:col>17</xdr:col>
      <xdr:colOff>426720</xdr:colOff>
      <xdr:row>6</xdr:row>
      <xdr:rowOff>160020</xdr:rowOff>
    </xdr:from>
    <xdr:to>
      <xdr:col>19</xdr:col>
      <xdr:colOff>167640</xdr:colOff>
      <xdr:row>8</xdr:row>
      <xdr:rowOff>129540</xdr:rowOff>
    </xdr:to>
    <xdr:sp macro="" textlink="KPI!E7">
      <xdr:nvSpPr>
        <xdr:cNvPr id="29" name="TextBox 28">
          <a:extLst>
            <a:ext uri="{FF2B5EF4-FFF2-40B4-BE49-F238E27FC236}">
              <a16:creationId xmlns:a16="http://schemas.microsoft.com/office/drawing/2014/main" id="{BD2F3862-E4AF-3658-62F1-BBE00ADA8EF4}"/>
            </a:ext>
          </a:extLst>
        </xdr:cNvPr>
        <xdr:cNvSpPr txBox="1"/>
      </xdr:nvSpPr>
      <xdr:spPr>
        <a:xfrm>
          <a:off x="10789920" y="1257300"/>
          <a:ext cx="9601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F964A9-3F63-416C-8323-465C9A937C33}" type="TxLink">
            <a:rPr lang="en-US" sz="1800" b="1" i="0" u="none" strike="noStrike">
              <a:solidFill>
                <a:srgbClr val="000000"/>
              </a:solidFill>
              <a:latin typeface="Aptos Narrow"/>
            </a:rPr>
            <a:pPr/>
            <a:t>5964</a:t>
          </a:fld>
          <a:endParaRPr lang="en-IN" sz="1800"/>
        </a:p>
      </xdr:txBody>
    </xdr:sp>
    <xdr:clientData/>
  </xdr:twoCellAnchor>
  <xdr:twoCellAnchor editAs="oneCell">
    <xdr:from>
      <xdr:col>20</xdr:col>
      <xdr:colOff>289560</xdr:colOff>
      <xdr:row>30</xdr:row>
      <xdr:rowOff>129540</xdr:rowOff>
    </xdr:from>
    <xdr:to>
      <xdr:col>23</xdr:col>
      <xdr:colOff>99060</xdr:colOff>
      <xdr:row>41</xdr:row>
      <xdr:rowOff>83820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B5C14223-F146-4BE5-9658-E8FC3FD0EDB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481560" y="5615940"/>
              <a:ext cx="16383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21</xdr:row>
      <xdr:rowOff>60960</xdr:rowOff>
    </xdr:from>
    <xdr:to>
      <xdr:col>23</xdr:col>
      <xdr:colOff>91440</xdr:colOff>
      <xdr:row>30</xdr:row>
      <xdr:rowOff>83820</xdr:rowOff>
    </xdr:to>
    <mc:AlternateContent xmlns:mc="http://schemas.openxmlformats.org/markup-compatibility/2006" xmlns:a14="http://schemas.microsoft.com/office/drawing/2010/main">
      <mc:Choice Requires="a14">
        <xdr:graphicFrame macro="">
          <xdr:nvGraphicFramePr>
            <xdr:cNvPr id="8" name="order date (Month)">
              <a:extLst>
                <a:ext uri="{FF2B5EF4-FFF2-40B4-BE49-F238E27FC236}">
                  <a16:creationId xmlns:a16="http://schemas.microsoft.com/office/drawing/2014/main" id="{DBDBF15A-EB28-426B-9D9A-1B0A9F3A58E5}"/>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466320" y="3901440"/>
              <a:ext cx="164592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281940</xdr:colOff>
      <xdr:row>14</xdr:row>
      <xdr:rowOff>76200</xdr:rowOff>
    </xdr:from>
    <xdr:to>
      <xdr:col>23</xdr:col>
      <xdr:colOff>68580</xdr:colOff>
      <xdr:row>21</xdr:row>
      <xdr:rowOff>7620</xdr:rowOff>
    </xdr:to>
    <mc:AlternateContent xmlns:mc="http://schemas.openxmlformats.org/markup-compatibility/2006" xmlns:a14="http://schemas.microsoft.com/office/drawing/2010/main">
      <mc:Choice Requires="a14">
        <xdr:graphicFrame macro="">
          <xdr:nvGraphicFramePr>
            <xdr:cNvPr id="11" name="order date (Year)">
              <a:extLst>
                <a:ext uri="{FF2B5EF4-FFF2-40B4-BE49-F238E27FC236}">
                  <a16:creationId xmlns:a16="http://schemas.microsoft.com/office/drawing/2014/main" id="{7BBBE1B2-66E2-47AC-A08B-7503A640CE1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2473940" y="2636520"/>
              <a:ext cx="161544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281940</xdr:colOff>
      <xdr:row>4</xdr:row>
      <xdr:rowOff>53340</xdr:rowOff>
    </xdr:from>
    <xdr:to>
      <xdr:col>23</xdr:col>
      <xdr:colOff>91440</xdr:colOff>
      <xdr:row>14</xdr:row>
      <xdr:rowOff>38100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A59C99A-3127-4952-8A4C-3DFF11C8FD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73940" y="784860"/>
              <a:ext cx="16383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10</xdr:row>
      <xdr:rowOff>0</xdr:rowOff>
    </xdr:from>
    <xdr:to>
      <xdr:col>6</xdr:col>
      <xdr:colOff>289560</xdr:colOff>
      <xdr:row>25</xdr:row>
      <xdr:rowOff>121920</xdr:rowOff>
    </xdr:to>
    <xdr:sp macro="" textlink="">
      <xdr:nvSpPr>
        <xdr:cNvPr id="31" name="Rectangle: Rounded Corners 30">
          <a:extLst>
            <a:ext uri="{FF2B5EF4-FFF2-40B4-BE49-F238E27FC236}">
              <a16:creationId xmlns:a16="http://schemas.microsoft.com/office/drawing/2014/main" id="{5FF3B5AD-0363-41D1-6E95-DEBEF317AD6F}"/>
            </a:ext>
          </a:extLst>
        </xdr:cNvPr>
        <xdr:cNvSpPr/>
      </xdr:nvSpPr>
      <xdr:spPr>
        <a:xfrm>
          <a:off x="53340" y="1828800"/>
          <a:ext cx="3893820" cy="286512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0</xdr:col>
      <xdr:colOff>38100</xdr:colOff>
      <xdr:row>25</xdr:row>
      <xdr:rowOff>167640</xdr:rowOff>
    </xdr:from>
    <xdr:to>
      <xdr:col>6</xdr:col>
      <xdr:colOff>274320</xdr:colOff>
      <xdr:row>41</xdr:row>
      <xdr:rowOff>106680</xdr:rowOff>
    </xdr:to>
    <xdr:sp macro="" textlink="">
      <xdr:nvSpPr>
        <xdr:cNvPr id="32" name="Rectangle: Rounded Corners 31">
          <a:extLst>
            <a:ext uri="{FF2B5EF4-FFF2-40B4-BE49-F238E27FC236}">
              <a16:creationId xmlns:a16="http://schemas.microsoft.com/office/drawing/2014/main" id="{24A15187-0A0D-4010-9835-0E4D178B94EA}"/>
            </a:ext>
          </a:extLst>
        </xdr:cNvPr>
        <xdr:cNvSpPr/>
      </xdr:nvSpPr>
      <xdr:spPr>
        <a:xfrm>
          <a:off x="38100" y="4739640"/>
          <a:ext cx="3893820" cy="286512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6</xdr:col>
      <xdr:colOff>327660</xdr:colOff>
      <xdr:row>9</xdr:row>
      <xdr:rowOff>175260</xdr:rowOff>
    </xdr:from>
    <xdr:to>
      <xdr:col>13</xdr:col>
      <xdr:colOff>457200</xdr:colOff>
      <xdr:row>25</xdr:row>
      <xdr:rowOff>129540</xdr:rowOff>
    </xdr:to>
    <xdr:sp macro="" textlink="">
      <xdr:nvSpPr>
        <xdr:cNvPr id="33" name="Rectangle: Rounded Corners 32">
          <a:extLst>
            <a:ext uri="{FF2B5EF4-FFF2-40B4-BE49-F238E27FC236}">
              <a16:creationId xmlns:a16="http://schemas.microsoft.com/office/drawing/2014/main" id="{5702DD64-F5A2-42BE-882D-DE8E07ECF101}"/>
            </a:ext>
          </a:extLst>
        </xdr:cNvPr>
        <xdr:cNvSpPr/>
      </xdr:nvSpPr>
      <xdr:spPr>
        <a:xfrm>
          <a:off x="3985260" y="1821180"/>
          <a:ext cx="4396740" cy="288036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13</xdr:col>
      <xdr:colOff>495300</xdr:colOff>
      <xdr:row>10</xdr:row>
      <xdr:rowOff>7620</xdr:rowOff>
    </xdr:from>
    <xdr:to>
      <xdr:col>20</xdr:col>
      <xdr:colOff>198120</xdr:colOff>
      <xdr:row>25</xdr:row>
      <xdr:rowOff>121920</xdr:rowOff>
    </xdr:to>
    <xdr:sp macro="" textlink="">
      <xdr:nvSpPr>
        <xdr:cNvPr id="34" name="Rectangle: Rounded Corners 33">
          <a:extLst>
            <a:ext uri="{FF2B5EF4-FFF2-40B4-BE49-F238E27FC236}">
              <a16:creationId xmlns:a16="http://schemas.microsoft.com/office/drawing/2014/main" id="{AACF2736-5A76-4C54-9497-1BD8933B150D}"/>
            </a:ext>
          </a:extLst>
        </xdr:cNvPr>
        <xdr:cNvSpPr/>
      </xdr:nvSpPr>
      <xdr:spPr>
        <a:xfrm>
          <a:off x="8420100" y="1836420"/>
          <a:ext cx="3970020" cy="285750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6</xdr:col>
      <xdr:colOff>304800</xdr:colOff>
      <xdr:row>25</xdr:row>
      <xdr:rowOff>167640</xdr:rowOff>
    </xdr:from>
    <xdr:to>
      <xdr:col>13</xdr:col>
      <xdr:colOff>480060</xdr:colOff>
      <xdr:row>41</xdr:row>
      <xdr:rowOff>106680</xdr:rowOff>
    </xdr:to>
    <xdr:sp macro="" textlink="">
      <xdr:nvSpPr>
        <xdr:cNvPr id="35" name="Rectangle: Rounded Corners 34">
          <a:extLst>
            <a:ext uri="{FF2B5EF4-FFF2-40B4-BE49-F238E27FC236}">
              <a16:creationId xmlns:a16="http://schemas.microsoft.com/office/drawing/2014/main" id="{A6967E29-5F44-452C-AAB2-946E694891A3}"/>
            </a:ext>
          </a:extLst>
        </xdr:cNvPr>
        <xdr:cNvSpPr/>
      </xdr:nvSpPr>
      <xdr:spPr>
        <a:xfrm>
          <a:off x="3962400" y="4739640"/>
          <a:ext cx="4442460" cy="286512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13</xdr:col>
      <xdr:colOff>510540</xdr:colOff>
      <xdr:row>25</xdr:row>
      <xdr:rowOff>167640</xdr:rowOff>
    </xdr:from>
    <xdr:to>
      <xdr:col>20</xdr:col>
      <xdr:colOff>182880</xdr:colOff>
      <xdr:row>41</xdr:row>
      <xdr:rowOff>106680</xdr:rowOff>
    </xdr:to>
    <xdr:sp macro="" textlink="">
      <xdr:nvSpPr>
        <xdr:cNvPr id="36" name="Rectangle: Rounded Corners 35">
          <a:extLst>
            <a:ext uri="{FF2B5EF4-FFF2-40B4-BE49-F238E27FC236}">
              <a16:creationId xmlns:a16="http://schemas.microsoft.com/office/drawing/2014/main" id="{DCE3004E-7CB6-4836-9F95-378A24A950AC}"/>
            </a:ext>
          </a:extLst>
        </xdr:cNvPr>
        <xdr:cNvSpPr/>
      </xdr:nvSpPr>
      <xdr:spPr>
        <a:xfrm>
          <a:off x="8435340" y="4739640"/>
          <a:ext cx="3939540" cy="2865120"/>
        </a:xfrm>
        <a:prstGeom prst="roundRect">
          <a:avLst>
            <a:gd name="adj" fmla="val 6126"/>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2800" b="1">
            <a:solidFill>
              <a:schemeClr val="tx1"/>
            </a:solidFill>
            <a:latin typeface="+mn-lt"/>
            <a:ea typeface="+mn-ea"/>
            <a:cs typeface="+mn-cs"/>
          </a:endParaRPr>
        </a:p>
      </xdr:txBody>
    </xdr:sp>
    <xdr:clientData/>
  </xdr:twoCellAnchor>
  <xdr:twoCellAnchor>
    <xdr:from>
      <xdr:col>0</xdr:col>
      <xdr:colOff>53340</xdr:colOff>
      <xdr:row>10</xdr:row>
      <xdr:rowOff>38100</xdr:rowOff>
    </xdr:from>
    <xdr:to>
      <xdr:col>6</xdr:col>
      <xdr:colOff>266700</xdr:colOff>
      <xdr:row>25</xdr:row>
      <xdr:rowOff>129540</xdr:rowOff>
    </xdr:to>
    <xdr:graphicFrame macro="">
      <xdr:nvGraphicFramePr>
        <xdr:cNvPr id="37" name="Chart 36">
          <a:extLst>
            <a:ext uri="{FF2B5EF4-FFF2-40B4-BE49-F238E27FC236}">
              <a16:creationId xmlns:a16="http://schemas.microsoft.com/office/drawing/2014/main" id="{A3F6471B-C4FE-463F-B39A-93A5A6EDC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26</xdr:row>
      <xdr:rowOff>15240</xdr:rowOff>
    </xdr:from>
    <xdr:to>
      <xdr:col>6</xdr:col>
      <xdr:colOff>243840</xdr:colOff>
      <xdr:row>41</xdr:row>
      <xdr:rowOff>53340</xdr:rowOff>
    </xdr:to>
    <xdr:graphicFrame macro="">
      <xdr:nvGraphicFramePr>
        <xdr:cNvPr id="38" name="Chart 37">
          <a:extLst>
            <a:ext uri="{FF2B5EF4-FFF2-40B4-BE49-F238E27FC236}">
              <a16:creationId xmlns:a16="http://schemas.microsoft.com/office/drawing/2014/main" id="{34FEC9FC-D095-4552-86CA-0A302F9CD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403860</xdr:colOff>
      <xdr:row>10</xdr:row>
      <xdr:rowOff>54430</xdr:rowOff>
    </xdr:from>
    <xdr:to>
      <xdr:col>13</xdr:col>
      <xdr:colOff>449580</xdr:colOff>
      <xdr:row>25</xdr:row>
      <xdr:rowOff>53341</xdr:rowOff>
    </xdr:to>
    <xdr:graphicFrame macro="">
      <xdr:nvGraphicFramePr>
        <xdr:cNvPr id="39" name="Chart 38">
          <a:extLst>
            <a:ext uri="{FF2B5EF4-FFF2-40B4-BE49-F238E27FC236}">
              <a16:creationId xmlns:a16="http://schemas.microsoft.com/office/drawing/2014/main" id="{7CD93394-C5D4-4863-A22E-17798D5C0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373380</xdr:colOff>
      <xdr:row>26</xdr:row>
      <xdr:rowOff>22860</xdr:rowOff>
    </xdr:from>
    <xdr:to>
      <xdr:col>13</xdr:col>
      <xdr:colOff>396240</xdr:colOff>
      <xdr:row>41</xdr:row>
      <xdr:rowOff>76200</xdr:rowOff>
    </xdr:to>
    <xdr:graphicFrame macro="">
      <xdr:nvGraphicFramePr>
        <xdr:cNvPr id="40" name="Chart 39">
          <a:extLst>
            <a:ext uri="{FF2B5EF4-FFF2-40B4-BE49-F238E27FC236}">
              <a16:creationId xmlns:a16="http://schemas.microsoft.com/office/drawing/2014/main" id="{4F5B1AFF-506B-4EFF-97AD-FE0234394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533400</xdr:colOff>
      <xdr:row>10</xdr:row>
      <xdr:rowOff>45720</xdr:rowOff>
    </xdr:from>
    <xdr:to>
      <xdr:col>20</xdr:col>
      <xdr:colOff>114300</xdr:colOff>
      <xdr:row>25</xdr:row>
      <xdr:rowOff>60960</xdr:rowOff>
    </xdr:to>
    <xdr:graphicFrame macro="">
      <xdr:nvGraphicFramePr>
        <xdr:cNvPr id="41" name="Chart 40">
          <a:extLst>
            <a:ext uri="{FF2B5EF4-FFF2-40B4-BE49-F238E27FC236}">
              <a16:creationId xmlns:a16="http://schemas.microsoft.com/office/drawing/2014/main" id="{D3E259E7-9063-42F4-A5A6-5CFEFAC7D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510540</xdr:colOff>
      <xdr:row>25</xdr:row>
      <xdr:rowOff>167640</xdr:rowOff>
    </xdr:from>
    <xdr:to>
      <xdr:col>20</xdr:col>
      <xdr:colOff>228600</xdr:colOff>
      <xdr:row>41</xdr:row>
      <xdr:rowOff>83820</xdr:rowOff>
    </xdr:to>
    <xdr:graphicFrame macro="">
      <xdr:nvGraphicFramePr>
        <xdr:cNvPr id="43" name="Chart 42">
          <a:extLst>
            <a:ext uri="{FF2B5EF4-FFF2-40B4-BE49-F238E27FC236}">
              <a16:creationId xmlns:a16="http://schemas.microsoft.com/office/drawing/2014/main" id="{C596A75D-9649-4839-9560-8369AD8D4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 farhaan" refreshedDate="46319.543895370371" createdVersion="8" refreshedVersion="8" minRefreshableVersion="3" recordCount="2000" xr:uid="{030310BF-CF9C-4910-8781-C715E266F48D}">
  <cacheSource type="worksheet">
    <worksheetSource name="discount_impact_on_profit_2000_rows"/>
  </cacheSource>
  <cacheFields count="14">
    <cacheField name="order date" numFmtId="14">
      <sharedItems containsSemiMixedTypes="0" containsNonDate="0" containsDate="1" containsString="0" minDate="2023-01-01T00:00:00" maxDate="2026-01-01T00:00:00"/>
    </cacheField>
    <cacheField name="order id" numFmtId="0">
      <sharedItems/>
    </cacheField>
    <cacheField name="product category" numFmtId="0">
      <sharedItems count="6">
        <s v="Beauty &amp; Personal Care"/>
        <s v="Home Appliances"/>
        <s v="Office Supplies"/>
        <s v="Electronics"/>
        <s v="Furniture"/>
        <s v="Clothing"/>
      </sharedItems>
    </cacheField>
    <cacheField name="product name" numFmtId="0">
      <sharedItems count="43">
        <s v="Makeup Brush Set"/>
        <s v="Induction Cooktop"/>
        <s v="Whiteboard Markers"/>
        <s v="Wireless Headphones"/>
        <s v="Electric Trimmer"/>
        <s v="Air Fryer"/>
        <s v="Hair Care Kit"/>
        <s v="Filing Cabinet"/>
        <s v="Hair Dryer"/>
        <s v="Electric Kettle"/>
        <s v="Stapler"/>
        <s v="Study Desk"/>
        <s v="Computer Monitor"/>
        <s v="Ballpoint Pen Box"/>
        <s v="Jeans"/>
        <s v="Keyboard and Mouse Set"/>
        <s v="Casual Dress"/>
        <s v="Skincare Gift Set"/>
        <s v="Cotton T-Shirt"/>
        <s v="Vacuum Cleaner"/>
        <s v="Jacket"/>
        <s v="Face Moisturizer"/>
        <s v="Power Bank"/>
        <s v="Ceiling Fan"/>
        <s v="Room Heater"/>
        <s v="File Folders"/>
        <s v="Office Chair"/>
        <s v="Formal Shirt"/>
        <s v="Smartwatch"/>
        <s v="Mixer Grinder"/>
        <s v="Ergonomic Chair"/>
        <s v="Desk Organizer"/>
        <s v="Bluetooth Speaker"/>
        <s v="Backpack"/>
        <s v="Router"/>
        <s v="Printer Paper Pack"/>
        <s v="Running Shoes"/>
        <s v="Webcam"/>
        <s v="Notebook Set"/>
        <s v="Bookshelf"/>
        <s v="Coffee Table"/>
        <s v="Perfume"/>
        <s v="Side Table"/>
      </sharedItems>
    </cacheField>
    <cacheField name="Cost of products" numFmtId="0">
      <sharedItems containsSemiMixedTypes="0" containsString="0" containsNumber="1" minValue="44.39" maxValue="209282.72"/>
    </cacheField>
    <cacheField name="region" numFmtId="0">
      <sharedItems/>
    </cacheField>
    <cacheField name="sales" numFmtId="0">
      <sharedItems containsSemiMixedTypes="0" containsString="0" containsNumber="1" minValue="65.39" maxValue="240077.67"/>
    </cacheField>
    <cacheField name="profit" numFmtId="0">
      <sharedItems containsSemiMixedTypes="0" containsString="0" containsNumber="1" minValue="0.22" maxValue="85761.12"/>
    </cacheField>
    <cacheField name="Discount %" numFmtId="0">
      <sharedItems containsSemiMixedTypes="0" containsString="0" containsNumber="1" containsInteger="1" minValue="0" maxValue="30"/>
    </cacheField>
    <cacheField name="quantity sold" numFmtId="0">
      <sharedItems containsSemiMixedTypes="0" containsString="0" containsNumber="1" containsInteger="1" minValue="1" maxValue="10"/>
    </cacheField>
    <cacheField name="order month" numFmtId="0">
      <sharedItems/>
    </cacheField>
    <cacheField name="order year" numFmtId="0">
      <sharedItems containsSemiMixedTypes="0" containsString="0" containsNumber="1" containsInteger="1" minValue="2023" maxValue="2025"/>
    </cacheField>
    <cacheField name="Discount type" numFmtId="0">
      <sharedItems count="3">
        <s v="High Discount"/>
        <s v="Low Discount"/>
        <s v="Zero Discount"/>
      </sharedItems>
    </cacheField>
    <cacheField name="discount range" numFmtId="0">
      <sharedItems count="3">
        <s v="10-20%"/>
        <s v="0-10%"/>
        <s v="20-3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6435185" backgroundQuery="1" createdVersion="8" refreshedVersion="8" minRefreshableVersion="3" recordCount="0" supportSubquery="1" supportAdvancedDrill="1" xr:uid="{E306D556-0830-466C-8293-336B12194700}">
  <cacheSource type="external" connectionId="2"/>
  <cacheFields count="2">
    <cacheField name="[discount_impact_on_profit_2000_rows].[order date (Month)].[order date (Month)]" caption="order date (Month)" numFmtId="0" hierarchy="12" level="1">
      <sharedItems count="12">
        <s v="Jan"/>
        <s v="Feb"/>
        <s v="Mar"/>
        <s v="Apr"/>
        <s v="May"/>
        <s v="Jun"/>
        <s v="Jul"/>
        <s v="Aug"/>
        <s v="Sep"/>
        <s v="Oct"/>
        <s v="Nov"/>
        <s v="Dec"/>
      </sharedItems>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2"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2"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2"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2"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2"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2"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2"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2"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1"/>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2"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fieldsUsage count="2">
        <fieldUsage x="-1"/>
        <fieldUsage x="0"/>
      </fieldsUsage>
    </cacheHierarchy>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2"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6782409" backgroundQuery="1" createdVersion="8" refreshedVersion="8" minRefreshableVersion="3" recordCount="0" supportSubquery="1" supportAdvancedDrill="1" xr:uid="{5A21C07F-78BD-4B94-AE9B-48646D9F0A76}">
  <cacheSource type="external" connectionId="2"/>
  <cacheFields count="6">
    <cacheField name="[Measures].[Sum of sales]" caption="Sum of sales" numFmtId="0" hierarchy="16" level="32767"/>
    <cacheField name="[Measures].[Sum of profit]" caption="Sum of profit" numFmtId="0" hierarchy="17" level="32767"/>
    <cacheField name="[Measures].[Average of Discount %]" caption="Average of Discount %" numFmtId="0" hierarchy="19" level="32767"/>
    <cacheField name="[Measures].[Sum of Cost of products]" caption="Sum of Cost of products" numFmtId="0" hierarchy="20" level="32767"/>
    <cacheField name="[Measures].[Sum of quantity sold]" caption="Sum of quantity sold" numFmtId="0" hierarchy="21" level="32767"/>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5"/>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oneField="1" hidden="1">
      <fieldsUsage count="1">
        <fieldUsage x="4"/>
      </fieldsUsage>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7013886" backgroundQuery="1" createdVersion="8" refreshedVersion="8" minRefreshableVersion="3" recordCount="0" supportSubquery="1" supportAdvancedDrill="1" xr:uid="{BE76D675-245B-40B8-8957-57FC37F5CC14}">
  <cacheSource type="external" connectionId="2"/>
  <cacheFields count="4">
    <cacheField name="[discount_impact_on_profit_2000_rows].[region].[region]" caption="region" numFmtId="0" hierarchy="5" level="1">
      <sharedItems count="5">
        <s v="Central"/>
        <s v="East"/>
        <s v="North"/>
        <s v="South"/>
        <s v="West"/>
      </sharedItems>
    </cacheField>
    <cacheField name="[Measures].[Sum of sales]" caption="Sum of sales" numFmtId="0" hierarchy="16" level="32767"/>
    <cacheField name="[Measures].[Sum of profit]" caption="Sum of profit" numFmtId="0" hierarchy="17" level="32767"/>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fieldsUsage count="2">
        <fieldUsage x="-1"/>
        <fieldUsage x="0"/>
      </fieldsUsage>
    </cacheHierarchy>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2"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3"/>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7476855" backgroundQuery="1" createdVersion="8" refreshedVersion="8" minRefreshableVersion="3" recordCount="0" supportSubquery="1" supportAdvancedDrill="1" xr:uid="{8B688401-C99B-408C-8590-14E3EEC0130A}">
  <cacheSource type="external" connectionId="2"/>
  <cacheFields count="4">
    <cacheField name="[discount_impact_on_profit_2000_rows].[product category].[product category]" caption="product category" numFmtId="0" hierarchy="2" level="1">
      <sharedItems count="6">
        <s v="Beauty &amp; Personal Care"/>
        <s v="Clothing"/>
        <s v="Electronics"/>
        <s v="Furniture"/>
        <s v="Home Appliances"/>
        <s v="Office Supplies"/>
      </sharedItems>
    </cacheField>
    <cacheField name="[Measures].[Sum of sales]" caption="Sum of sales" numFmtId="0" hierarchy="16" level="32767"/>
    <cacheField name="[Measures].[Sum of profit]" caption="Sum of profit" numFmtId="0" hierarchy="17" level="32767"/>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fieldsUsage count="2">
        <fieldUsage x="-1"/>
        <fieldUsage x="0"/>
      </fieldsUsage>
    </cacheHierarchy>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2"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3"/>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7824071" backgroundQuery="1" createdVersion="8" refreshedVersion="8" minRefreshableVersion="3" recordCount="0" supportSubquery="1" supportAdvancedDrill="1" xr:uid="{AC7A2640-C02B-4BAC-A0A5-0BC7C42C9EF6}">
  <cacheSource type="external" connectionId="2"/>
  <cacheFields count="4">
    <cacheField name="[discount_impact_on_profit_2000_rows].[order date (Month)].[order date (Month)]" caption="order date (Month)" numFmtId="0" hierarchy="12" level="1">
      <sharedItems count="12">
        <s v="Jan"/>
        <s v="Feb"/>
        <s v="Mar"/>
        <s v="Apr"/>
        <s v="May"/>
        <s v="Jun"/>
        <s v="Jul"/>
        <s v="Aug"/>
        <s v="Sep"/>
        <s v="Oct"/>
        <s v="Nov"/>
        <s v="Dec"/>
      </sharedItems>
    </cacheField>
    <cacheField name="[Measures].[Sum of sales]" caption="Sum of sales" numFmtId="0" hierarchy="16" level="32767"/>
    <cacheField name="[Measures].[Sum of profit]" caption="Sum of profit" numFmtId="0" hierarchy="17" level="32767"/>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3"/>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fieldsUsage count="2">
        <fieldUsage x="-1"/>
        <fieldUsage x="0"/>
      </fieldsUsage>
    </cacheHierarchy>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8171294" backgroundQuery="1" createdVersion="8" refreshedVersion="8" minRefreshableVersion="3" recordCount="0" supportSubquery="1" supportAdvancedDrill="1" xr:uid="{A15A6F82-84C9-4B83-9398-D197D2951A2F}">
  <cacheSource type="external" connectionId="2"/>
  <cacheFields count="2">
    <cacheField name="[discount_impact_on_profit_2000_rows].[Discount %].[Discount %]" caption="Discount %" numFmtId="0" hierarchy="8" level="1">
      <sharedItems containsSemiMixedTypes="0" containsString="0" containsNumber="1" containsInteger="1" minValue="0" maxValue="30" count="20">
        <n v="0"/>
        <n v="5"/>
        <n v="10"/>
        <n v="14"/>
        <n v="15"/>
        <n v="16"/>
        <n v="17"/>
        <n v="18"/>
        <n v="19"/>
        <n v="20"/>
        <n v="21"/>
        <n v="22"/>
        <n v="23"/>
        <n v="24"/>
        <n v="25"/>
        <n v="26"/>
        <n v="27"/>
        <n v="28"/>
        <n v="29"/>
        <n v="30"/>
      </sharedItems>
      <extLst>
        <ext xmlns:x15="http://schemas.microsoft.com/office/spreadsheetml/2010/11/main" uri="{4F2E5C28-24EA-4eb8-9CBF-B6C8F9C3D259}">
          <x15:cachedUniqueNames>
            <x15:cachedUniqueName index="0" name="[discount_impact_on_profit_2000_rows].[Discount %].&amp;[0]"/>
            <x15:cachedUniqueName index="1" name="[discount_impact_on_profit_2000_rows].[Discount %].&amp;[5]"/>
            <x15:cachedUniqueName index="2" name="[discount_impact_on_profit_2000_rows].[Discount %].&amp;[10]"/>
            <x15:cachedUniqueName index="3" name="[discount_impact_on_profit_2000_rows].[Discount %].&amp;[14]"/>
            <x15:cachedUniqueName index="4" name="[discount_impact_on_profit_2000_rows].[Discount %].&amp;[15]"/>
            <x15:cachedUniqueName index="5" name="[discount_impact_on_profit_2000_rows].[Discount %].&amp;[16]"/>
            <x15:cachedUniqueName index="6" name="[discount_impact_on_profit_2000_rows].[Discount %].&amp;[17]"/>
            <x15:cachedUniqueName index="7" name="[discount_impact_on_profit_2000_rows].[Discount %].&amp;[18]"/>
            <x15:cachedUniqueName index="8" name="[discount_impact_on_profit_2000_rows].[Discount %].&amp;[19]"/>
            <x15:cachedUniqueName index="9" name="[discount_impact_on_profit_2000_rows].[Discount %].&amp;[20]"/>
            <x15:cachedUniqueName index="10" name="[discount_impact_on_profit_2000_rows].[Discount %].&amp;[21]"/>
            <x15:cachedUniqueName index="11" name="[discount_impact_on_profit_2000_rows].[Discount %].&amp;[22]"/>
            <x15:cachedUniqueName index="12" name="[discount_impact_on_profit_2000_rows].[Discount %].&amp;[23]"/>
            <x15:cachedUniqueName index="13" name="[discount_impact_on_profit_2000_rows].[Discount %].&amp;[24]"/>
            <x15:cachedUniqueName index="14" name="[discount_impact_on_profit_2000_rows].[Discount %].&amp;[25]"/>
            <x15:cachedUniqueName index="15" name="[discount_impact_on_profit_2000_rows].[Discount %].&amp;[26]"/>
            <x15:cachedUniqueName index="16" name="[discount_impact_on_profit_2000_rows].[Discount %].&amp;[27]"/>
            <x15:cachedUniqueName index="17" name="[discount_impact_on_profit_2000_rows].[Discount %].&amp;[28]"/>
            <x15:cachedUniqueName index="18" name="[discount_impact_on_profit_2000_rows].[Discount %].&amp;[29]"/>
            <x15:cachedUniqueName index="19" name="[discount_impact_on_profit_2000_rows].[Discount %].&amp;[30]"/>
          </x15:cachedUniqueNames>
        </ext>
      </extLst>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2"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2" memberValueDatatype="20" unbalanced="0">
      <fieldsUsage count="2">
        <fieldUsage x="-1"/>
        <fieldUsage x="0"/>
      </fieldsUsage>
    </cacheHierarchy>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1"/>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8518518" backgroundQuery="1" createdVersion="8" refreshedVersion="8" minRefreshableVersion="3" recordCount="0" supportSubquery="1" supportAdvancedDrill="1" xr:uid="{29243352-0E4D-4D71-B3D4-A283C196EB98}">
  <cacheSource type="external" connectionId="2"/>
  <cacheFields count="3">
    <cacheField name="[Measures].[Sum of profit]" caption="Sum of profit" numFmtId="0" hierarchy="17" level="32767"/>
    <cacheField name="[discount_impact_on_profit_2000_rows].[Discount %].[Discount %]" caption="Discount %" numFmtId="0" hierarchy="8" level="1">
      <sharedItems containsSemiMixedTypes="0" containsString="0" containsNumber="1" containsInteger="1" minValue="0" maxValue="20" count="10">
        <n v="0"/>
        <n v="5"/>
        <n v="10"/>
        <n v="14"/>
        <n v="15"/>
        <n v="16"/>
        <n v="17"/>
        <n v="18"/>
        <n v="19"/>
        <n v="20"/>
      </sharedItems>
      <extLst>
        <ext xmlns:x15="http://schemas.microsoft.com/office/spreadsheetml/2010/11/main" uri="{4F2E5C28-24EA-4eb8-9CBF-B6C8F9C3D259}">
          <x15:cachedUniqueNames>
            <x15:cachedUniqueName index="0" name="[discount_impact_on_profit_2000_rows].[Discount %].&amp;[0]"/>
            <x15:cachedUniqueName index="1" name="[discount_impact_on_profit_2000_rows].[Discount %].&amp;[5]"/>
            <x15:cachedUniqueName index="2" name="[discount_impact_on_profit_2000_rows].[Discount %].&amp;[10]"/>
            <x15:cachedUniqueName index="3" name="[discount_impact_on_profit_2000_rows].[Discount %].&amp;[14]"/>
            <x15:cachedUniqueName index="4" name="[discount_impact_on_profit_2000_rows].[Discount %].&amp;[15]"/>
            <x15:cachedUniqueName index="5" name="[discount_impact_on_profit_2000_rows].[Discount %].&amp;[16]"/>
            <x15:cachedUniqueName index="6" name="[discount_impact_on_profit_2000_rows].[Discount %].&amp;[17]"/>
            <x15:cachedUniqueName index="7" name="[discount_impact_on_profit_2000_rows].[Discount %].&amp;[18]"/>
            <x15:cachedUniqueName index="8" name="[discount_impact_on_profit_2000_rows].[Discount %].&amp;[19]"/>
            <x15:cachedUniqueName index="9" name="[discount_impact_on_profit_2000_rows].[Discount %].&amp;[20]"/>
          </x15:cachedUniqueNames>
        </ext>
      </extLst>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0"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2" memberValueDatatype="20" unbalanced="0">
      <fieldsUsage count="2">
        <fieldUsage x="-1"/>
        <fieldUsage x="1"/>
      </fieldsUsage>
    </cacheHierarchy>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2"/>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8865741" backgroundQuery="1" createdVersion="8" refreshedVersion="8" minRefreshableVersion="3" recordCount="0" supportSubquery="1" supportAdvancedDrill="1" xr:uid="{BB04EE8B-E64C-4512-9624-368F0B1CEDDF}">
  <cacheSource type="external" connectionId="2"/>
  <cacheFields count="1">
    <cacheField name="[discount_impact_on_profit_2000_rows].[order date (Year)].[order date (Year)]" caption="order date (Year)" numFmtId="0" hierarchy="10" level="1">
      <sharedItems count="3">
        <s v="2023"/>
        <s v="2024"/>
        <s v="2025"/>
      </sharedItems>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0"/>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9212964" backgroundQuery="1" createdVersion="8" refreshedVersion="8" minRefreshableVersion="3" recordCount="0" supportSubquery="1" supportAdvancedDrill="1" xr:uid="{7C721B42-7E25-44A8-B18B-34FED1D09DD2}">
  <cacheSource type="external" connectionId="2"/>
  <cacheFields count="2">
    <cacheField name="[discount_impact_on_profit_2000_rows].[product category].[product category]" caption="product category" numFmtId="0" hierarchy="2" level="1">
      <sharedItems count="6">
        <s v="Beauty &amp; Personal Care"/>
        <s v="Clothing"/>
        <s v="Electronics"/>
        <s v="Furniture"/>
        <s v="Home Appliances"/>
        <s v="Office Supplies"/>
      </sharedItems>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fieldsUsage count="2">
        <fieldUsage x="-1"/>
        <fieldUsage x="0"/>
      </fieldsUsage>
    </cacheHierarchy>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1"/>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9560187" backgroundQuery="1" createdVersion="8" refreshedVersion="8" minRefreshableVersion="3" recordCount="0" supportSubquery="1" supportAdvancedDrill="1" xr:uid="{D9A7AF8F-E89E-41C3-9DFA-A182F6F61B1F}">
  <cacheSource type="external" connectionId="2"/>
  <cacheFields count="2">
    <cacheField name="[discount_impact_on_profit_2000_rows].[region].[region]" caption="region" numFmtId="0" hierarchy="5" level="1">
      <sharedItems count="5">
        <s v="Central"/>
        <s v="East"/>
        <s v="North"/>
        <s v="South"/>
        <s v="West"/>
      </sharedItems>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fieldsUsage count="2">
        <fieldUsage x="-1"/>
        <fieldUsage x="0"/>
      </fieldsUsage>
    </cacheHierarchy>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1"/>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21.653769907411" backgroundQuery="1" createdVersion="8" refreshedVersion="8" minRefreshableVersion="3" recordCount="0" supportSubquery="1" supportAdvancedDrill="1" xr:uid="{5ABEB923-9D49-40EC-A5EB-2A15C6343327}">
  <cacheSource type="external" connectionId="2"/>
  <cacheFields count="2">
    <cacheField name="[discount_impact_on_profit_2000_rows].[product name].[product name]" caption="product name" numFmtId="0" hierarchy="3" level="1">
      <sharedItems count="43">
        <s v="Air Fryer"/>
        <s v="Backpack"/>
        <s v="Ballpoint Pen Box"/>
        <s v="Bluetooth Speaker"/>
        <s v="Bookshelf"/>
        <s v="Casual Dress"/>
        <s v="Ceiling Fan"/>
        <s v="Coffee Table"/>
        <s v="Computer Monitor"/>
        <s v="Cotton T-Shirt"/>
        <s v="Desk Organizer"/>
        <s v="Electric Kettle"/>
        <s v="Electric Trimmer"/>
        <s v="Ergonomic Chair"/>
        <s v="Face Moisturizer"/>
        <s v="File Folders"/>
        <s v="Filing Cabinet"/>
        <s v="Formal Shirt"/>
        <s v="Hair Care Kit"/>
        <s v="Hair Dryer"/>
        <s v="Induction Cooktop"/>
        <s v="Jacket"/>
        <s v="Jeans"/>
        <s v="Keyboard and Mouse Set"/>
        <s v="Makeup Brush Set"/>
        <s v="Mixer Grinder"/>
        <s v="Notebook Set"/>
        <s v="Office Chair"/>
        <s v="Perfume"/>
        <s v="Power Bank"/>
        <s v="Printer Paper Pack"/>
        <s v="Room Heater"/>
        <s v="Router"/>
        <s v="Running Shoes"/>
        <s v="Side Table"/>
        <s v="Skincare Gift Set"/>
        <s v="Smartwatch"/>
        <s v="Stapler"/>
        <s v="Study Desk"/>
        <s v="Vacuum Cleaner"/>
        <s v="Webcam"/>
        <s v="Whiteboard Markers"/>
        <s v="Wireless Headphones"/>
      </sharedItems>
    </cacheField>
    <cacheField name="[discount_impact_on_profit_2000_rows].[order date (Year)].[order date (Year)]" caption="order date (Year)" numFmtId="0" hierarchy="10" level="1">
      <sharedItems containsSemiMixedTypes="0" containsNonDate="0" containsString="0"/>
    </cacheField>
  </cacheFields>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2" memberValueDatatype="130" unbalanced="0">
      <fieldsUsage count="2">
        <fieldUsage x="-1"/>
        <fieldUsage x="0"/>
      </fieldsUsage>
    </cacheHierarchy>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fieldsUsage count="2">
        <fieldUsage x="-1"/>
        <fieldUsage x="1"/>
      </fieldsUsage>
    </cacheHierarchy>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dimensions count="2">
    <dimension name="discount_impact_on_profit_2000_rows" uniqueName="[discount_impact_on_profit_2000_rows]" caption="discount_impact_on_profit_2000_rows"/>
    <dimension measure="1" name="Measures" uniqueName="[Measures]" caption="Measures"/>
  </dimensions>
  <measureGroups count="1">
    <measureGroup name="discount_impact_on_profit_2000_rows" caption="discount_impact_on_profi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ik farhaan" refreshedDate="46319.484183217595" backgroundQuery="1" createdVersion="3" refreshedVersion="8" minRefreshableVersion="3" recordCount="0" supportSubquery="1" supportAdvancedDrill="1" xr:uid="{87CFEB82-7DF6-49B3-8BF7-44AC5E72CF3E}">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discount_impact_on_profit_2000_rows].[order date]" caption="order date" attribute="1" time="1" defaultMemberUniqueName="[discount_impact_on_profit_2000_rows].[order date].[All]" allUniqueName="[discount_impact_on_profit_2000_rows].[order date].[All]" dimensionUniqueName="[discount_impact_on_profit_2000_rows]" displayFolder="" count="0" memberValueDatatype="7" unbalanced="0"/>
    <cacheHierarchy uniqueName="[discount_impact_on_profit_2000_rows].[order id]" caption="order id" attribute="1" defaultMemberUniqueName="[discount_impact_on_profit_2000_rows].[order id].[All]" allUniqueName="[discount_impact_on_profit_2000_rows].[order id].[All]" dimensionUniqueName="[discount_impact_on_profit_2000_rows]" displayFolder="" count="0" memberValueDatatype="130" unbalanced="0"/>
    <cacheHierarchy uniqueName="[discount_impact_on_profit_2000_rows].[product category]" caption="product category" attribute="1" defaultMemberUniqueName="[discount_impact_on_profit_2000_rows].[product category].[All]" allUniqueName="[discount_impact_on_profit_2000_rows].[product category].[All]" dimensionUniqueName="[discount_impact_on_profit_2000_rows]" displayFolder="" count="2" memberValueDatatype="130" unbalanced="0"/>
    <cacheHierarchy uniqueName="[discount_impact_on_profit_2000_rows].[product name]" caption="product name" attribute="1" defaultMemberUniqueName="[discount_impact_on_profit_2000_rows].[product name].[All]" allUniqueName="[discount_impact_on_profit_2000_rows].[product name].[All]" dimensionUniqueName="[discount_impact_on_profit_2000_rows]" displayFolder="" count="0" memberValueDatatype="130" unbalanced="0"/>
    <cacheHierarchy uniqueName="[discount_impact_on_profit_2000_rows].[Cost of products]" caption="Cost of products" attribute="1" defaultMemberUniqueName="[discount_impact_on_profit_2000_rows].[Cost of products].[All]" allUniqueName="[discount_impact_on_profit_2000_rows].[Cost of products].[All]" dimensionUniqueName="[discount_impact_on_profit_2000_rows]" displayFolder="" count="0" memberValueDatatype="5" unbalanced="0"/>
    <cacheHierarchy uniqueName="[discount_impact_on_profit_2000_rows].[region]" caption="region" attribute="1" defaultMemberUniqueName="[discount_impact_on_profit_2000_rows].[region].[All]" allUniqueName="[discount_impact_on_profit_2000_rows].[region].[All]" dimensionUniqueName="[discount_impact_on_profit_2000_rows]" displayFolder="" count="2" memberValueDatatype="130" unbalanced="0"/>
    <cacheHierarchy uniqueName="[discount_impact_on_profit_2000_rows].[sales]" caption="sales" attribute="1" defaultMemberUniqueName="[discount_impact_on_profit_2000_rows].[sales].[All]" allUniqueName="[discount_impact_on_profit_2000_rows].[sales].[All]" dimensionUniqueName="[discount_impact_on_profit_2000_rows]" displayFolder="" count="0" memberValueDatatype="5" unbalanced="0"/>
    <cacheHierarchy uniqueName="[discount_impact_on_profit_2000_rows].[profit]" caption="profit" attribute="1" defaultMemberUniqueName="[discount_impact_on_profit_2000_rows].[profit].[All]" allUniqueName="[discount_impact_on_profit_2000_rows].[profit].[All]" dimensionUniqueName="[discount_impact_on_profit_2000_rows]" displayFolder="" count="0" memberValueDatatype="5" unbalanced="0"/>
    <cacheHierarchy uniqueName="[discount_impact_on_profit_2000_rows].[Discount %]" caption="Discount %" attribute="1" defaultMemberUniqueName="[discount_impact_on_profit_2000_rows].[Discount %].[All]" allUniqueName="[discount_impact_on_profit_2000_rows].[Discount %].[All]" dimensionUniqueName="[discount_impact_on_profit_2000_rows]" displayFolder="" count="0" memberValueDatatype="20" unbalanced="0"/>
    <cacheHierarchy uniqueName="[discount_impact_on_profit_2000_rows].[quantity sold]" caption="quantity sold" attribute="1" defaultMemberUniqueName="[discount_impact_on_profit_2000_rows].[quantity sold].[All]" allUniqueName="[discount_impact_on_profit_2000_rows].[quantity sold].[All]" dimensionUniqueName="[discount_impact_on_profit_2000_rows]" displayFolder="" count="0" memberValueDatatype="20" unbalanced="0"/>
    <cacheHierarchy uniqueName="[discount_impact_on_profit_2000_rows].[order date (Year)]" caption="order date (Year)" attribute="1" defaultMemberUniqueName="[discount_impact_on_profit_2000_rows].[order date (Year)].[All]" allUniqueName="[discount_impact_on_profit_2000_rows].[order date (Year)].[All]" dimensionUniqueName="[discount_impact_on_profit_2000_rows]" displayFolder="" count="2" memberValueDatatype="130" unbalanced="0"/>
    <cacheHierarchy uniqueName="[discount_impact_on_profit_2000_rows].[order date (Quarter)]" caption="order date (Quarter)" attribute="1" defaultMemberUniqueName="[discount_impact_on_profit_2000_rows].[order date (Quarter)].[All]" allUniqueName="[discount_impact_on_profit_2000_rows].[order date (Quarter)].[All]" dimensionUniqueName="[discount_impact_on_profit_2000_rows]" displayFolder="" count="0" memberValueDatatype="130" unbalanced="0"/>
    <cacheHierarchy uniqueName="[discount_impact_on_profit_2000_rows].[order date (Month)]" caption="order date (Month)" attribute="1" defaultMemberUniqueName="[discount_impact_on_profit_2000_rows].[order date (Month)].[All]" allUniqueName="[discount_impact_on_profit_2000_rows].[order date (Month)].[All]" dimensionUniqueName="[discount_impact_on_profit_2000_rows]" displayFolder="" count="2" memberValueDatatype="130" unbalanced="0"/>
    <cacheHierarchy uniqueName="[discount_impact_on_profit_2000_rows].[order date (Month Index)]" caption="order date (Month Index)" attribute="1" defaultMemberUniqueName="[discount_impact_on_profit_2000_rows].[order date (Month Index)].[All]" allUniqueName="[discount_impact_on_profit_2000_rows].[order date (Month Index)].[All]" dimensionUniqueName="[discount_impact_on_profit_2000_rows]" displayFolder="" count="0" memberValueDatatype="20" unbalanced="0" hidden="1"/>
    <cacheHierarchy uniqueName="[Measures].[__XL_Count discount_impact_on_profit_2000_rows]" caption="__XL_Count discount_impact_on_profit_2000_rows" measure="1" displayFolder="" measureGroup="discount_impact_on_profit_2000_rows" count="0" hidden="1"/>
    <cacheHierarchy uniqueName="[Measures].[__No measures defined]" caption="__No measures defined" measure="1" displayFolder="" count="0" hidden="1"/>
    <cacheHierarchy uniqueName="[Measures].[Sum of sales]" caption="Sum of sales" measure="1" displayFolder="" measureGroup="discount_impact_on_profit_2000_rows"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Average of Discount %]" caption="Average of Discount %" measure="1" displayFolder="" measureGroup="discount_impact_on_profit_2000_rows" count="0" hidden="1">
      <extLst>
        <ext xmlns:x15="http://schemas.microsoft.com/office/spreadsheetml/2010/11/main" uri="{B97F6D7D-B522-45F9-BDA1-12C45D357490}">
          <x15:cacheHierarchy aggregatedColumn="8"/>
        </ext>
      </extLst>
    </cacheHierarchy>
    <cacheHierarchy uniqueName="[Measures].[Sum of Cost of products]" caption="Sum of Cost of products" measure="1" displayFolder="" measureGroup="discount_impact_on_profit_2000_rows" count="0" hidden="1">
      <extLst>
        <ext xmlns:x15="http://schemas.microsoft.com/office/spreadsheetml/2010/11/main" uri="{B97F6D7D-B522-45F9-BDA1-12C45D357490}">
          <x15:cacheHierarchy aggregatedColumn="4"/>
        </ext>
      </extLst>
    </cacheHierarchy>
    <cacheHierarchy uniqueName="[Measures].[Sum of quantity sold]" caption="Sum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Distinct Count of quantity sold]" caption="Distinct Count of quantity sold" measure="1" displayFolder="" measureGroup="discount_impact_on_profit_2000_row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discount_impact_on_profit_2000_row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y uniqueName="[Measures].[Min of profit]" caption="Min of profit" measure="1" displayFolder="" measureGroup="discount_impact_on_profit_2000_row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0588078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4-12T00:00:00"/>
    <s v="ORD-000001"/>
    <x v="0"/>
    <x v="0"/>
    <n v="395.64"/>
    <s v="Central"/>
    <n v="569.76"/>
    <n v="174.12"/>
    <n v="20"/>
    <n v="1"/>
    <s v="April"/>
    <n v="2024"/>
    <x v="0"/>
    <x v="0"/>
  </r>
  <r>
    <d v="2024-01-29T00:00:00"/>
    <s v="ORD-000002"/>
    <x v="1"/>
    <x v="1"/>
    <n v="3332.28"/>
    <s v="Central"/>
    <n v="4181.0600000000004"/>
    <n v="848.78"/>
    <n v="20"/>
    <n v="4"/>
    <s v="January"/>
    <n v="2024"/>
    <x v="0"/>
    <x v="0"/>
  </r>
  <r>
    <d v="2023-04-09T00:00:00"/>
    <s v="ORD-000003"/>
    <x v="2"/>
    <x v="2"/>
    <n v="375.41"/>
    <s v="Central"/>
    <n v="766.51"/>
    <n v="391.1"/>
    <n v="5"/>
    <n v="1"/>
    <s v="April"/>
    <n v="2023"/>
    <x v="1"/>
    <x v="1"/>
  </r>
  <r>
    <d v="2023-09-15T00:00:00"/>
    <s v="ORD-000004"/>
    <x v="3"/>
    <x v="3"/>
    <n v="16504.97"/>
    <s v="East"/>
    <n v="22063.14"/>
    <n v="5558.17"/>
    <n v="10"/>
    <n v="1"/>
    <s v="September"/>
    <n v="2023"/>
    <x v="1"/>
    <x v="1"/>
  </r>
  <r>
    <d v="2024-07-31T00:00:00"/>
    <s v="ORD-000005"/>
    <x v="0"/>
    <x v="4"/>
    <n v="1296.6400000000001"/>
    <s v="South"/>
    <n v="1540.17"/>
    <n v="243.53"/>
    <n v="25"/>
    <n v="3"/>
    <s v="July"/>
    <n v="2024"/>
    <x v="0"/>
    <x v="2"/>
  </r>
  <r>
    <d v="2025-01-17T00:00:00"/>
    <s v="ORD-000006"/>
    <x v="1"/>
    <x v="5"/>
    <n v="3244.57"/>
    <s v="East"/>
    <n v="4514.63"/>
    <n v="1270.06"/>
    <n v="5"/>
    <n v="2"/>
    <s v="January"/>
    <n v="2025"/>
    <x v="1"/>
    <x v="1"/>
  </r>
  <r>
    <d v="2025-08-26T00:00:00"/>
    <s v="ORD-000007"/>
    <x v="0"/>
    <x v="6"/>
    <n v="1892.44"/>
    <s v="North"/>
    <n v="3675.02"/>
    <n v="1782.58"/>
    <n v="15"/>
    <n v="8"/>
    <s v="August"/>
    <n v="2025"/>
    <x v="0"/>
    <x v="0"/>
  </r>
  <r>
    <d v="2023-05-01T00:00:00"/>
    <s v="ORD-000008"/>
    <x v="4"/>
    <x v="7"/>
    <n v="8320.23"/>
    <s v="South"/>
    <n v="9865.7099999999991"/>
    <n v="1545.48"/>
    <n v="25"/>
    <n v="5"/>
    <s v="May"/>
    <n v="2023"/>
    <x v="0"/>
    <x v="2"/>
  </r>
  <r>
    <d v="2025-05-30T00:00:00"/>
    <s v="ORD-000009"/>
    <x v="2"/>
    <x v="2"/>
    <n v="1031.6600000000001"/>
    <s v="West"/>
    <n v="2269.77"/>
    <n v="1238.1099999999999"/>
    <n v="0"/>
    <n v="6"/>
    <s v="May"/>
    <n v="2025"/>
    <x v="2"/>
    <x v="1"/>
  </r>
  <r>
    <d v="2025-04-26T00:00:00"/>
    <s v="ORD-000010"/>
    <x v="0"/>
    <x v="8"/>
    <n v="317.20999999999998"/>
    <s v="Central"/>
    <n v="595.85"/>
    <n v="278.64"/>
    <n v="25"/>
    <n v="1"/>
    <s v="April"/>
    <n v="2025"/>
    <x v="0"/>
    <x v="2"/>
  </r>
  <r>
    <d v="2025-05-01T00:00:00"/>
    <s v="ORD-000011"/>
    <x v="1"/>
    <x v="9"/>
    <n v="8222.5400000000009"/>
    <s v="West"/>
    <n v="8574.67"/>
    <n v="352.13"/>
    <n v="25"/>
    <n v="1"/>
    <s v="May"/>
    <n v="2025"/>
    <x v="0"/>
    <x v="2"/>
  </r>
  <r>
    <d v="2024-02-25T00:00:00"/>
    <s v="ORD-000012"/>
    <x v="2"/>
    <x v="10"/>
    <n v="1095.56"/>
    <s v="West"/>
    <n v="1405.67"/>
    <n v="310.11"/>
    <n v="20"/>
    <n v="1"/>
    <s v="February"/>
    <n v="2024"/>
    <x v="0"/>
    <x v="0"/>
  </r>
  <r>
    <d v="2023-02-26T00:00:00"/>
    <s v="ORD-000013"/>
    <x v="4"/>
    <x v="11"/>
    <n v="70470.58"/>
    <s v="East"/>
    <n v="94494.63"/>
    <n v="24024.05"/>
    <n v="20"/>
    <n v="5"/>
    <s v="February"/>
    <n v="2023"/>
    <x v="0"/>
    <x v="0"/>
  </r>
  <r>
    <d v="2023-10-26T00:00:00"/>
    <s v="ORD-000014"/>
    <x v="3"/>
    <x v="12"/>
    <n v="8036.4"/>
    <s v="South"/>
    <n v="8310.1200000000008"/>
    <n v="273.72000000000003"/>
    <n v="15"/>
    <n v="1"/>
    <s v="October"/>
    <n v="2023"/>
    <x v="0"/>
    <x v="0"/>
  </r>
  <r>
    <d v="2025-12-15T00:00:00"/>
    <s v="ORD-000015"/>
    <x v="1"/>
    <x v="1"/>
    <n v="4811.51"/>
    <s v="West"/>
    <n v="6332.66"/>
    <n v="1521.15"/>
    <n v="15"/>
    <n v="3"/>
    <s v="December"/>
    <n v="2025"/>
    <x v="0"/>
    <x v="0"/>
  </r>
  <r>
    <d v="2023-03-31T00:00:00"/>
    <s v="ORD-000016"/>
    <x v="1"/>
    <x v="5"/>
    <n v="7956.78"/>
    <s v="North"/>
    <n v="10124.68"/>
    <n v="2167.9"/>
    <n v="0"/>
    <n v="3"/>
    <s v="March"/>
    <n v="2023"/>
    <x v="2"/>
    <x v="1"/>
  </r>
  <r>
    <d v="2025-08-30T00:00:00"/>
    <s v="ORD-000017"/>
    <x v="2"/>
    <x v="13"/>
    <n v="930.34"/>
    <s v="North"/>
    <n v="1910.32"/>
    <n v="979.98"/>
    <n v="10"/>
    <n v="2"/>
    <s v="August"/>
    <n v="2025"/>
    <x v="1"/>
    <x v="1"/>
  </r>
  <r>
    <d v="2023-04-10T00:00:00"/>
    <s v="ORD-000018"/>
    <x v="4"/>
    <x v="11"/>
    <n v="12817.41"/>
    <s v="East"/>
    <n v="16733.16"/>
    <n v="3915.75"/>
    <n v="10"/>
    <n v="1"/>
    <s v="April"/>
    <n v="2023"/>
    <x v="1"/>
    <x v="1"/>
  </r>
  <r>
    <d v="2023-03-13T00:00:00"/>
    <s v="ORD-000019"/>
    <x v="5"/>
    <x v="14"/>
    <n v="14939.93"/>
    <s v="North"/>
    <n v="22092.400000000001"/>
    <n v="7152.47"/>
    <n v="10"/>
    <n v="5"/>
    <s v="March"/>
    <n v="2023"/>
    <x v="1"/>
    <x v="1"/>
  </r>
  <r>
    <d v="2024-05-27T00:00:00"/>
    <s v="ORD-000020"/>
    <x v="4"/>
    <x v="11"/>
    <n v="3193.13"/>
    <s v="South"/>
    <n v="4297.16"/>
    <n v="1104.03"/>
    <n v="10"/>
    <n v="1"/>
    <s v="May"/>
    <n v="2024"/>
    <x v="1"/>
    <x v="1"/>
  </r>
  <r>
    <d v="2025-07-29T00:00:00"/>
    <s v="ORD-000021"/>
    <x v="3"/>
    <x v="15"/>
    <n v="33636.800000000003"/>
    <s v="Central"/>
    <n v="33665.54"/>
    <n v="28.74"/>
    <n v="16"/>
    <n v="5"/>
    <s v="July"/>
    <n v="2025"/>
    <x v="0"/>
    <x v="0"/>
  </r>
  <r>
    <d v="2023-07-19T00:00:00"/>
    <s v="ORD-000022"/>
    <x v="5"/>
    <x v="16"/>
    <n v="9460.25"/>
    <s v="North"/>
    <n v="16376.87"/>
    <n v="6916.62"/>
    <n v="5"/>
    <n v="5"/>
    <s v="July"/>
    <n v="2023"/>
    <x v="1"/>
    <x v="1"/>
  </r>
  <r>
    <d v="2023-03-26T00:00:00"/>
    <s v="ORD-000023"/>
    <x v="2"/>
    <x v="2"/>
    <n v="604.79999999999995"/>
    <s v="South"/>
    <n v="992.53"/>
    <n v="387.73"/>
    <n v="5"/>
    <n v="1"/>
    <s v="March"/>
    <n v="2023"/>
    <x v="1"/>
    <x v="1"/>
  </r>
  <r>
    <d v="2023-07-16T00:00:00"/>
    <s v="ORD-000024"/>
    <x v="5"/>
    <x v="16"/>
    <n v="6115.51"/>
    <s v="South"/>
    <n v="10777.12"/>
    <n v="4661.6099999999997"/>
    <n v="10"/>
    <n v="3"/>
    <s v="July"/>
    <n v="2023"/>
    <x v="1"/>
    <x v="1"/>
  </r>
  <r>
    <d v="2025-09-07T00:00:00"/>
    <s v="ORD-000025"/>
    <x v="0"/>
    <x v="8"/>
    <n v="507.6"/>
    <s v="South"/>
    <n v="952.01"/>
    <n v="444.41"/>
    <n v="10"/>
    <n v="1"/>
    <s v="September"/>
    <n v="2025"/>
    <x v="1"/>
    <x v="1"/>
  </r>
  <r>
    <d v="2025-06-16T00:00:00"/>
    <s v="ORD-000026"/>
    <x v="0"/>
    <x v="17"/>
    <n v="2155.8200000000002"/>
    <s v="Central"/>
    <n v="3323.68"/>
    <n v="1167.8599999999999"/>
    <n v="10"/>
    <n v="2"/>
    <s v="June"/>
    <n v="2025"/>
    <x v="1"/>
    <x v="1"/>
  </r>
  <r>
    <d v="2023-12-12T00:00:00"/>
    <s v="ORD-000027"/>
    <x v="0"/>
    <x v="8"/>
    <n v="2341.98"/>
    <s v="North"/>
    <n v="4939.84"/>
    <n v="2597.86"/>
    <n v="10"/>
    <n v="3"/>
    <s v="December"/>
    <n v="2023"/>
    <x v="1"/>
    <x v="1"/>
  </r>
  <r>
    <d v="2023-04-18T00:00:00"/>
    <s v="ORD-000028"/>
    <x v="3"/>
    <x v="3"/>
    <n v="7030.18"/>
    <s v="West"/>
    <n v="8770.1200000000008"/>
    <n v="1739.94"/>
    <n v="5"/>
    <n v="6"/>
    <s v="April"/>
    <n v="2023"/>
    <x v="1"/>
    <x v="1"/>
  </r>
  <r>
    <d v="2025-07-14T00:00:00"/>
    <s v="ORD-000029"/>
    <x v="2"/>
    <x v="10"/>
    <n v="389.36"/>
    <s v="West"/>
    <n v="476.88"/>
    <n v="87.52"/>
    <n v="15"/>
    <n v="3"/>
    <s v="July"/>
    <n v="2025"/>
    <x v="0"/>
    <x v="0"/>
  </r>
  <r>
    <d v="2024-11-22T00:00:00"/>
    <s v="ORD-000030"/>
    <x v="0"/>
    <x v="17"/>
    <n v="2743.7"/>
    <s v="South"/>
    <n v="5196.58"/>
    <n v="2452.88"/>
    <n v="25"/>
    <n v="2"/>
    <s v="November"/>
    <n v="2024"/>
    <x v="0"/>
    <x v="2"/>
  </r>
  <r>
    <d v="2024-01-24T00:00:00"/>
    <s v="ORD-000031"/>
    <x v="5"/>
    <x v="18"/>
    <n v="7779.07"/>
    <s v="South"/>
    <n v="14402.48"/>
    <n v="6623.41"/>
    <n v="5"/>
    <n v="6"/>
    <s v="January"/>
    <n v="2024"/>
    <x v="1"/>
    <x v="1"/>
  </r>
  <r>
    <d v="2025-08-14T00:00:00"/>
    <s v="ORD-000032"/>
    <x v="1"/>
    <x v="9"/>
    <n v="22695.040000000001"/>
    <s v="North"/>
    <n v="24755.34"/>
    <n v="2060.3000000000002"/>
    <n v="20"/>
    <n v="3"/>
    <s v="August"/>
    <n v="2025"/>
    <x v="0"/>
    <x v="0"/>
  </r>
  <r>
    <d v="2023-12-14T00:00:00"/>
    <s v="ORD-000033"/>
    <x v="0"/>
    <x v="17"/>
    <n v="653.65"/>
    <s v="East"/>
    <n v="1346.11"/>
    <n v="692.46"/>
    <n v="10"/>
    <n v="3"/>
    <s v="December"/>
    <n v="2023"/>
    <x v="1"/>
    <x v="1"/>
  </r>
  <r>
    <d v="2023-12-24T00:00:00"/>
    <s v="ORD-000034"/>
    <x v="3"/>
    <x v="15"/>
    <n v="9032.44"/>
    <s v="West"/>
    <n v="10977.12"/>
    <n v="1944.68"/>
    <n v="0"/>
    <n v="5"/>
    <s v="December"/>
    <n v="2023"/>
    <x v="2"/>
    <x v="1"/>
  </r>
  <r>
    <d v="2023-06-12T00:00:00"/>
    <s v="ORD-000035"/>
    <x v="3"/>
    <x v="12"/>
    <n v="17676.59"/>
    <s v="South"/>
    <n v="17697.09"/>
    <n v="20.5"/>
    <n v="14"/>
    <n v="1"/>
    <s v="June"/>
    <n v="2023"/>
    <x v="0"/>
    <x v="0"/>
  </r>
  <r>
    <d v="2024-03-18T00:00:00"/>
    <s v="ORD-000036"/>
    <x v="1"/>
    <x v="19"/>
    <n v="1008.75"/>
    <s v="West"/>
    <n v="1261.5999999999999"/>
    <n v="252.85"/>
    <n v="20"/>
    <n v="1"/>
    <s v="March"/>
    <n v="2024"/>
    <x v="0"/>
    <x v="0"/>
  </r>
  <r>
    <d v="2024-03-05T00:00:00"/>
    <s v="ORD-000037"/>
    <x v="5"/>
    <x v="20"/>
    <n v="4684.0600000000004"/>
    <s v="East"/>
    <n v="6659.81"/>
    <n v="1975.75"/>
    <n v="10"/>
    <n v="6"/>
    <s v="March"/>
    <n v="2024"/>
    <x v="1"/>
    <x v="1"/>
  </r>
  <r>
    <d v="2025-02-07T00:00:00"/>
    <s v="ORD-000038"/>
    <x v="0"/>
    <x v="21"/>
    <n v="501.92"/>
    <s v="North"/>
    <n v="900.48"/>
    <n v="398.56"/>
    <n v="10"/>
    <n v="4"/>
    <s v="February"/>
    <n v="2025"/>
    <x v="1"/>
    <x v="1"/>
  </r>
  <r>
    <d v="2024-11-23T00:00:00"/>
    <s v="ORD-000039"/>
    <x v="3"/>
    <x v="22"/>
    <n v="15088.94"/>
    <s v="West"/>
    <n v="18830.75"/>
    <n v="3741.81"/>
    <n v="0"/>
    <n v="2"/>
    <s v="November"/>
    <n v="2024"/>
    <x v="2"/>
    <x v="1"/>
  </r>
  <r>
    <d v="2025-12-14T00:00:00"/>
    <s v="ORD-000040"/>
    <x v="1"/>
    <x v="23"/>
    <n v="3342.81"/>
    <s v="South"/>
    <n v="4648.78"/>
    <n v="1305.97"/>
    <n v="10"/>
    <n v="1"/>
    <s v="December"/>
    <n v="2025"/>
    <x v="1"/>
    <x v="1"/>
  </r>
  <r>
    <d v="2025-12-03T00:00:00"/>
    <s v="ORD-000041"/>
    <x v="1"/>
    <x v="24"/>
    <n v="7799.72"/>
    <s v="South"/>
    <n v="8033.71"/>
    <n v="233.99"/>
    <n v="20"/>
    <n v="1"/>
    <s v="December"/>
    <n v="2025"/>
    <x v="0"/>
    <x v="0"/>
  </r>
  <r>
    <d v="2023-05-30T00:00:00"/>
    <s v="ORD-000042"/>
    <x v="2"/>
    <x v="25"/>
    <n v="2633.48"/>
    <s v="South"/>
    <n v="4288.9799999999996"/>
    <n v="1655.5"/>
    <n v="5"/>
    <n v="4"/>
    <s v="May"/>
    <n v="2023"/>
    <x v="1"/>
    <x v="1"/>
  </r>
  <r>
    <d v="2025-06-08T00:00:00"/>
    <s v="ORD-000043"/>
    <x v="2"/>
    <x v="25"/>
    <n v="850.67"/>
    <s v="West"/>
    <n v="1829.23"/>
    <n v="978.56"/>
    <n v="5"/>
    <n v="6"/>
    <s v="June"/>
    <n v="2025"/>
    <x v="1"/>
    <x v="1"/>
  </r>
  <r>
    <d v="2025-06-01T00:00:00"/>
    <s v="ORD-000044"/>
    <x v="3"/>
    <x v="3"/>
    <n v="44936.82"/>
    <s v="North"/>
    <n v="55652.7"/>
    <n v="10715.88"/>
    <n v="15"/>
    <n v="3"/>
    <s v="June"/>
    <n v="2025"/>
    <x v="0"/>
    <x v="0"/>
  </r>
  <r>
    <d v="2025-08-07T00:00:00"/>
    <s v="ORD-000045"/>
    <x v="4"/>
    <x v="26"/>
    <n v="10207.07"/>
    <s v="North"/>
    <n v="16562.439999999999"/>
    <n v="6355.37"/>
    <n v="5"/>
    <n v="2"/>
    <s v="August"/>
    <n v="2025"/>
    <x v="1"/>
    <x v="1"/>
  </r>
  <r>
    <d v="2023-12-03T00:00:00"/>
    <s v="ORD-000046"/>
    <x v="1"/>
    <x v="5"/>
    <n v="5150.24"/>
    <s v="West"/>
    <n v="6831.12"/>
    <n v="1680.88"/>
    <n v="10"/>
    <n v="5"/>
    <s v="December"/>
    <n v="2023"/>
    <x v="1"/>
    <x v="1"/>
  </r>
  <r>
    <d v="2025-01-19T00:00:00"/>
    <s v="ORD-000047"/>
    <x v="5"/>
    <x v="27"/>
    <n v="1938.97"/>
    <s v="Central"/>
    <n v="3718.94"/>
    <n v="1779.97"/>
    <n v="5"/>
    <n v="3"/>
    <s v="January"/>
    <n v="2025"/>
    <x v="1"/>
    <x v="1"/>
  </r>
  <r>
    <d v="2024-06-21T00:00:00"/>
    <s v="ORD-000048"/>
    <x v="3"/>
    <x v="28"/>
    <n v="59905.89"/>
    <s v="East"/>
    <n v="71436.87"/>
    <n v="11530.98"/>
    <n v="10"/>
    <n v="5"/>
    <s v="June"/>
    <n v="2024"/>
    <x v="1"/>
    <x v="1"/>
  </r>
  <r>
    <d v="2023-03-04T00:00:00"/>
    <s v="ORD-000049"/>
    <x v="1"/>
    <x v="29"/>
    <n v="2107.9"/>
    <s v="East"/>
    <n v="2900.71"/>
    <n v="792.81"/>
    <n v="5"/>
    <n v="1"/>
    <s v="March"/>
    <n v="2023"/>
    <x v="1"/>
    <x v="1"/>
  </r>
  <r>
    <d v="2023-11-11T00:00:00"/>
    <s v="ORD-000050"/>
    <x v="1"/>
    <x v="5"/>
    <n v="3969.6"/>
    <s v="South"/>
    <n v="4237.53"/>
    <n v="267.93"/>
    <n v="25"/>
    <n v="2"/>
    <s v="November"/>
    <n v="2023"/>
    <x v="0"/>
    <x v="2"/>
  </r>
  <r>
    <d v="2023-08-27T00:00:00"/>
    <s v="ORD-000051"/>
    <x v="4"/>
    <x v="30"/>
    <n v="5909.41"/>
    <s v="South"/>
    <n v="8403.15"/>
    <n v="2493.7399999999998"/>
    <n v="10"/>
    <n v="2"/>
    <s v="August"/>
    <n v="2023"/>
    <x v="1"/>
    <x v="1"/>
  </r>
  <r>
    <d v="2024-08-22T00:00:00"/>
    <s v="ORD-000052"/>
    <x v="2"/>
    <x v="31"/>
    <n v="603.47"/>
    <s v="South"/>
    <n v="850.27"/>
    <n v="246.8"/>
    <n v="5"/>
    <n v="5"/>
    <s v="August"/>
    <n v="2024"/>
    <x v="1"/>
    <x v="1"/>
  </r>
  <r>
    <d v="2025-02-11T00:00:00"/>
    <s v="ORD-000053"/>
    <x v="1"/>
    <x v="5"/>
    <n v="7829.09"/>
    <s v="North"/>
    <n v="12207.68"/>
    <n v="4378.59"/>
    <n v="0"/>
    <n v="4"/>
    <s v="February"/>
    <n v="2025"/>
    <x v="2"/>
    <x v="1"/>
  </r>
  <r>
    <d v="2024-07-02T00:00:00"/>
    <s v="ORD-000054"/>
    <x v="3"/>
    <x v="22"/>
    <n v="13349.75"/>
    <s v="South"/>
    <n v="13401.41"/>
    <n v="51.66"/>
    <n v="14"/>
    <n v="5"/>
    <s v="July"/>
    <n v="2024"/>
    <x v="0"/>
    <x v="0"/>
  </r>
  <r>
    <d v="2023-05-03T00:00:00"/>
    <s v="ORD-000055"/>
    <x v="3"/>
    <x v="22"/>
    <n v="3552.41"/>
    <s v="North"/>
    <n v="4074.54"/>
    <n v="522.13"/>
    <n v="15"/>
    <n v="4"/>
    <s v="May"/>
    <n v="2023"/>
    <x v="0"/>
    <x v="0"/>
  </r>
  <r>
    <d v="2024-01-30T00:00:00"/>
    <s v="ORD-000056"/>
    <x v="3"/>
    <x v="32"/>
    <n v="8403.9599999999991"/>
    <s v="North"/>
    <n v="10094.93"/>
    <n v="1690.97"/>
    <n v="0"/>
    <n v="4"/>
    <s v="January"/>
    <n v="2024"/>
    <x v="2"/>
    <x v="1"/>
  </r>
  <r>
    <d v="2023-12-01T00:00:00"/>
    <s v="ORD-000057"/>
    <x v="5"/>
    <x v="27"/>
    <n v="4119.24"/>
    <s v="South"/>
    <n v="5359.05"/>
    <n v="1239.81"/>
    <n v="25"/>
    <n v="8"/>
    <s v="December"/>
    <n v="2023"/>
    <x v="0"/>
    <x v="2"/>
  </r>
  <r>
    <d v="2024-05-20T00:00:00"/>
    <s v="ORD-000058"/>
    <x v="1"/>
    <x v="1"/>
    <n v="20387.27"/>
    <s v="South"/>
    <n v="24526.79"/>
    <n v="4139.5200000000004"/>
    <n v="5"/>
    <n v="3"/>
    <s v="May"/>
    <n v="2024"/>
    <x v="1"/>
    <x v="1"/>
  </r>
  <r>
    <d v="2024-07-21T00:00:00"/>
    <s v="ORD-000059"/>
    <x v="5"/>
    <x v="33"/>
    <n v="3916.51"/>
    <s v="North"/>
    <n v="5926.37"/>
    <n v="2009.86"/>
    <n v="10"/>
    <n v="4"/>
    <s v="July"/>
    <n v="2024"/>
    <x v="1"/>
    <x v="1"/>
  </r>
  <r>
    <d v="2024-07-05T00:00:00"/>
    <s v="ORD-000060"/>
    <x v="1"/>
    <x v="19"/>
    <n v="36045.56"/>
    <s v="South"/>
    <n v="51481.49"/>
    <n v="15435.93"/>
    <n v="5"/>
    <n v="4"/>
    <s v="July"/>
    <n v="2024"/>
    <x v="1"/>
    <x v="1"/>
  </r>
  <r>
    <d v="2023-01-11T00:00:00"/>
    <s v="ORD-000061"/>
    <x v="3"/>
    <x v="15"/>
    <n v="41935.279999999999"/>
    <s v="West"/>
    <n v="43193.34"/>
    <n v="1258.06"/>
    <n v="17"/>
    <n v="8"/>
    <s v="January"/>
    <n v="2023"/>
    <x v="0"/>
    <x v="0"/>
  </r>
  <r>
    <d v="2025-11-14T00:00:00"/>
    <s v="ORD-000062"/>
    <x v="3"/>
    <x v="28"/>
    <n v="6402.21"/>
    <s v="West"/>
    <n v="7924.92"/>
    <n v="1522.71"/>
    <n v="15"/>
    <n v="2"/>
    <s v="November"/>
    <n v="2025"/>
    <x v="0"/>
    <x v="0"/>
  </r>
  <r>
    <d v="2023-09-08T00:00:00"/>
    <s v="ORD-000063"/>
    <x v="4"/>
    <x v="30"/>
    <n v="2989.64"/>
    <s v="South"/>
    <n v="3857.6"/>
    <n v="867.96"/>
    <n v="20"/>
    <n v="1"/>
    <s v="September"/>
    <n v="2023"/>
    <x v="0"/>
    <x v="0"/>
  </r>
  <r>
    <d v="2024-12-04T00:00:00"/>
    <s v="ORD-000064"/>
    <x v="3"/>
    <x v="22"/>
    <n v="3954.39"/>
    <s v="North"/>
    <n v="4792.1499999999996"/>
    <n v="837.76"/>
    <n v="5"/>
    <n v="4"/>
    <s v="December"/>
    <n v="2024"/>
    <x v="1"/>
    <x v="1"/>
  </r>
  <r>
    <d v="2024-01-02T00:00:00"/>
    <s v="ORD-000065"/>
    <x v="0"/>
    <x v="8"/>
    <n v="1803.65"/>
    <s v="South"/>
    <n v="2500.8000000000002"/>
    <n v="697.15"/>
    <n v="15"/>
    <n v="4"/>
    <s v="January"/>
    <n v="2024"/>
    <x v="0"/>
    <x v="0"/>
  </r>
  <r>
    <d v="2023-02-28T00:00:00"/>
    <s v="ORD-000066"/>
    <x v="5"/>
    <x v="20"/>
    <n v="3957.57"/>
    <s v="East"/>
    <n v="6275.82"/>
    <n v="2318.25"/>
    <n v="25"/>
    <n v="3"/>
    <s v="February"/>
    <n v="2023"/>
    <x v="0"/>
    <x v="2"/>
  </r>
  <r>
    <d v="2024-11-30T00:00:00"/>
    <s v="ORD-000067"/>
    <x v="3"/>
    <x v="32"/>
    <n v="48152.54"/>
    <s v="South"/>
    <n v="48336.59"/>
    <n v="184.05"/>
    <n v="19"/>
    <n v="4"/>
    <s v="November"/>
    <n v="2024"/>
    <x v="0"/>
    <x v="0"/>
  </r>
  <r>
    <d v="2024-05-14T00:00:00"/>
    <s v="ORD-000068"/>
    <x v="3"/>
    <x v="34"/>
    <n v="15185.24"/>
    <s v="West"/>
    <n v="19226.98"/>
    <n v="4041.74"/>
    <n v="5"/>
    <n v="3"/>
    <s v="May"/>
    <n v="2024"/>
    <x v="1"/>
    <x v="1"/>
  </r>
  <r>
    <d v="2025-04-07T00:00:00"/>
    <s v="ORD-000069"/>
    <x v="5"/>
    <x v="18"/>
    <n v="2233.66"/>
    <s v="West"/>
    <n v="2970.84"/>
    <n v="737.18"/>
    <n v="10"/>
    <n v="4"/>
    <s v="April"/>
    <n v="2025"/>
    <x v="1"/>
    <x v="1"/>
  </r>
  <r>
    <d v="2024-08-16T00:00:00"/>
    <s v="ORD-000070"/>
    <x v="2"/>
    <x v="13"/>
    <n v="338.55"/>
    <s v="West"/>
    <n v="553.91999999999996"/>
    <n v="215.37"/>
    <n v="5"/>
    <n v="1"/>
    <s v="August"/>
    <n v="2024"/>
    <x v="1"/>
    <x v="1"/>
  </r>
  <r>
    <d v="2025-07-26T00:00:00"/>
    <s v="ORD-000071"/>
    <x v="4"/>
    <x v="7"/>
    <n v="18479.27"/>
    <s v="South"/>
    <n v="20741.830000000002"/>
    <n v="2262.56"/>
    <n v="25"/>
    <n v="2"/>
    <s v="July"/>
    <n v="2025"/>
    <x v="0"/>
    <x v="2"/>
  </r>
  <r>
    <d v="2023-03-07T00:00:00"/>
    <s v="ORD-000072"/>
    <x v="3"/>
    <x v="34"/>
    <n v="3580.04"/>
    <s v="South"/>
    <n v="4010.06"/>
    <n v="430.02"/>
    <n v="15"/>
    <n v="2"/>
    <s v="March"/>
    <n v="2023"/>
    <x v="0"/>
    <x v="0"/>
  </r>
  <r>
    <d v="2025-08-22T00:00:00"/>
    <s v="ORD-000073"/>
    <x v="4"/>
    <x v="30"/>
    <n v="5538.3"/>
    <s v="North"/>
    <n v="9145.43"/>
    <n v="3607.13"/>
    <n v="0"/>
    <n v="4"/>
    <s v="August"/>
    <n v="2025"/>
    <x v="2"/>
    <x v="1"/>
  </r>
  <r>
    <d v="2025-01-26T00:00:00"/>
    <s v="ORD-000074"/>
    <x v="2"/>
    <x v="13"/>
    <n v="4408.7700000000004"/>
    <s v="Central"/>
    <n v="4535.99"/>
    <n v="127.22"/>
    <n v="30"/>
    <n v="10"/>
    <s v="January"/>
    <n v="2025"/>
    <x v="0"/>
    <x v="2"/>
  </r>
  <r>
    <d v="2024-05-11T00:00:00"/>
    <s v="ORD-000075"/>
    <x v="2"/>
    <x v="13"/>
    <n v="4500.66"/>
    <s v="North"/>
    <n v="6345.76"/>
    <n v="1845.1"/>
    <n v="20"/>
    <n v="10"/>
    <s v="May"/>
    <n v="2024"/>
    <x v="0"/>
    <x v="0"/>
  </r>
  <r>
    <d v="2025-10-16T00:00:00"/>
    <s v="ORD-000076"/>
    <x v="1"/>
    <x v="29"/>
    <n v="18169.97"/>
    <s v="Central"/>
    <n v="19019.68"/>
    <n v="849.71"/>
    <n v="30"/>
    <n v="3"/>
    <s v="October"/>
    <n v="2025"/>
    <x v="0"/>
    <x v="2"/>
  </r>
  <r>
    <d v="2024-04-08T00:00:00"/>
    <s v="ORD-000077"/>
    <x v="5"/>
    <x v="33"/>
    <n v="1123.96"/>
    <s v="North"/>
    <n v="2721.17"/>
    <n v="1597.21"/>
    <n v="0"/>
    <n v="2"/>
    <s v="April"/>
    <n v="2024"/>
    <x v="2"/>
    <x v="1"/>
  </r>
  <r>
    <d v="2024-09-29T00:00:00"/>
    <s v="ORD-000078"/>
    <x v="2"/>
    <x v="31"/>
    <n v="625.19000000000005"/>
    <s v="West"/>
    <n v="1290.1600000000001"/>
    <n v="664.97"/>
    <n v="10"/>
    <n v="3"/>
    <s v="September"/>
    <n v="2024"/>
    <x v="1"/>
    <x v="1"/>
  </r>
  <r>
    <d v="2024-09-02T00:00:00"/>
    <s v="ORD-000079"/>
    <x v="3"/>
    <x v="15"/>
    <n v="18365.560000000001"/>
    <s v="East"/>
    <n v="24682.67"/>
    <n v="6317.11"/>
    <n v="5"/>
    <n v="1"/>
    <s v="September"/>
    <n v="2024"/>
    <x v="1"/>
    <x v="1"/>
  </r>
  <r>
    <d v="2024-10-17T00:00:00"/>
    <s v="ORD-000080"/>
    <x v="0"/>
    <x v="17"/>
    <n v="121.06"/>
    <s v="North"/>
    <n v="221.33"/>
    <n v="100.27"/>
    <n v="15"/>
    <n v="1"/>
    <s v="October"/>
    <n v="2024"/>
    <x v="0"/>
    <x v="0"/>
  </r>
  <r>
    <d v="2024-02-29T00:00:00"/>
    <s v="ORD-000081"/>
    <x v="0"/>
    <x v="17"/>
    <n v="18814.95"/>
    <s v="North"/>
    <n v="30466.87"/>
    <n v="11651.92"/>
    <n v="5"/>
    <n v="10"/>
    <s v="February"/>
    <n v="2024"/>
    <x v="1"/>
    <x v="1"/>
  </r>
  <r>
    <d v="2024-05-19T00:00:00"/>
    <s v="ORD-000082"/>
    <x v="2"/>
    <x v="13"/>
    <n v="385.87"/>
    <s v="North"/>
    <n v="725.39"/>
    <n v="339.52"/>
    <n v="20"/>
    <n v="10"/>
    <s v="May"/>
    <n v="2024"/>
    <x v="0"/>
    <x v="0"/>
  </r>
  <r>
    <d v="2025-02-11T00:00:00"/>
    <s v="ORD-000083"/>
    <x v="1"/>
    <x v="23"/>
    <n v="52721.97"/>
    <s v="South"/>
    <n v="65465.53"/>
    <n v="12743.56"/>
    <n v="0"/>
    <n v="5"/>
    <s v="February"/>
    <n v="2025"/>
    <x v="2"/>
    <x v="1"/>
  </r>
  <r>
    <d v="2023-11-06T00:00:00"/>
    <s v="ORD-000084"/>
    <x v="2"/>
    <x v="35"/>
    <n v="1004.76"/>
    <s v="East"/>
    <n v="1951.9"/>
    <n v="947.14"/>
    <n v="10"/>
    <n v="4"/>
    <s v="November"/>
    <n v="2023"/>
    <x v="1"/>
    <x v="1"/>
  </r>
  <r>
    <d v="2023-09-08T00:00:00"/>
    <s v="ORD-000085"/>
    <x v="4"/>
    <x v="7"/>
    <n v="38378.53"/>
    <s v="West"/>
    <n v="38479.93"/>
    <n v="101.4"/>
    <n v="30"/>
    <n v="2"/>
    <s v="September"/>
    <n v="2023"/>
    <x v="0"/>
    <x v="2"/>
  </r>
  <r>
    <d v="2023-03-25T00:00:00"/>
    <s v="ORD-000086"/>
    <x v="1"/>
    <x v="9"/>
    <n v="34060.730000000003"/>
    <s v="West"/>
    <n v="55393.57"/>
    <n v="21332.84"/>
    <n v="0"/>
    <n v="5"/>
    <s v="March"/>
    <n v="2023"/>
    <x v="2"/>
    <x v="1"/>
  </r>
  <r>
    <d v="2025-01-18T00:00:00"/>
    <s v="ORD-000087"/>
    <x v="1"/>
    <x v="23"/>
    <n v="4825.79"/>
    <s v="South"/>
    <n v="5187.95"/>
    <n v="362.16"/>
    <n v="15"/>
    <n v="1"/>
    <s v="January"/>
    <n v="2025"/>
    <x v="0"/>
    <x v="0"/>
  </r>
  <r>
    <d v="2023-03-27T00:00:00"/>
    <s v="ORD-000088"/>
    <x v="5"/>
    <x v="33"/>
    <n v="292.81"/>
    <s v="North"/>
    <n v="473.02"/>
    <n v="180.21"/>
    <n v="15"/>
    <n v="1"/>
    <s v="March"/>
    <n v="2023"/>
    <x v="0"/>
    <x v="0"/>
  </r>
  <r>
    <d v="2023-12-28T00:00:00"/>
    <s v="ORD-000089"/>
    <x v="4"/>
    <x v="7"/>
    <n v="3352.78"/>
    <s v="South"/>
    <n v="4862.8"/>
    <n v="1510.02"/>
    <n v="0"/>
    <n v="1"/>
    <s v="December"/>
    <n v="2023"/>
    <x v="2"/>
    <x v="1"/>
  </r>
  <r>
    <d v="2024-07-08T00:00:00"/>
    <s v="ORD-000090"/>
    <x v="3"/>
    <x v="32"/>
    <n v="26187.35"/>
    <s v="West"/>
    <n v="27197.58"/>
    <n v="1010.23"/>
    <n v="15"/>
    <n v="5"/>
    <s v="July"/>
    <n v="2024"/>
    <x v="0"/>
    <x v="0"/>
  </r>
  <r>
    <d v="2023-05-21T00:00:00"/>
    <s v="ORD-000091"/>
    <x v="3"/>
    <x v="28"/>
    <n v="97379.28"/>
    <s v="Central"/>
    <n v="100300.66"/>
    <n v="2921.38"/>
    <n v="15"/>
    <n v="4"/>
    <s v="May"/>
    <n v="2023"/>
    <x v="0"/>
    <x v="0"/>
  </r>
  <r>
    <d v="2024-07-22T00:00:00"/>
    <s v="ORD-000092"/>
    <x v="2"/>
    <x v="10"/>
    <n v="435.44"/>
    <s v="Central"/>
    <n v="971.85"/>
    <n v="536.41"/>
    <n v="0"/>
    <n v="10"/>
    <s v="July"/>
    <n v="2024"/>
    <x v="2"/>
    <x v="1"/>
  </r>
  <r>
    <d v="2025-04-09T00:00:00"/>
    <s v="ORD-000093"/>
    <x v="2"/>
    <x v="35"/>
    <n v="262.89"/>
    <s v="West"/>
    <n v="347.43"/>
    <n v="84.54"/>
    <n v="10"/>
    <n v="1"/>
    <s v="April"/>
    <n v="2025"/>
    <x v="1"/>
    <x v="1"/>
  </r>
  <r>
    <d v="2023-08-28T00:00:00"/>
    <s v="ORD-000094"/>
    <x v="1"/>
    <x v="24"/>
    <n v="7933.35"/>
    <s v="West"/>
    <n v="10048.93"/>
    <n v="2115.58"/>
    <n v="15"/>
    <n v="3"/>
    <s v="August"/>
    <n v="2023"/>
    <x v="0"/>
    <x v="0"/>
  </r>
  <r>
    <d v="2025-11-19T00:00:00"/>
    <s v="ORD-000095"/>
    <x v="5"/>
    <x v="36"/>
    <n v="2769.13"/>
    <s v="South"/>
    <n v="4207.46"/>
    <n v="1438.33"/>
    <n v="10"/>
    <n v="2"/>
    <s v="November"/>
    <n v="2025"/>
    <x v="1"/>
    <x v="1"/>
  </r>
  <r>
    <d v="2025-02-26T00:00:00"/>
    <s v="ORD-000096"/>
    <x v="3"/>
    <x v="37"/>
    <n v="3581.74"/>
    <s v="West"/>
    <n v="4500.33"/>
    <n v="918.59"/>
    <n v="5"/>
    <n v="1"/>
    <s v="February"/>
    <n v="2025"/>
    <x v="1"/>
    <x v="1"/>
  </r>
  <r>
    <d v="2025-01-31T00:00:00"/>
    <s v="ORD-000097"/>
    <x v="0"/>
    <x v="8"/>
    <n v="1116.7"/>
    <s v="Central"/>
    <n v="1461.39"/>
    <n v="344.69"/>
    <n v="15"/>
    <n v="4"/>
    <s v="January"/>
    <n v="2025"/>
    <x v="0"/>
    <x v="0"/>
  </r>
  <r>
    <d v="2024-02-05T00:00:00"/>
    <s v="ORD-000098"/>
    <x v="2"/>
    <x v="13"/>
    <n v="347.36"/>
    <s v="Central"/>
    <n v="523.63"/>
    <n v="176.27"/>
    <n v="10"/>
    <n v="1"/>
    <s v="February"/>
    <n v="2024"/>
    <x v="1"/>
    <x v="1"/>
  </r>
  <r>
    <d v="2024-10-18T00:00:00"/>
    <s v="ORD-000099"/>
    <x v="3"/>
    <x v="12"/>
    <n v="40413.629999999997"/>
    <s v="West"/>
    <n v="44362.2"/>
    <n v="3948.57"/>
    <n v="10"/>
    <n v="4"/>
    <s v="October"/>
    <n v="2024"/>
    <x v="1"/>
    <x v="1"/>
  </r>
  <r>
    <d v="2025-04-25T00:00:00"/>
    <s v="ORD-000100"/>
    <x v="0"/>
    <x v="8"/>
    <n v="3820"/>
    <s v="South"/>
    <n v="4788.68"/>
    <n v="968.68"/>
    <n v="30"/>
    <n v="4"/>
    <s v="April"/>
    <n v="2025"/>
    <x v="0"/>
    <x v="2"/>
  </r>
  <r>
    <d v="2023-12-02T00:00:00"/>
    <s v="ORD-000101"/>
    <x v="1"/>
    <x v="5"/>
    <n v="29381.39"/>
    <s v="West"/>
    <n v="41449.08"/>
    <n v="12067.69"/>
    <n v="0"/>
    <n v="3"/>
    <s v="December"/>
    <n v="2023"/>
    <x v="2"/>
    <x v="1"/>
  </r>
  <r>
    <d v="2023-01-12T00:00:00"/>
    <s v="ORD-000102"/>
    <x v="2"/>
    <x v="31"/>
    <n v="44.39"/>
    <s v="East"/>
    <n v="98.04"/>
    <n v="53.65"/>
    <n v="5"/>
    <n v="1"/>
    <s v="January"/>
    <n v="2023"/>
    <x v="1"/>
    <x v="1"/>
  </r>
  <r>
    <d v="2023-10-23T00:00:00"/>
    <s v="ORD-000103"/>
    <x v="2"/>
    <x v="2"/>
    <n v="479.84"/>
    <s v="South"/>
    <n v="921.38"/>
    <n v="441.54"/>
    <n v="0"/>
    <n v="6"/>
    <s v="October"/>
    <n v="2023"/>
    <x v="2"/>
    <x v="1"/>
  </r>
  <r>
    <d v="2023-10-03T00:00:00"/>
    <s v="ORD-000104"/>
    <x v="3"/>
    <x v="34"/>
    <n v="9371.23"/>
    <s v="North"/>
    <n v="11976.54"/>
    <n v="2605.31"/>
    <n v="10"/>
    <n v="1"/>
    <s v="October"/>
    <n v="2023"/>
    <x v="1"/>
    <x v="1"/>
  </r>
  <r>
    <d v="2025-09-08T00:00:00"/>
    <s v="ORD-000105"/>
    <x v="0"/>
    <x v="4"/>
    <n v="2156.25"/>
    <s v="South"/>
    <n v="5135.74"/>
    <n v="2979.49"/>
    <n v="0"/>
    <n v="1"/>
    <s v="September"/>
    <n v="2025"/>
    <x v="2"/>
    <x v="1"/>
  </r>
  <r>
    <d v="2023-05-09T00:00:00"/>
    <s v="ORD-000106"/>
    <x v="1"/>
    <x v="23"/>
    <n v="8754.18"/>
    <s v="South"/>
    <n v="12705.65"/>
    <n v="3951.47"/>
    <n v="5"/>
    <n v="6"/>
    <s v="May"/>
    <n v="2023"/>
    <x v="1"/>
    <x v="1"/>
  </r>
  <r>
    <d v="2023-04-28T00:00:00"/>
    <s v="ORD-000107"/>
    <x v="1"/>
    <x v="19"/>
    <n v="2032.33"/>
    <s v="West"/>
    <n v="2539.91"/>
    <n v="507.58"/>
    <n v="0"/>
    <n v="2"/>
    <s v="April"/>
    <n v="2023"/>
    <x v="2"/>
    <x v="1"/>
  </r>
  <r>
    <d v="2024-01-31T00:00:00"/>
    <s v="ORD-000108"/>
    <x v="5"/>
    <x v="20"/>
    <n v="229.06"/>
    <s v="East"/>
    <n v="472.33"/>
    <n v="243.27"/>
    <n v="0"/>
    <n v="1"/>
    <s v="January"/>
    <n v="2024"/>
    <x v="2"/>
    <x v="1"/>
  </r>
  <r>
    <d v="2025-06-28T00:00:00"/>
    <s v="ORD-000109"/>
    <x v="1"/>
    <x v="29"/>
    <n v="11912.57"/>
    <s v="West"/>
    <n v="12380.92"/>
    <n v="468.35"/>
    <n v="30"/>
    <n v="6"/>
    <s v="June"/>
    <n v="2025"/>
    <x v="0"/>
    <x v="2"/>
  </r>
  <r>
    <d v="2024-10-22T00:00:00"/>
    <s v="ORD-000110"/>
    <x v="5"/>
    <x v="18"/>
    <n v="1088.93"/>
    <s v="North"/>
    <n v="2470.6799999999998"/>
    <n v="1381.75"/>
    <n v="0"/>
    <n v="2"/>
    <s v="October"/>
    <n v="2024"/>
    <x v="2"/>
    <x v="1"/>
  </r>
  <r>
    <d v="2023-03-04T00:00:00"/>
    <s v="ORD-000111"/>
    <x v="5"/>
    <x v="27"/>
    <n v="7054.77"/>
    <s v="West"/>
    <n v="12528.11"/>
    <n v="5473.34"/>
    <n v="10"/>
    <n v="4"/>
    <s v="March"/>
    <n v="2023"/>
    <x v="1"/>
    <x v="1"/>
  </r>
  <r>
    <d v="2025-06-05T00:00:00"/>
    <s v="ORD-000112"/>
    <x v="1"/>
    <x v="5"/>
    <n v="6470.95"/>
    <s v="Central"/>
    <n v="10394.959999999999"/>
    <n v="3924.01"/>
    <n v="0"/>
    <n v="2"/>
    <s v="June"/>
    <n v="2025"/>
    <x v="2"/>
    <x v="1"/>
  </r>
  <r>
    <d v="2023-03-25T00:00:00"/>
    <s v="ORD-000113"/>
    <x v="0"/>
    <x v="17"/>
    <n v="1467.19"/>
    <s v="West"/>
    <n v="2943.4"/>
    <n v="1476.21"/>
    <n v="5"/>
    <n v="2"/>
    <s v="March"/>
    <n v="2023"/>
    <x v="1"/>
    <x v="1"/>
  </r>
  <r>
    <d v="2025-10-19T00:00:00"/>
    <s v="ORD-000114"/>
    <x v="4"/>
    <x v="7"/>
    <n v="29416.41"/>
    <s v="South"/>
    <n v="33831.699999999997"/>
    <n v="4415.29"/>
    <n v="15"/>
    <n v="4"/>
    <s v="October"/>
    <n v="2025"/>
    <x v="0"/>
    <x v="0"/>
  </r>
  <r>
    <d v="2024-04-21T00:00:00"/>
    <s v="ORD-000115"/>
    <x v="2"/>
    <x v="31"/>
    <n v="58.81"/>
    <s v="Central"/>
    <n v="72.22"/>
    <n v="13.41"/>
    <n v="25"/>
    <n v="1"/>
    <s v="April"/>
    <n v="2024"/>
    <x v="0"/>
    <x v="2"/>
  </r>
  <r>
    <d v="2023-08-01T00:00:00"/>
    <s v="ORD-000116"/>
    <x v="5"/>
    <x v="14"/>
    <n v="2638.69"/>
    <s v="East"/>
    <n v="4705.37"/>
    <n v="2066.6799999999998"/>
    <n v="15"/>
    <n v="5"/>
    <s v="August"/>
    <n v="2023"/>
    <x v="0"/>
    <x v="0"/>
  </r>
  <r>
    <d v="2024-07-08T00:00:00"/>
    <s v="ORD-000117"/>
    <x v="1"/>
    <x v="23"/>
    <n v="1747.99"/>
    <s v="North"/>
    <n v="1992.28"/>
    <n v="244.29"/>
    <n v="10"/>
    <n v="1"/>
    <s v="July"/>
    <n v="2024"/>
    <x v="1"/>
    <x v="1"/>
  </r>
  <r>
    <d v="2024-05-08T00:00:00"/>
    <s v="ORD-000118"/>
    <x v="0"/>
    <x v="0"/>
    <n v="6331.89"/>
    <s v="North"/>
    <n v="9797.11"/>
    <n v="3465.22"/>
    <n v="0"/>
    <n v="4"/>
    <s v="May"/>
    <n v="2024"/>
    <x v="2"/>
    <x v="1"/>
  </r>
  <r>
    <d v="2025-02-14T00:00:00"/>
    <s v="ORD-000119"/>
    <x v="5"/>
    <x v="33"/>
    <n v="750.03"/>
    <s v="East"/>
    <n v="1639.59"/>
    <n v="889.56"/>
    <n v="0"/>
    <n v="3"/>
    <s v="February"/>
    <n v="2025"/>
    <x v="2"/>
    <x v="1"/>
  </r>
  <r>
    <d v="2023-06-08T00:00:00"/>
    <s v="ORD-000120"/>
    <x v="1"/>
    <x v="19"/>
    <n v="2515.86"/>
    <s v="South"/>
    <n v="3568.62"/>
    <n v="1052.76"/>
    <n v="5"/>
    <n v="2"/>
    <s v="June"/>
    <n v="2023"/>
    <x v="1"/>
    <x v="1"/>
  </r>
  <r>
    <d v="2023-02-06T00:00:00"/>
    <s v="ORD-000121"/>
    <x v="1"/>
    <x v="24"/>
    <n v="26542.85"/>
    <s v="West"/>
    <n v="28556.6"/>
    <n v="2013.75"/>
    <n v="15"/>
    <n v="2"/>
    <s v="February"/>
    <n v="2023"/>
    <x v="0"/>
    <x v="0"/>
  </r>
  <r>
    <d v="2023-11-03T00:00:00"/>
    <s v="ORD-000122"/>
    <x v="2"/>
    <x v="10"/>
    <n v="1355.8"/>
    <s v="West"/>
    <n v="2018.34"/>
    <n v="662.54"/>
    <n v="20"/>
    <n v="5"/>
    <s v="November"/>
    <n v="2023"/>
    <x v="0"/>
    <x v="0"/>
  </r>
  <r>
    <d v="2023-03-26T00:00:00"/>
    <s v="ORD-000123"/>
    <x v="5"/>
    <x v="33"/>
    <n v="4784.41"/>
    <s v="West"/>
    <n v="8095.06"/>
    <n v="3310.65"/>
    <n v="10"/>
    <n v="3"/>
    <s v="March"/>
    <n v="2023"/>
    <x v="1"/>
    <x v="1"/>
  </r>
  <r>
    <d v="2025-05-21T00:00:00"/>
    <s v="ORD-000124"/>
    <x v="3"/>
    <x v="15"/>
    <n v="26104.07"/>
    <s v="South"/>
    <n v="29010.36"/>
    <n v="2906.29"/>
    <n v="25"/>
    <n v="2"/>
    <s v="May"/>
    <n v="2025"/>
    <x v="0"/>
    <x v="2"/>
  </r>
  <r>
    <d v="2023-03-17T00:00:00"/>
    <s v="ORD-000125"/>
    <x v="2"/>
    <x v="13"/>
    <n v="45.19"/>
    <s v="West"/>
    <n v="65.39"/>
    <n v="20.2"/>
    <n v="25"/>
    <n v="1"/>
    <s v="March"/>
    <n v="2023"/>
    <x v="0"/>
    <x v="2"/>
  </r>
  <r>
    <d v="2023-02-20T00:00:00"/>
    <s v="ORD-000126"/>
    <x v="0"/>
    <x v="6"/>
    <n v="320.64999999999998"/>
    <s v="North"/>
    <n v="748.39"/>
    <n v="427.74"/>
    <n v="5"/>
    <n v="3"/>
    <s v="February"/>
    <n v="2023"/>
    <x v="1"/>
    <x v="1"/>
  </r>
  <r>
    <d v="2023-01-30T00:00:00"/>
    <s v="ORD-000127"/>
    <x v="0"/>
    <x v="8"/>
    <n v="1042.8499999999999"/>
    <s v="Central"/>
    <n v="1649.85"/>
    <n v="607"/>
    <n v="20"/>
    <n v="1"/>
    <s v="January"/>
    <n v="2023"/>
    <x v="0"/>
    <x v="0"/>
  </r>
  <r>
    <d v="2025-07-21T00:00:00"/>
    <s v="ORD-000128"/>
    <x v="3"/>
    <x v="37"/>
    <n v="5276.25"/>
    <s v="East"/>
    <n v="5584.42"/>
    <n v="308.17"/>
    <n v="20"/>
    <n v="1"/>
    <s v="July"/>
    <n v="2025"/>
    <x v="0"/>
    <x v="0"/>
  </r>
  <r>
    <d v="2025-09-27T00:00:00"/>
    <s v="ORD-000129"/>
    <x v="2"/>
    <x v="38"/>
    <n v="75.11"/>
    <s v="East"/>
    <n v="135.75"/>
    <n v="60.64"/>
    <n v="20"/>
    <n v="1"/>
    <s v="September"/>
    <n v="2025"/>
    <x v="0"/>
    <x v="0"/>
  </r>
  <r>
    <d v="2023-08-02T00:00:00"/>
    <s v="ORD-000130"/>
    <x v="0"/>
    <x v="6"/>
    <n v="322.52"/>
    <s v="Central"/>
    <n v="795.49"/>
    <n v="472.97"/>
    <n v="5"/>
    <n v="2"/>
    <s v="August"/>
    <n v="2023"/>
    <x v="1"/>
    <x v="1"/>
  </r>
  <r>
    <d v="2023-03-13T00:00:00"/>
    <s v="ORD-000131"/>
    <x v="4"/>
    <x v="11"/>
    <n v="17579.759999999998"/>
    <s v="East"/>
    <n v="21928.48"/>
    <n v="4348.72"/>
    <n v="15"/>
    <n v="2"/>
    <s v="March"/>
    <n v="2023"/>
    <x v="0"/>
    <x v="0"/>
  </r>
  <r>
    <d v="2025-12-19T00:00:00"/>
    <s v="ORD-000132"/>
    <x v="2"/>
    <x v="38"/>
    <n v="539.92999999999995"/>
    <s v="West"/>
    <n v="684.33"/>
    <n v="144.4"/>
    <n v="15"/>
    <n v="1"/>
    <s v="December"/>
    <n v="2025"/>
    <x v="0"/>
    <x v="0"/>
  </r>
  <r>
    <d v="2024-04-26T00:00:00"/>
    <s v="ORD-000133"/>
    <x v="1"/>
    <x v="5"/>
    <n v="23300.05"/>
    <s v="North"/>
    <n v="23354.58"/>
    <n v="54.53"/>
    <n v="22"/>
    <n v="3"/>
    <s v="April"/>
    <n v="2024"/>
    <x v="0"/>
    <x v="2"/>
  </r>
  <r>
    <d v="2024-01-04T00:00:00"/>
    <s v="ORD-000134"/>
    <x v="5"/>
    <x v="16"/>
    <n v="1699.61"/>
    <s v="Central"/>
    <n v="3466.5"/>
    <n v="1766.89"/>
    <n v="10"/>
    <n v="1"/>
    <s v="January"/>
    <n v="2024"/>
    <x v="1"/>
    <x v="1"/>
  </r>
  <r>
    <d v="2023-10-29T00:00:00"/>
    <s v="ORD-000135"/>
    <x v="2"/>
    <x v="25"/>
    <n v="92.43"/>
    <s v="South"/>
    <n v="109.12"/>
    <n v="16.690000000000001"/>
    <n v="20"/>
    <n v="1"/>
    <s v="October"/>
    <n v="2023"/>
    <x v="0"/>
    <x v="0"/>
  </r>
  <r>
    <d v="2023-11-18T00:00:00"/>
    <s v="ORD-000136"/>
    <x v="5"/>
    <x v="33"/>
    <n v="4011.24"/>
    <s v="East"/>
    <n v="8711.6299999999992"/>
    <n v="4700.3900000000003"/>
    <n v="0"/>
    <n v="2"/>
    <s v="November"/>
    <n v="2023"/>
    <x v="2"/>
    <x v="1"/>
  </r>
  <r>
    <d v="2023-06-02T00:00:00"/>
    <s v="ORD-000137"/>
    <x v="4"/>
    <x v="39"/>
    <n v="61282.21"/>
    <s v="East"/>
    <n v="82962.58"/>
    <n v="21680.37"/>
    <n v="10"/>
    <n v="4"/>
    <s v="June"/>
    <n v="2023"/>
    <x v="1"/>
    <x v="1"/>
  </r>
  <r>
    <d v="2024-10-27T00:00:00"/>
    <s v="ORD-000138"/>
    <x v="2"/>
    <x v="2"/>
    <n v="1298.19"/>
    <s v="East"/>
    <n v="2899.42"/>
    <n v="1601.23"/>
    <n v="5"/>
    <n v="6"/>
    <s v="October"/>
    <n v="2024"/>
    <x v="1"/>
    <x v="1"/>
  </r>
  <r>
    <d v="2024-11-08T00:00:00"/>
    <s v="ORD-000139"/>
    <x v="1"/>
    <x v="23"/>
    <n v="18969.82"/>
    <s v="East"/>
    <n v="24863.85"/>
    <n v="5894.03"/>
    <n v="0"/>
    <n v="10"/>
    <s v="November"/>
    <n v="2024"/>
    <x v="2"/>
    <x v="1"/>
  </r>
  <r>
    <d v="2025-05-10T00:00:00"/>
    <s v="ORD-000140"/>
    <x v="3"/>
    <x v="3"/>
    <n v="1407.1"/>
    <s v="Central"/>
    <n v="1514.48"/>
    <n v="107.38"/>
    <n v="20"/>
    <n v="1"/>
    <s v="May"/>
    <n v="2025"/>
    <x v="0"/>
    <x v="0"/>
  </r>
  <r>
    <d v="2025-05-15T00:00:00"/>
    <s v="ORD-000141"/>
    <x v="3"/>
    <x v="3"/>
    <n v="1201.4100000000001"/>
    <s v="West"/>
    <n v="1615.49"/>
    <n v="414.08"/>
    <n v="10"/>
    <n v="1"/>
    <s v="May"/>
    <n v="2025"/>
    <x v="1"/>
    <x v="1"/>
  </r>
  <r>
    <d v="2025-06-13T00:00:00"/>
    <s v="ORD-000142"/>
    <x v="4"/>
    <x v="40"/>
    <n v="44414.41"/>
    <s v="Central"/>
    <n v="44555.8"/>
    <n v="141.38999999999999"/>
    <n v="21"/>
    <n v="3"/>
    <s v="June"/>
    <n v="2025"/>
    <x v="0"/>
    <x v="2"/>
  </r>
  <r>
    <d v="2024-02-08T00:00:00"/>
    <s v="ORD-000143"/>
    <x v="5"/>
    <x v="36"/>
    <n v="1906.95"/>
    <s v="East"/>
    <n v="3218.19"/>
    <n v="1311.24"/>
    <n v="10"/>
    <n v="1"/>
    <s v="February"/>
    <n v="2024"/>
    <x v="1"/>
    <x v="1"/>
  </r>
  <r>
    <d v="2025-02-04T00:00:00"/>
    <s v="ORD-000144"/>
    <x v="4"/>
    <x v="7"/>
    <n v="5092.1899999999996"/>
    <s v="Central"/>
    <n v="6689.73"/>
    <n v="1597.54"/>
    <n v="0"/>
    <n v="2"/>
    <s v="February"/>
    <n v="2025"/>
    <x v="2"/>
    <x v="1"/>
  </r>
  <r>
    <d v="2023-12-14T00:00:00"/>
    <s v="ORD-000145"/>
    <x v="0"/>
    <x v="41"/>
    <n v="1479.62"/>
    <s v="West"/>
    <n v="2125.39"/>
    <n v="645.77"/>
    <n v="10"/>
    <n v="1"/>
    <s v="December"/>
    <n v="2023"/>
    <x v="1"/>
    <x v="1"/>
  </r>
  <r>
    <d v="2024-09-07T00:00:00"/>
    <s v="ORD-000146"/>
    <x v="5"/>
    <x v="16"/>
    <n v="466.72"/>
    <s v="East"/>
    <n v="759.57"/>
    <n v="292.85000000000002"/>
    <n v="0"/>
    <n v="1"/>
    <s v="September"/>
    <n v="2024"/>
    <x v="2"/>
    <x v="1"/>
  </r>
  <r>
    <d v="2024-05-22T00:00:00"/>
    <s v="ORD-000147"/>
    <x v="3"/>
    <x v="37"/>
    <n v="51310.92"/>
    <s v="South"/>
    <n v="65329"/>
    <n v="14018.08"/>
    <n v="0"/>
    <n v="4"/>
    <s v="May"/>
    <n v="2024"/>
    <x v="2"/>
    <x v="1"/>
  </r>
  <r>
    <d v="2023-01-28T00:00:00"/>
    <s v="ORD-000148"/>
    <x v="0"/>
    <x v="4"/>
    <n v="1984.85"/>
    <s v="Central"/>
    <n v="3804.58"/>
    <n v="1819.73"/>
    <n v="15"/>
    <n v="3"/>
    <s v="January"/>
    <n v="2023"/>
    <x v="0"/>
    <x v="0"/>
  </r>
  <r>
    <d v="2025-08-23T00:00:00"/>
    <s v="ORD-000149"/>
    <x v="2"/>
    <x v="10"/>
    <n v="1118.58"/>
    <s v="North"/>
    <n v="1959.11"/>
    <n v="840.53"/>
    <n v="15"/>
    <n v="4"/>
    <s v="August"/>
    <n v="2025"/>
    <x v="0"/>
    <x v="0"/>
  </r>
  <r>
    <d v="2023-01-18T00:00:00"/>
    <s v="ORD-000150"/>
    <x v="5"/>
    <x v="36"/>
    <n v="1178.93"/>
    <s v="North"/>
    <n v="2468"/>
    <n v="1289.07"/>
    <n v="10"/>
    <n v="4"/>
    <s v="January"/>
    <n v="2023"/>
    <x v="1"/>
    <x v="1"/>
  </r>
  <r>
    <d v="2025-01-04T00:00:00"/>
    <s v="ORD-000151"/>
    <x v="0"/>
    <x v="4"/>
    <n v="5861.53"/>
    <s v="Central"/>
    <n v="12112.01"/>
    <n v="6250.48"/>
    <n v="20"/>
    <n v="4"/>
    <s v="January"/>
    <n v="2025"/>
    <x v="0"/>
    <x v="0"/>
  </r>
  <r>
    <d v="2024-09-03T00:00:00"/>
    <s v="ORD-000152"/>
    <x v="3"/>
    <x v="28"/>
    <n v="59258.28"/>
    <s v="Central"/>
    <n v="70338.25"/>
    <n v="11079.97"/>
    <n v="10"/>
    <n v="3"/>
    <s v="September"/>
    <n v="2024"/>
    <x v="1"/>
    <x v="1"/>
  </r>
  <r>
    <d v="2023-05-08T00:00:00"/>
    <s v="ORD-000153"/>
    <x v="3"/>
    <x v="12"/>
    <n v="9193.18"/>
    <s v="Central"/>
    <n v="9354.23"/>
    <n v="161.05000000000001"/>
    <n v="25"/>
    <n v="1"/>
    <s v="May"/>
    <n v="2023"/>
    <x v="0"/>
    <x v="2"/>
  </r>
  <r>
    <d v="2025-12-20T00:00:00"/>
    <s v="ORD-000154"/>
    <x v="2"/>
    <x v="10"/>
    <n v="498.81"/>
    <s v="Central"/>
    <n v="958.57"/>
    <n v="459.76"/>
    <n v="15"/>
    <n v="3"/>
    <s v="December"/>
    <n v="2025"/>
    <x v="0"/>
    <x v="0"/>
  </r>
  <r>
    <d v="2024-03-19T00:00:00"/>
    <s v="ORD-000155"/>
    <x v="4"/>
    <x v="30"/>
    <n v="2095.85"/>
    <s v="South"/>
    <n v="2406.27"/>
    <n v="310.42"/>
    <n v="10"/>
    <n v="1"/>
    <s v="March"/>
    <n v="2024"/>
    <x v="1"/>
    <x v="1"/>
  </r>
  <r>
    <d v="2025-11-02T00:00:00"/>
    <s v="ORD-000156"/>
    <x v="1"/>
    <x v="1"/>
    <n v="2530.4899999999998"/>
    <s v="East"/>
    <n v="2567.5"/>
    <n v="37.01"/>
    <n v="30"/>
    <n v="1"/>
    <s v="November"/>
    <n v="2025"/>
    <x v="0"/>
    <x v="2"/>
  </r>
  <r>
    <d v="2024-08-13T00:00:00"/>
    <s v="ORD-000157"/>
    <x v="2"/>
    <x v="13"/>
    <n v="214.38"/>
    <s v="West"/>
    <n v="386.83"/>
    <n v="172.45"/>
    <n v="20"/>
    <n v="2"/>
    <s v="August"/>
    <n v="2024"/>
    <x v="0"/>
    <x v="0"/>
  </r>
  <r>
    <d v="2023-08-17T00:00:00"/>
    <s v="ORD-000158"/>
    <x v="1"/>
    <x v="9"/>
    <n v="11929.48"/>
    <s v="North"/>
    <n v="14707.46"/>
    <n v="2777.98"/>
    <n v="5"/>
    <n v="1"/>
    <s v="August"/>
    <n v="2023"/>
    <x v="1"/>
    <x v="1"/>
  </r>
  <r>
    <d v="2025-02-11T00:00:00"/>
    <s v="ORD-000159"/>
    <x v="0"/>
    <x v="0"/>
    <n v="936.38"/>
    <s v="North"/>
    <n v="1370.2"/>
    <n v="433.82"/>
    <n v="5"/>
    <n v="2"/>
    <s v="February"/>
    <n v="2025"/>
    <x v="1"/>
    <x v="1"/>
  </r>
  <r>
    <d v="2024-07-28T00:00:00"/>
    <s v="ORD-000160"/>
    <x v="0"/>
    <x v="41"/>
    <n v="5818.86"/>
    <s v="East"/>
    <n v="11310.97"/>
    <n v="5492.11"/>
    <n v="20"/>
    <n v="8"/>
    <s v="July"/>
    <n v="2024"/>
    <x v="0"/>
    <x v="0"/>
  </r>
  <r>
    <d v="2025-11-08T00:00:00"/>
    <s v="ORD-000161"/>
    <x v="0"/>
    <x v="21"/>
    <n v="4484.17"/>
    <s v="Central"/>
    <n v="7579.91"/>
    <n v="3095.74"/>
    <n v="0"/>
    <n v="4"/>
    <s v="November"/>
    <n v="2025"/>
    <x v="2"/>
    <x v="1"/>
  </r>
  <r>
    <d v="2023-09-25T00:00:00"/>
    <s v="ORD-000162"/>
    <x v="2"/>
    <x v="2"/>
    <n v="690.16"/>
    <s v="South"/>
    <n v="1053.03"/>
    <n v="362.87"/>
    <n v="0"/>
    <n v="4"/>
    <s v="September"/>
    <n v="2023"/>
    <x v="2"/>
    <x v="1"/>
  </r>
  <r>
    <d v="2024-01-07T00:00:00"/>
    <s v="ORD-000163"/>
    <x v="5"/>
    <x v="36"/>
    <n v="7095.06"/>
    <s v="North"/>
    <n v="16311.73"/>
    <n v="9216.67"/>
    <n v="0"/>
    <n v="4"/>
    <s v="January"/>
    <n v="2024"/>
    <x v="2"/>
    <x v="1"/>
  </r>
  <r>
    <d v="2024-06-26T00:00:00"/>
    <s v="ORD-000164"/>
    <x v="3"/>
    <x v="12"/>
    <n v="7414.17"/>
    <s v="East"/>
    <n v="7420.44"/>
    <n v="6.27"/>
    <n v="14"/>
    <n v="1"/>
    <s v="June"/>
    <n v="2024"/>
    <x v="0"/>
    <x v="0"/>
  </r>
  <r>
    <d v="2024-08-19T00:00:00"/>
    <s v="ORD-000165"/>
    <x v="1"/>
    <x v="23"/>
    <n v="14033.35"/>
    <s v="West"/>
    <n v="17751.240000000002"/>
    <n v="3717.89"/>
    <n v="20"/>
    <n v="4"/>
    <s v="August"/>
    <n v="2024"/>
    <x v="0"/>
    <x v="0"/>
  </r>
  <r>
    <d v="2024-10-22T00:00:00"/>
    <s v="ORD-000166"/>
    <x v="3"/>
    <x v="28"/>
    <n v="1796.33"/>
    <s v="East"/>
    <n v="1846.82"/>
    <n v="50.49"/>
    <n v="25"/>
    <n v="1"/>
    <s v="October"/>
    <n v="2024"/>
    <x v="0"/>
    <x v="2"/>
  </r>
  <r>
    <d v="2023-12-23T00:00:00"/>
    <s v="ORD-000167"/>
    <x v="0"/>
    <x v="21"/>
    <n v="3863.02"/>
    <s v="South"/>
    <n v="5123.1000000000004"/>
    <n v="1260.08"/>
    <n v="20"/>
    <n v="2"/>
    <s v="December"/>
    <n v="2023"/>
    <x v="0"/>
    <x v="0"/>
  </r>
  <r>
    <d v="2024-02-14T00:00:00"/>
    <s v="ORD-000168"/>
    <x v="5"/>
    <x v="18"/>
    <n v="11733.32"/>
    <s v="South"/>
    <n v="23906.06"/>
    <n v="12172.74"/>
    <n v="0"/>
    <n v="10"/>
    <s v="February"/>
    <n v="2024"/>
    <x v="2"/>
    <x v="1"/>
  </r>
  <r>
    <d v="2025-06-02T00:00:00"/>
    <s v="ORD-000169"/>
    <x v="2"/>
    <x v="38"/>
    <n v="496.6"/>
    <s v="West"/>
    <n v="1048.22"/>
    <n v="551.62"/>
    <n v="5"/>
    <n v="1"/>
    <s v="June"/>
    <n v="2025"/>
    <x v="1"/>
    <x v="1"/>
  </r>
  <r>
    <d v="2023-10-02T00:00:00"/>
    <s v="ORD-000170"/>
    <x v="3"/>
    <x v="32"/>
    <n v="9954.41"/>
    <s v="West"/>
    <n v="10789.19"/>
    <n v="834.78"/>
    <n v="10"/>
    <n v="4"/>
    <s v="October"/>
    <n v="2023"/>
    <x v="1"/>
    <x v="1"/>
  </r>
  <r>
    <d v="2023-09-16T00:00:00"/>
    <s v="ORD-000171"/>
    <x v="1"/>
    <x v="29"/>
    <n v="2428.11"/>
    <s v="South"/>
    <n v="2500.9499999999998"/>
    <n v="72.84"/>
    <n v="21"/>
    <n v="2"/>
    <s v="September"/>
    <n v="2023"/>
    <x v="0"/>
    <x v="2"/>
  </r>
  <r>
    <d v="2023-03-04T00:00:00"/>
    <s v="ORD-000172"/>
    <x v="2"/>
    <x v="35"/>
    <n v="168.67"/>
    <s v="West"/>
    <n v="294.54000000000002"/>
    <n v="125.87"/>
    <n v="20"/>
    <n v="3"/>
    <s v="March"/>
    <n v="2023"/>
    <x v="0"/>
    <x v="0"/>
  </r>
  <r>
    <d v="2024-02-03T00:00:00"/>
    <s v="ORD-000173"/>
    <x v="0"/>
    <x v="0"/>
    <n v="425.72"/>
    <s v="Central"/>
    <n v="621.66999999999996"/>
    <n v="195.95"/>
    <n v="20"/>
    <n v="3"/>
    <s v="February"/>
    <n v="2024"/>
    <x v="0"/>
    <x v="0"/>
  </r>
  <r>
    <d v="2025-11-16T00:00:00"/>
    <s v="ORD-000174"/>
    <x v="1"/>
    <x v="29"/>
    <n v="4237.3599999999997"/>
    <s v="North"/>
    <n v="6549.7"/>
    <n v="2312.34"/>
    <n v="5"/>
    <n v="2"/>
    <s v="November"/>
    <n v="2025"/>
    <x v="1"/>
    <x v="1"/>
  </r>
  <r>
    <d v="2023-10-03T00:00:00"/>
    <s v="ORD-000175"/>
    <x v="3"/>
    <x v="22"/>
    <n v="10358.69"/>
    <s v="Central"/>
    <n v="10377.01"/>
    <n v="18.32"/>
    <n v="19"/>
    <n v="1"/>
    <s v="October"/>
    <n v="2023"/>
    <x v="0"/>
    <x v="0"/>
  </r>
  <r>
    <d v="2025-12-14T00:00:00"/>
    <s v="ORD-000176"/>
    <x v="3"/>
    <x v="12"/>
    <n v="20146.38"/>
    <s v="North"/>
    <n v="23986.91"/>
    <n v="3840.53"/>
    <n v="15"/>
    <n v="4"/>
    <s v="December"/>
    <n v="2025"/>
    <x v="0"/>
    <x v="0"/>
  </r>
  <r>
    <d v="2023-11-16T00:00:00"/>
    <s v="ORD-000177"/>
    <x v="4"/>
    <x v="11"/>
    <n v="3605.9"/>
    <s v="North"/>
    <n v="5085.6400000000003"/>
    <n v="1479.74"/>
    <n v="5"/>
    <n v="2"/>
    <s v="November"/>
    <n v="2023"/>
    <x v="1"/>
    <x v="1"/>
  </r>
  <r>
    <d v="2023-09-16T00:00:00"/>
    <s v="ORD-000178"/>
    <x v="2"/>
    <x v="31"/>
    <n v="300.13"/>
    <s v="South"/>
    <n v="626.72"/>
    <n v="326.58999999999997"/>
    <n v="0"/>
    <n v="2"/>
    <s v="September"/>
    <n v="2023"/>
    <x v="2"/>
    <x v="1"/>
  </r>
  <r>
    <d v="2025-07-23T00:00:00"/>
    <s v="ORD-000179"/>
    <x v="1"/>
    <x v="23"/>
    <n v="3123.83"/>
    <s v="West"/>
    <n v="3702.36"/>
    <n v="578.53"/>
    <n v="20"/>
    <n v="2"/>
    <s v="July"/>
    <n v="2025"/>
    <x v="0"/>
    <x v="0"/>
  </r>
  <r>
    <d v="2024-11-16T00:00:00"/>
    <s v="ORD-000180"/>
    <x v="2"/>
    <x v="13"/>
    <n v="980.83"/>
    <s v="East"/>
    <n v="1189.8800000000001"/>
    <n v="209.05"/>
    <n v="20"/>
    <n v="2"/>
    <s v="November"/>
    <n v="2024"/>
    <x v="0"/>
    <x v="0"/>
  </r>
  <r>
    <d v="2023-10-06T00:00:00"/>
    <s v="ORD-000181"/>
    <x v="1"/>
    <x v="1"/>
    <n v="61183.27"/>
    <s v="North"/>
    <n v="69566.210000000006"/>
    <n v="8382.94"/>
    <n v="20"/>
    <n v="5"/>
    <s v="October"/>
    <n v="2023"/>
    <x v="0"/>
    <x v="0"/>
  </r>
  <r>
    <d v="2025-06-03T00:00:00"/>
    <s v="ORD-000182"/>
    <x v="5"/>
    <x v="36"/>
    <n v="415.99"/>
    <s v="North"/>
    <n v="773.2"/>
    <n v="357.21"/>
    <n v="10"/>
    <n v="1"/>
    <s v="June"/>
    <n v="2025"/>
    <x v="1"/>
    <x v="1"/>
  </r>
  <r>
    <d v="2024-11-07T00:00:00"/>
    <s v="ORD-000183"/>
    <x v="1"/>
    <x v="23"/>
    <n v="2082.34"/>
    <s v="South"/>
    <n v="2519.12"/>
    <n v="436.78"/>
    <n v="20"/>
    <n v="1"/>
    <s v="November"/>
    <n v="2024"/>
    <x v="0"/>
    <x v="0"/>
  </r>
  <r>
    <d v="2025-06-16T00:00:00"/>
    <s v="ORD-000184"/>
    <x v="4"/>
    <x v="39"/>
    <n v="20914.7"/>
    <s v="East"/>
    <n v="23002.04"/>
    <n v="2087.34"/>
    <n v="25"/>
    <n v="2"/>
    <s v="June"/>
    <n v="2025"/>
    <x v="0"/>
    <x v="2"/>
  </r>
  <r>
    <d v="2025-05-26T00:00:00"/>
    <s v="ORD-000185"/>
    <x v="5"/>
    <x v="14"/>
    <n v="409.69"/>
    <s v="West"/>
    <n v="569.21"/>
    <n v="159.52000000000001"/>
    <n v="10"/>
    <n v="1"/>
    <s v="May"/>
    <n v="2025"/>
    <x v="1"/>
    <x v="1"/>
  </r>
  <r>
    <d v="2023-09-13T00:00:00"/>
    <s v="ORD-000186"/>
    <x v="4"/>
    <x v="11"/>
    <n v="15852.48"/>
    <s v="West"/>
    <n v="23925.14"/>
    <n v="8072.66"/>
    <n v="0"/>
    <n v="2"/>
    <s v="September"/>
    <n v="2023"/>
    <x v="2"/>
    <x v="1"/>
  </r>
  <r>
    <d v="2025-05-05T00:00:00"/>
    <s v="ORD-000187"/>
    <x v="4"/>
    <x v="7"/>
    <n v="8898.2199999999993"/>
    <s v="North"/>
    <n v="10747.55"/>
    <n v="1849.33"/>
    <n v="25"/>
    <n v="1"/>
    <s v="May"/>
    <n v="2025"/>
    <x v="0"/>
    <x v="2"/>
  </r>
  <r>
    <d v="2024-02-13T00:00:00"/>
    <s v="ORD-000188"/>
    <x v="3"/>
    <x v="32"/>
    <n v="4806.87"/>
    <s v="West"/>
    <n v="7237.05"/>
    <n v="2430.1799999999998"/>
    <n v="0"/>
    <n v="2"/>
    <s v="February"/>
    <n v="2024"/>
    <x v="2"/>
    <x v="1"/>
  </r>
  <r>
    <d v="2025-08-06T00:00:00"/>
    <s v="ORD-000189"/>
    <x v="0"/>
    <x v="4"/>
    <n v="4428.8500000000004"/>
    <s v="North"/>
    <n v="8957.31"/>
    <n v="4528.46"/>
    <n v="10"/>
    <n v="4"/>
    <s v="August"/>
    <n v="2025"/>
    <x v="1"/>
    <x v="1"/>
  </r>
  <r>
    <d v="2023-04-16T00:00:00"/>
    <s v="ORD-000190"/>
    <x v="2"/>
    <x v="31"/>
    <n v="162.12"/>
    <s v="South"/>
    <n v="325.58"/>
    <n v="163.46"/>
    <n v="10"/>
    <n v="3"/>
    <s v="April"/>
    <n v="2023"/>
    <x v="1"/>
    <x v="1"/>
  </r>
  <r>
    <d v="2025-11-17T00:00:00"/>
    <s v="ORD-000191"/>
    <x v="2"/>
    <x v="38"/>
    <n v="5315.45"/>
    <s v="East"/>
    <n v="8545.31"/>
    <n v="3229.86"/>
    <n v="0"/>
    <n v="5"/>
    <s v="November"/>
    <n v="2025"/>
    <x v="2"/>
    <x v="1"/>
  </r>
  <r>
    <d v="2024-08-14T00:00:00"/>
    <s v="ORD-000192"/>
    <x v="0"/>
    <x v="6"/>
    <n v="9240.1"/>
    <s v="North"/>
    <n v="17583.38"/>
    <n v="8343.2800000000007"/>
    <n v="15"/>
    <n v="8"/>
    <s v="August"/>
    <n v="2024"/>
    <x v="0"/>
    <x v="0"/>
  </r>
  <r>
    <d v="2024-04-03T00:00:00"/>
    <s v="ORD-000193"/>
    <x v="2"/>
    <x v="31"/>
    <n v="202.58"/>
    <s v="West"/>
    <n v="321.02"/>
    <n v="118.44"/>
    <n v="15"/>
    <n v="1"/>
    <s v="April"/>
    <n v="2024"/>
    <x v="0"/>
    <x v="0"/>
  </r>
  <r>
    <d v="2025-08-01T00:00:00"/>
    <s v="ORD-000194"/>
    <x v="0"/>
    <x v="21"/>
    <n v="739.48"/>
    <s v="Central"/>
    <n v="918.9"/>
    <n v="179.42"/>
    <n v="20"/>
    <n v="3"/>
    <s v="August"/>
    <n v="2025"/>
    <x v="0"/>
    <x v="0"/>
  </r>
  <r>
    <d v="2024-10-12T00:00:00"/>
    <s v="ORD-000195"/>
    <x v="5"/>
    <x v="33"/>
    <n v="933.03"/>
    <s v="North"/>
    <n v="1335.3"/>
    <n v="402.27"/>
    <n v="10"/>
    <n v="1"/>
    <s v="October"/>
    <n v="2024"/>
    <x v="1"/>
    <x v="1"/>
  </r>
  <r>
    <d v="2023-04-11T00:00:00"/>
    <s v="ORD-000196"/>
    <x v="1"/>
    <x v="23"/>
    <n v="1270.1199999999999"/>
    <s v="South"/>
    <n v="1845.23"/>
    <n v="575.11"/>
    <n v="5"/>
    <n v="1"/>
    <s v="April"/>
    <n v="2023"/>
    <x v="1"/>
    <x v="1"/>
  </r>
  <r>
    <d v="2025-03-14T00:00:00"/>
    <s v="ORD-000197"/>
    <x v="3"/>
    <x v="12"/>
    <n v="12147.25"/>
    <s v="South"/>
    <n v="15982.3"/>
    <n v="3835.05"/>
    <n v="10"/>
    <n v="4"/>
    <s v="March"/>
    <n v="2025"/>
    <x v="1"/>
    <x v="1"/>
  </r>
  <r>
    <d v="2025-04-20T00:00:00"/>
    <s v="ORD-000198"/>
    <x v="5"/>
    <x v="36"/>
    <n v="389.89"/>
    <s v="North"/>
    <n v="603.1"/>
    <n v="213.21"/>
    <n v="15"/>
    <n v="1"/>
    <s v="April"/>
    <n v="2025"/>
    <x v="0"/>
    <x v="0"/>
  </r>
  <r>
    <d v="2023-09-17T00:00:00"/>
    <s v="ORD-000199"/>
    <x v="4"/>
    <x v="26"/>
    <n v="5861.92"/>
    <s v="North"/>
    <n v="7335.02"/>
    <n v="1473.1"/>
    <n v="15"/>
    <n v="3"/>
    <s v="September"/>
    <n v="2023"/>
    <x v="0"/>
    <x v="0"/>
  </r>
  <r>
    <d v="2024-04-14T00:00:00"/>
    <s v="ORD-000200"/>
    <x v="0"/>
    <x v="41"/>
    <n v="251.64"/>
    <s v="East"/>
    <n v="326.31"/>
    <n v="74.67"/>
    <n v="30"/>
    <n v="1"/>
    <s v="April"/>
    <n v="2024"/>
    <x v="0"/>
    <x v="2"/>
  </r>
  <r>
    <d v="2023-01-29T00:00:00"/>
    <s v="ORD-000201"/>
    <x v="3"/>
    <x v="34"/>
    <n v="21528.21"/>
    <s v="North"/>
    <n v="23439.35"/>
    <n v="1911.14"/>
    <n v="15"/>
    <n v="6"/>
    <s v="January"/>
    <n v="2023"/>
    <x v="0"/>
    <x v="0"/>
  </r>
  <r>
    <d v="2025-07-10T00:00:00"/>
    <s v="ORD-000202"/>
    <x v="2"/>
    <x v="38"/>
    <n v="74.28"/>
    <s v="North"/>
    <n v="112.62"/>
    <n v="38.340000000000003"/>
    <n v="5"/>
    <n v="1"/>
    <s v="July"/>
    <n v="2025"/>
    <x v="1"/>
    <x v="1"/>
  </r>
  <r>
    <d v="2025-06-20T00:00:00"/>
    <s v="ORD-000203"/>
    <x v="5"/>
    <x v="27"/>
    <n v="2540.35"/>
    <s v="South"/>
    <n v="4560.66"/>
    <n v="2020.31"/>
    <n v="25"/>
    <n v="4"/>
    <s v="June"/>
    <n v="2025"/>
    <x v="0"/>
    <x v="2"/>
  </r>
  <r>
    <d v="2023-10-03T00:00:00"/>
    <s v="ORD-000204"/>
    <x v="1"/>
    <x v="9"/>
    <n v="1301.6600000000001"/>
    <s v="East"/>
    <n v="1581.41"/>
    <n v="279.75"/>
    <n v="15"/>
    <n v="1"/>
    <s v="October"/>
    <n v="2023"/>
    <x v="0"/>
    <x v="0"/>
  </r>
  <r>
    <d v="2023-07-14T00:00:00"/>
    <s v="ORD-000205"/>
    <x v="1"/>
    <x v="5"/>
    <n v="81120.5"/>
    <s v="West"/>
    <n v="101198.39"/>
    <n v="20077.89"/>
    <n v="5"/>
    <n v="10"/>
    <s v="July"/>
    <n v="2023"/>
    <x v="1"/>
    <x v="1"/>
  </r>
  <r>
    <d v="2024-04-17T00:00:00"/>
    <s v="ORD-000206"/>
    <x v="0"/>
    <x v="0"/>
    <n v="1290.26"/>
    <s v="Central"/>
    <n v="2037.3"/>
    <n v="747.04"/>
    <n v="5"/>
    <n v="6"/>
    <s v="April"/>
    <n v="2024"/>
    <x v="1"/>
    <x v="1"/>
  </r>
  <r>
    <d v="2024-12-15T00:00:00"/>
    <s v="ORD-000207"/>
    <x v="2"/>
    <x v="13"/>
    <n v="771.16"/>
    <s v="South"/>
    <n v="1327.88"/>
    <n v="556.72"/>
    <n v="0"/>
    <n v="1"/>
    <s v="December"/>
    <n v="2024"/>
    <x v="2"/>
    <x v="1"/>
  </r>
  <r>
    <d v="2023-01-05T00:00:00"/>
    <s v="ORD-000208"/>
    <x v="3"/>
    <x v="15"/>
    <n v="15529.47"/>
    <s v="South"/>
    <n v="15995.35"/>
    <n v="465.88"/>
    <n v="20"/>
    <n v="2"/>
    <s v="January"/>
    <n v="2023"/>
    <x v="0"/>
    <x v="0"/>
  </r>
  <r>
    <d v="2023-06-20T00:00:00"/>
    <s v="ORD-000209"/>
    <x v="5"/>
    <x v="36"/>
    <n v="534.54999999999995"/>
    <s v="South"/>
    <n v="828.15"/>
    <n v="293.60000000000002"/>
    <n v="15"/>
    <n v="2"/>
    <s v="June"/>
    <n v="2023"/>
    <x v="0"/>
    <x v="0"/>
  </r>
  <r>
    <d v="2023-05-19T00:00:00"/>
    <s v="ORD-000210"/>
    <x v="4"/>
    <x v="42"/>
    <n v="7269.56"/>
    <s v="East"/>
    <n v="10579.05"/>
    <n v="3309.49"/>
    <n v="5"/>
    <n v="2"/>
    <s v="May"/>
    <n v="2023"/>
    <x v="1"/>
    <x v="1"/>
  </r>
  <r>
    <d v="2023-09-24T00:00:00"/>
    <s v="ORD-000211"/>
    <x v="3"/>
    <x v="3"/>
    <n v="14988.58"/>
    <s v="Central"/>
    <n v="15077.04"/>
    <n v="88.46"/>
    <n v="22"/>
    <n v="2"/>
    <s v="September"/>
    <n v="2023"/>
    <x v="0"/>
    <x v="2"/>
  </r>
  <r>
    <d v="2024-10-12T00:00:00"/>
    <s v="ORD-000212"/>
    <x v="1"/>
    <x v="24"/>
    <n v="4824.55"/>
    <s v="South"/>
    <n v="6902.79"/>
    <n v="2078.2399999999998"/>
    <n v="5"/>
    <n v="2"/>
    <s v="October"/>
    <n v="2024"/>
    <x v="1"/>
    <x v="1"/>
  </r>
  <r>
    <d v="2025-07-20T00:00:00"/>
    <s v="ORD-000213"/>
    <x v="3"/>
    <x v="15"/>
    <n v="8650.94"/>
    <s v="East"/>
    <n v="10150.56"/>
    <n v="1499.62"/>
    <n v="10"/>
    <n v="1"/>
    <s v="July"/>
    <n v="2025"/>
    <x v="1"/>
    <x v="1"/>
  </r>
  <r>
    <d v="2024-09-07T00:00:00"/>
    <s v="ORD-000214"/>
    <x v="3"/>
    <x v="32"/>
    <n v="10492.38"/>
    <s v="East"/>
    <n v="13289.27"/>
    <n v="2796.89"/>
    <n v="5"/>
    <n v="6"/>
    <s v="September"/>
    <n v="2024"/>
    <x v="1"/>
    <x v="1"/>
  </r>
  <r>
    <d v="2025-03-15T00:00:00"/>
    <s v="ORD-000215"/>
    <x v="1"/>
    <x v="1"/>
    <n v="11420.17"/>
    <s v="North"/>
    <n v="13264.14"/>
    <n v="1843.97"/>
    <n v="15"/>
    <n v="1"/>
    <s v="March"/>
    <n v="2025"/>
    <x v="0"/>
    <x v="0"/>
  </r>
  <r>
    <d v="2024-11-18T00:00:00"/>
    <s v="ORD-000216"/>
    <x v="1"/>
    <x v="24"/>
    <n v="8814.0400000000009"/>
    <s v="Central"/>
    <n v="11639.13"/>
    <n v="2825.09"/>
    <n v="5"/>
    <n v="3"/>
    <s v="November"/>
    <n v="2024"/>
    <x v="1"/>
    <x v="1"/>
  </r>
  <r>
    <d v="2023-05-10T00:00:00"/>
    <s v="ORD-000217"/>
    <x v="3"/>
    <x v="15"/>
    <n v="27380.97"/>
    <s v="West"/>
    <n v="35828.5"/>
    <n v="8447.5300000000007"/>
    <n v="0"/>
    <n v="4"/>
    <s v="May"/>
    <n v="2023"/>
    <x v="2"/>
    <x v="1"/>
  </r>
  <r>
    <d v="2025-06-19T00:00:00"/>
    <s v="ORD-000218"/>
    <x v="3"/>
    <x v="32"/>
    <n v="5897.91"/>
    <s v="Central"/>
    <n v="6074.85"/>
    <n v="176.94"/>
    <n v="21"/>
    <n v="2"/>
    <s v="June"/>
    <n v="2025"/>
    <x v="0"/>
    <x v="2"/>
  </r>
  <r>
    <d v="2024-03-02T00:00:00"/>
    <s v="ORD-000219"/>
    <x v="2"/>
    <x v="13"/>
    <n v="568.47"/>
    <s v="West"/>
    <n v="977.94"/>
    <n v="409.47"/>
    <n v="0"/>
    <n v="1"/>
    <s v="March"/>
    <n v="2024"/>
    <x v="2"/>
    <x v="1"/>
  </r>
  <r>
    <d v="2024-02-29T00:00:00"/>
    <s v="ORD-000220"/>
    <x v="3"/>
    <x v="32"/>
    <n v="5400.04"/>
    <s v="North"/>
    <n v="5613.24"/>
    <n v="213.2"/>
    <n v="25"/>
    <n v="6"/>
    <s v="February"/>
    <n v="2024"/>
    <x v="0"/>
    <x v="2"/>
  </r>
  <r>
    <d v="2025-02-05T00:00:00"/>
    <s v="ORD-000221"/>
    <x v="1"/>
    <x v="5"/>
    <n v="21859.37"/>
    <s v="South"/>
    <n v="26255.77"/>
    <n v="4396.3999999999996"/>
    <n v="10"/>
    <n v="3"/>
    <s v="February"/>
    <n v="2025"/>
    <x v="1"/>
    <x v="1"/>
  </r>
  <r>
    <d v="2025-11-25T00:00:00"/>
    <s v="ORD-000222"/>
    <x v="2"/>
    <x v="38"/>
    <n v="272.98"/>
    <s v="South"/>
    <n v="380.01"/>
    <n v="107.03"/>
    <n v="15"/>
    <n v="2"/>
    <s v="November"/>
    <n v="2025"/>
    <x v="0"/>
    <x v="0"/>
  </r>
  <r>
    <d v="2023-02-25T00:00:00"/>
    <s v="ORD-000223"/>
    <x v="1"/>
    <x v="24"/>
    <n v="5802.99"/>
    <s v="East"/>
    <n v="7332.09"/>
    <n v="1529.1"/>
    <n v="0"/>
    <n v="1"/>
    <s v="February"/>
    <n v="2023"/>
    <x v="2"/>
    <x v="1"/>
  </r>
  <r>
    <d v="2023-03-29T00:00:00"/>
    <s v="ORD-000224"/>
    <x v="2"/>
    <x v="13"/>
    <n v="549.11"/>
    <s v="West"/>
    <n v="736.22"/>
    <n v="187.11"/>
    <n v="20"/>
    <n v="1"/>
    <s v="March"/>
    <n v="2023"/>
    <x v="0"/>
    <x v="0"/>
  </r>
  <r>
    <d v="2024-04-22T00:00:00"/>
    <s v="ORD-000225"/>
    <x v="0"/>
    <x v="6"/>
    <n v="887.01"/>
    <s v="South"/>
    <n v="1421.43"/>
    <n v="534.41999999999996"/>
    <n v="10"/>
    <n v="1"/>
    <s v="April"/>
    <n v="2024"/>
    <x v="1"/>
    <x v="1"/>
  </r>
  <r>
    <d v="2024-07-07T00:00:00"/>
    <s v="ORD-000226"/>
    <x v="2"/>
    <x v="13"/>
    <n v="687.98"/>
    <s v="South"/>
    <n v="1269.58"/>
    <n v="581.6"/>
    <n v="5"/>
    <n v="1"/>
    <s v="July"/>
    <n v="2024"/>
    <x v="1"/>
    <x v="1"/>
  </r>
  <r>
    <d v="2025-08-12T00:00:00"/>
    <s v="ORD-000227"/>
    <x v="1"/>
    <x v="1"/>
    <n v="6796.3"/>
    <s v="Central"/>
    <n v="9483.09"/>
    <n v="2686.79"/>
    <n v="10"/>
    <n v="1"/>
    <s v="August"/>
    <n v="2025"/>
    <x v="1"/>
    <x v="1"/>
  </r>
  <r>
    <d v="2023-01-20T00:00:00"/>
    <s v="ORD-000228"/>
    <x v="0"/>
    <x v="0"/>
    <n v="923.07"/>
    <s v="East"/>
    <n v="2176.46"/>
    <n v="1253.3900000000001"/>
    <n v="10"/>
    <n v="1"/>
    <s v="January"/>
    <n v="2023"/>
    <x v="1"/>
    <x v="1"/>
  </r>
  <r>
    <d v="2024-12-02T00:00:00"/>
    <s v="ORD-000229"/>
    <x v="0"/>
    <x v="0"/>
    <n v="1406.03"/>
    <s v="West"/>
    <n v="2105.11"/>
    <n v="699.08"/>
    <n v="15"/>
    <n v="1"/>
    <s v="December"/>
    <n v="2024"/>
    <x v="0"/>
    <x v="0"/>
  </r>
  <r>
    <d v="2025-11-02T00:00:00"/>
    <s v="ORD-000230"/>
    <x v="1"/>
    <x v="29"/>
    <n v="2781.49"/>
    <s v="East"/>
    <n v="3545.73"/>
    <n v="764.24"/>
    <n v="0"/>
    <n v="2"/>
    <s v="November"/>
    <n v="2025"/>
    <x v="2"/>
    <x v="1"/>
  </r>
  <r>
    <d v="2023-11-13T00:00:00"/>
    <s v="ORD-000231"/>
    <x v="1"/>
    <x v="24"/>
    <n v="3756.07"/>
    <s v="Central"/>
    <n v="5469.52"/>
    <n v="1713.45"/>
    <n v="0"/>
    <n v="1"/>
    <s v="November"/>
    <n v="2023"/>
    <x v="2"/>
    <x v="1"/>
  </r>
  <r>
    <d v="2023-04-01T00:00:00"/>
    <s v="ORD-000232"/>
    <x v="0"/>
    <x v="17"/>
    <n v="185.37"/>
    <s v="Central"/>
    <n v="359.51"/>
    <n v="174.14"/>
    <n v="0"/>
    <n v="1"/>
    <s v="April"/>
    <n v="2023"/>
    <x v="2"/>
    <x v="1"/>
  </r>
  <r>
    <d v="2024-10-06T00:00:00"/>
    <s v="ORD-000233"/>
    <x v="1"/>
    <x v="29"/>
    <n v="8300.1200000000008"/>
    <s v="North"/>
    <n v="8549.1200000000008"/>
    <n v="249"/>
    <n v="20"/>
    <n v="2"/>
    <s v="October"/>
    <n v="2024"/>
    <x v="0"/>
    <x v="0"/>
  </r>
  <r>
    <d v="2025-07-20T00:00:00"/>
    <s v="ORD-000234"/>
    <x v="3"/>
    <x v="28"/>
    <n v="30114.68"/>
    <s v="North"/>
    <n v="36264.080000000002"/>
    <n v="6149.4"/>
    <n v="10"/>
    <n v="2"/>
    <s v="July"/>
    <n v="2025"/>
    <x v="1"/>
    <x v="1"/>
  </r>
  <r>
    <d v="2024-08-04T00:00:00"/>
    <s v="ORD-000235"/>
    <x v="3"/>
    <x v="34"/>
    <n v="44965.93"/>
    <s v="East"/>
    <n v="46314.91"/>
    <n v="1348.98"/>
    <n v="19"/>
    <n v="3"/>
    <s v="August"/>
    <n v="2024"/>
    <x v="0"/>
    <x v="0"/>
  </r>
  <r>
    <d v="2024-09-28T00:00:00"/>
    <s v="ORD-000236"/>
    <x v="4"/>
    <x v="26"/>
    <n v="7024.42"/>
    <s v="North"/>
    <n v="9297"/>
    <n v="2272.58"/>
    <n v="15"/>
    <n v="1"/>
    <s v="September"/>
    <n v="2024"/>
    <x v="0"/>
    <x v="0"/>
  </r>
  <r>
    <d v="2023-10-30T00:00:00"/>
    <s v="ORD-000237"/>
    <x v="2"/>
    <x v="10"/>
    <n v="615.29999999999995"/>
    <s v="North"/>
    <n v="1010.09"/>
    <n v="394.79"/>
    <n v="5"/>
    <n v="6"/>
    <s v="October"/>
    <n v="2023"/>
    <x v="1"/>
    <x v="1"/>
  </r>
  <r>
    <d v="2024-06-14T00:00:00"/>
    <s v="ORD-000238"/>
    <x v="5"/>
    <x v="27"/>
    <n v="372.28"/>
    <s v="South"/>
    <n v="609.71"/>
    <n v="237.43"/>
    <n v="5"/>
    <n v="1"/>
    <s v="June"/>
    <n v="2024"/>
    <x v="1"/>
    <x v="1"/>
  </r>
  <r>
    <d v="2025-03-21T00:00:00"/>
    <s v="ORD-000239"/>
    <x v="4"/>
    <x v="40"/>
    <n v="2263.91"/>
    <s v="West"/>
    <n v="3636.97"/>
    <n v="1373.06"/>
    <n v="0"/>
    <n v="2"/>
    <s v="March"/>
    <n v="2025"/>
    <x v="2"/>
    <x v="1"/>
  </r>
  <r>
    <d v="2023-01-31T00:00:00"/>
    <s v="ORD-000240"/>
    <x v="1"/>
    <x v="23"/>
    <n v="24090.55"/>
    <s v="Central"/>
    <n v="32054.46"/>
    <n v="7963.91"/>
    <n v="10"/>
    <n v="6"/>
    <s v="January"/>
    <n v="2023"/>
    <x v="1"/>
    <x v="1"/>
  </r>
  <r>
    <d v="2025-03-07T00:00:00"/>
    <s v="ORD-000241"/>
    <x v="2"/>
    <x v="38"/>
    <n v="354.72"/>
    <s v="West"/>
    <n v="628.57000000000005"/>
    <n v="273.85000000000002"/>
    <n v="20"/>
    <n v="8"/>
    <s v="March"/>
    <n v="2025"/>
    <x v="0"/>
    <x v="0"/>
  </r>
  <r>
    <d v="2023-02-18T00:00:00"/>
    <s v="ORD-000242"/>
    <x v="4"/>
    <x v="26"/>
    <n v="89406.84"/>
    <s v="North"/>
    <n v="106396.8"/>
    <n v="16989.96"/>
    <n v="15"/>
    <n v="5"/>
    <s v="February"/>
    <n v="2023"/>
    <x v="0"/>
    <x v="0"/>
  </r>
  <r>
    <d v="2023-08-23T00:00:00"/>
    <s v="ORD-000243"/>
    <x v="1"/>
    <x v="23"/>
    <n v="7014.48"/>
    <s v="South"/>
    <n v="9765.44"/>
    <n v="2750.96"/>
    <n v="15"/>
    <n v="1"/>
    <s v="August"/>
    <n v="2023"/>
    <x v="0"/>
    <x v="0"/>
  </r>
  <r>
    <d v="2023-03-23T00:00:00"/>
    <s v="ORD-000244"/>
    <x v="1"/>
    <x v="29"/>
    <n v="30680.400000000001"/>
    <s v="North"/>
    <n v="34439.949999999997"/>
    <n v="3759.55"/>
    <n v="10"/>
    <n v="4"/>
    <s v="March"/>
    <n v="2023"/>
    <x v="1"/>
    <x v="1"/>
  </r>
  <r>
    <d v="2023-07-16T00:00:00"/>
    <s v="ORD-000245"/>
    <x v="0"/>
    <x v="6"/>
    <n v="4139.6400000000003"/>
    <s v="North"/>
    <n v="6428.52"/>
    <n v="2288.88"/>
    <n v="20"/>
    <n v="4"/>
    <s v="July"/>
    <n v="2023"/>
    <x v="0"/>
    <x v="0"/>
  </r>
  <r>
    <d v="2023-10-10T00:00:00"/>
    <s v="ORD-000246"/>
    <x v="3"/>
    <x v="15"/>
    <n v="1434.14"/>
    <s v="South"/>
    <n v="1580.68"/>
    <n v="146.54"/>
    <n v="25"/>
    <n v="2"/>
    <s v="October"/>
    <n v="2023"/>
    <x v="0"/>
    <x v="2"/>
  </r>
  <r>
    <d v="2023-01-04T00:00:00"/>
    <s v="ORD-000247"/>
    <x v="0"/>
    <x v="6"/>
    <n v="1279.1199999999999"/>
    <s v="South"/>
    <n v="2042.46"/>
    <n v="763.34"/>
    <n v="0"/>
    <n v="4"/>
    <s v="January"/>
    <n v="2023"/>
    <x v="2"/>
    <x v="1"/>
  </r>
  <r>
    <d v="2025-06-22T00:00:00"/>
    <s v="ORD-000248"/>
    <x v="0"/>
    <x v="0"/>
    <n v="640.76"/>
    <s v="North"/>
    <n v="1172.67"/>
    <n v="531.91"/>
    <n v="0"/>
    <n v="1"/>
    <s v="June"/>
    <n v="2025"/>
    <x v="2"/>
    <x v="1"/>
  </r>
  <r>
    <d v="2023-04-19T00:00:00"/>
    <s v="ORD-000249"/>
    <x v="5"/>
    <x v="16"/>
    <n v="539.26"/>
    <s v="West"/>
    <n v="987.36"/>
    <n v="448.1"/>
    <n v="0"/>
    <n v="2"/>
    <s v="April"/>
    <n v="2023"/>
    <x v="2"/>
    <x v="1"/>
  </r>
  <r>
    <d v="2025-02-07T00:00:00"/>
    <s v="ORD-000250"/>
    <x v="0"/>
    <x v="21"/>
    <n v="1281.8399999999999"/>
    <s v="North"/>
    <n v="1695.4"/>
    <n v="413.56"/>
    <n v="25"/>
    <n v="5"/>
    <s v="February"/>
    <n v="2025"/>
    <x v="0"/>
    <x v="2"/>
  </r>
  <r>
    <d v="2023-02-02T00:00:00"/>
    <s v="ORD-000251"/>
    <x v="1"/>
    <x v="29"/>
    <n v="4066.21"/>
    <s v="North"/>
    <n v="5949.88"/>
    <n v="1883.67"/>
    <n v="5"/>
    <n v="3"/>
    <s v="February"/>
    <n v="2023"/>
    <x v="1"/>
    <x v="1"/>
  </r>
  <r>
    <d v="2025-12-24T00:00:00"/>
    <s v="ORD-000252"/>
    <x v="3"/>
    <x v="37"/>
    <n v="86024.51"/>
    <s v="North"/>
    <n v="91860.73"/>
    <n v="5836.22"/>
    <n v="10"/>
    <n v="8"/>
    <s v="December"/>
    <n v="2025"/>
    <x v="1"/>
    <x v="1"/>
  </r>
  <r>
    <d v="2025-11-06T00:00:00"/>
    <s v="ORD-000253"/>
    <x v="4"/>
    <x v="42"/>
    <n v="10726.53"/>
    <s v="West"/>
    <n v="13357.99"/>
    <n v="2631.46"/>
    <n v="15"/>
    <n v="5"/>
    <s v="November"/>
    <n v="2025"/>
    <x v="0"/>
    <x v="0"/>
  </r>
  <r>
    <d v="2023-03-11T00:00:00"/>
    <s v="ORD-000254"/>
    <x v="5"/>
    <x v="36"/>
    <n v="724.42"/>
    <s v="West"/>
    <n v="1437.04"/>
    <n v="712.62"/>
    <n v="10"/>
    <n v="1"/>
    <s v="March"/>
    <n v="2023"/>
    <x v="1"/>
    <x v="1"/>
  </r>
  <r>
    <d v="2025-07-05T00:00:00"/>
    <s v="ORD-000255"/>
    <x v="5"/>
    <x v="36"/>
    <n v="472.37"/>
    <s v="West"/>
    <n v="822.22"/>
    <n v="349.85"/>
    <n v="10"/>
    <n v="1"/>
    <s v="July"/>
    <n v="2025"/>
    <x v="1"/>
    <x v="1"/>
  </r>
  <r>
    <d v="2024-08-14T00:00:00"/>
    <s v="ORD-000256"/>
    <x v="5"/>
    <x v="36"/>
    <n v="691.99"/>
    <s v="South"/>
    <n v="1084.46"/>
    <n v="392.47"/>
    <n v="0"/>
    <n v="1"/>
    <s v="August"/>
    <n v="2024"/>
    <x v="2"/>
    <x v="1"/>
  </r>
  <r>
    <d v="2024-10-12T00:00:00"/>
    <s v="ORD-000257"/>
    <x v="4"/>
    <x v="39"/>
    <n v="4895.45"/>
    <s v="South"/>
    <n v="6317.86"/>
    <n v="1422.41"/>
    <n v="0"/>
    <n v="2"/>
    <s v="October"/>
    <n v="2024"/>
    <x v="2"/>
    <x v="1"/>
  </r>
  <r>
    <d v="2024-05-10T00:00:00"/>
    <s v="ORD-000258"/>
    <x v="1"/>
    <x v="24"/>
    <n v="6946.28"/>
    <s v="South"/>
    <n v="8739.5400000000009"/>
    <n v="1793.26"/>
    <n v="10"/>
    <n v="5"/>
    <s v="May"/>
    <n v="2024"/>
    <x v="1"/>
    <x v="1"/>
  </r>
  <r>
    <d v="2024-06-04T00:00:00"/>
    <s v="ORD-000259"/>
    <x v="2"/>
    <x v="35"/>
    <n v="1217.8699999999999"/>
    <s v="Central"/>
    <n v="1625.31"/>
    <n v="407.44"/>
    <n v="10"/>
    <n v="2"/>
    <s v="June"/>
    <n v="2024"/>
    <x v="1"/>
    <x v="1"/>
  </r>
  <r>
    <d v="2023-06-11T00:00:00"/>
    <s v="ORD-000260"/>
    <x v="1"/>
    <x v="24"/>
    <n v="12911.68"/>
    <s v="South"/>
    <n v="16434.849999999999"/>
    <n v="3523.17"/>
    <n v="0"/>
    <n v="1"/>
    <s v="June"/>
    <n v="2023"/>
    <x v="2"/>
    <x v="1"/>
  </r>
  <r>
    <d v="2024-06-09T00:00:00"/>
    <s v="ORD-000261"/>
    <x v="4"/>
    <x v="40"/>
    <n v="8374.07"/>
    <s v="South"/>
    <n v="9574.9599999999991"/>
    <n v="1200.8900000000001"/>
    <n v="15"/>
    <n v="3"/>
    <s v="June"/>
    <n v="2024"/>
    <x v="0"/>
    <x v="0"/>
  </r>
  <r>
    <d v="2024-09-11T00:00:00"/>
    <s v="ORD-000262"/>
    <x v="1"/>
    <x v="1"/>
    <n v="1556.85"/>
    <s v="East"/>
    <n v="2152.58"/>
    <n v="595.73"/>
    <n v="10"/>
    <n v="1"/>
    <s v="September"/>
    <n v="2024"/>
    <x v="1"/>
    <x v="1"/>
  </r>
  <r>
    <d v="2023-10-14T00:00:00"/>
    <s v="ORD-000263"/>
    <x v="2"/>
    <x v="35"/>
    <n v="1599.62"/>
    <s v="South"/>
    <n v="2587.06"/>
    <n v="987.44"/>
    <n v="30"/>
    <n v="3"/>
    <s v="October"/>
    <n v="2023"/>
    <x v="0"/>
    <x v="2"/>
  </r>
  <r>
    <d v="2024-08-27T00:00:00"/>
    <s v="ORD-000264"/>
    <x v="2"/>
    <x v="13"/>
    <n v="798.69"/>
    <s v="Central"/>
    <n v="1023.32"/>
    <n v="224.63"/>
    <n v="20"/>
    <n v="4"/>
    <s v="August"/>
    <n v="2024"/>
    <x v="0"/>
    <x v="0"/>
  </r>
  <r>
    <d v="2023-08-11T00:00:00"/>
    <s v="ORD-000265"/>
    <x v="0"/>
    <x v="6"/>
    <n v="2030.27"/>
    <s v="West"/>
    <n v="4226.75"/>
    <n v="2196.48"/>
    <n v="10"/>
    <n v="2"/>
    <s v="August"/>
    <n v="2023"/>
    <x v="1"/>
    <x v="1"/>
  </r>
  <r>
    <d v="2024-09-07T00:00:00"/>
    <s v="ORD-000266"/>
    <x v="3"/>
    <x v="32"/>
    <n v="6795.11"/>
    <s v="West"/>
    <n v="8567.57"/>
    <n v="1772.46"/>
    <n v="10"/>
    <n v="2"/>
    <s v="September"/>
    <n v="2024"/>
    <x v="1"/>
    <x v="1"/>
  </r>
  <r>
    <d v="2023-02-18T00:00:00"/>
    <s v="ORD-000267"/>
    <x v="3"/>
    <x v="32"/>
    <n v="3458.41"/>
    <s v="South"/>
    <n v="3562.16"/>
    <n v="103.75"/>
    <n v="27"/>
    <n v="2"/>
    <s v="February"/>
    <n v="2023"/>
    <x v="0"/>
    <x v="2"/>
  </r>
  <r>
    <d v="2024-12-22T00:00:00"/>
    <s v="ORD-000268"/>
    <x v="2"/>
    <x v="31"/>
    <n v="924.02"/>
    <s v="North"/>
    <n v="1232.75"/>
    <n v="308.73"/>
    <n v="10"/>
    <n v="1"/>
    <s v="December"/>
    <n v="2024"/>
    <x v="1"/>
    <x v="1"/>
  </r>
  <r>
    <d v="2024-01-19T00:00:00"/>
    <s v="ORD-000269"/>
    <x v="2"/>
    <x v="25"/>
    <n v="1290.8"/>
    <s v="East"/>
    <n v="2453.52"/>
    <n v="1162.72"/>
    <n v="20"/>
    <n v="2"/>
    <s v="January"/>
    <n v="2024"/>
    <x v="0"/>
    <x v="0"/>
  </r>
  <r>
    <d v="2024-10-27T00:00:00"/>
    <s v="ORD-000270"/>
    <x v="2"/>
    <x v="13"/>
    <n v="2853.05"/>
    <s v="Central"/>
    <n v="4161.8100000000004"/>
    <n v="1308.76"/>
    <n v="5"/>
    <n v="4"/>
    <s v="October"/>
    <n v="2024"/>
    <x v="1"/>
    <x v="1"/>
  </r>
  <r>
    <d v="2024-11-13T00:00:00"/>
    <s v="ORD-000271"/>
    <x v="3"/>
    <x v="12"/>
    <n v="1968.5"/>
    <s v="West"/>
    <n v="2328.77"/>
    <n v="360.27"/>
    <n v="10"/>
    <n v="1"/>
    <s v="November"/>
    <n v="2024"/>
    <x v="1"/>
    <x v="1"/>
  </r>
  <r>
    <d v="2025-09-09T00:00:00"/>
    <s v="ORD-000272"/>
    <x v="0"/>
    <x v="17"/>
    <n v="4761.42"/>
    <s v="West"/>
    <n v="9484.76"/>
    <n v="4723.34"/>
    <n v="5"/>
    <n v="5"/>
    <s v="September"/>
    <n v="2025"/>
    <x v="1"/>
    <x v="1"/>
  </r>
  <r>
    <d v="2023-02-03T00:00:00"/>
    <s v="ORD-000273"/>
    <x v="0"/>
    <x v="17"/>
    <n v="1456.52"/>
    <s v="North"/>
    <n v="2050.96"/>
    <n v="594.44000000000005"/>
    <n v="15"/>
    <n v="8"/>
    <s v="February"/>
    <n v="2023"/>
    <x v="0"/>
    <x v="0"/>
  </r>
  <r>
    <d v="2023-12-30T00:00:00"/>
    <s v="ORD-000274"/>
    <x v="4"/>
    <x v="30"/>
    <n v="49977.16"/>
    <s v="North"/>
    <n v="59135.29"/>
    <n v="9158.1299999999992"/>
    <n v="25"/>
    <n v="8"/>
    <s v="December"/>
    <n v="2023"/>
    <x v="0"/>
    <x v="2"/>
  </r>
  <r>
    <d v="2025-01-31T00:00:00"/>
    <s v="ORD-000275"/>
    <x v="4"/>
    <x v="40"/>
    <n v="14899.63"/>
    <s v="East"/>
    <n v="21442.2"/>
    <n v="6542.57"/>
    <n v="10"/>
    <n v="4"/>
    <s v="January"/>
    <n v="2025"/>
    <x v="1"/>
    <x v="1"/>
  </r>
  <r>
    <d v="2023-05-21T00:00:00"/>
    <s v="ORD-000276"/>
    <x v="4"/>
    <x v="26"/>
    <n v="36693.199999999997"/>
    <s v="North"/>
    <n v="39570.36"/>
    <n v="2877.16"/>
    <n v="25"/>
    <n v="5"/>
    <s v="May"/>
    <n v="2023"/>
    <x v="0"/>
    <x v="2"/>
  </r>
  <r>
    <d v="2025-03-01T00:00:00"/>
    <s v="ORD-000277"/>
    <x v="5"/>
    <x v="20"/>
    <n v="2015.56"/>
    <s v="Central"/>
    <n v="4566.92"/>
    <n v="2551.36"/>
    <n v="0"/>
    <n v="1"/>
    <s v="March"/>
    <n v="2025"/>
    <x v="2"/>
    <x v="1"/>
  </r>
  <r>
    <d v="2025-08-21T00:00:00"/>
    <s v="ORD-000278"/>
    <x v="3"/>
    <x v="12"/>
    <n v="14088.84"/>
    <s v="East"/>
    <n v="14315.38"/>
    <n v="226.54"/>
    <n v="15"/>
    <n v="8"/>
    <s v="August"/>
    <n v="2025"/>
    <x v="0"/>
    <x v="0"/>
  </r>
  <r>
    <d v="2025-12-24T00:00:00"/>
    <s v="ORD-000279"/>
    <x v="4"/>
    <x v="40"/>
    <n v="2936.37"/>
    <s v="Central"/>
    <n v="3623.45"/>
    <n v="687.08"/>
    <n v="10"/>
    <n v="1"/>
    <s v="December"/>
    <n v="2025"/>
    <x v="1"/>
    <x v="1"/>
  </r>
  <r>
    <d v="2025-04-09T00:00:00"/>
    <s v="ORD-000280"/>
    <x v="2"/>
    <x v="35"/>
    <n v="269.67"/>
    <s v="North"/>
    <n v="379.65"/>
    <n v="109.98"/>
    <n v="10"/>
    <n v="3"/>
    <s v="April"/>
    <n v="2025"/>
    <x v="1"/>
    <x v="1"/>
  </r>
  <r>
    <d v="2023-08-26T00:00:00"/>
    <s v="ORD-000281"/>
    <x v="1"/>
    <x v="1"/>
    <n v="1030.56"/>
    <s v="East"/>
    <n v="1061.48"/>
    <n v="30.92"/>
    <n v="19"/>
    <n v="1"/>
    <s v="August"/>
    <n v="2023"/>
    <x v="0"/>
    <x v="0"/>
  </r>
  <r>
    <d v="2025-05-14T00:00:00"/>
    <s v="ORD-000282"/>
    <x v="5"/>
    <x v="27"/>
    <n v="7678.49"/>
    <s v="West"/>
    <n v="11541.09"/>
    <n v="3862.6"/>
    <n v="15"/>
    <n v="3"/>
    <s v="May"/>
    <n v="2025"/>
    <x v="0"/>
    <x v="0"/>
  </r>
  <r>
    <d v="2025-07-28T00:00:00"/>
    <s v="ORD-000283"/>
    <x v="5"/>
    <x v="14"/>
    <n v="1479.92"/>
    <s v="West"/>
    <n v="2546.27"/>
    <n v="1066.3499999999999"/>
    <n v="10"/>
    <n v="4"/>
    <s v="July"/>
    <n v="2025"/>
    <x v="1"/>
    <x v="1"/>
  </r>
  <r>
    <d v="2023-11-13T00:00:00"/>
    <s v="ORD-000284"/>
    <x v="0"/>
    <x v="0"/>
    <n v="3763.49"/>
    <s v="South"/>
    <n v="8174.88"/>
    <n v="4411.3900000000003"/>
    <n v="10"/>
    <n v="2"/>
    <s v="November"/>
    <n v="2023"/>
    <x v="1"/>
    <x v="1"/>
  </r>
  <r>
    <d v="2025-10-22T00:00:00"/>
    <s v="ORD-000285"/>
    <x v="2"/>
    <x v="10"/>
    <n v="457.29"/>
    <s v="West"/>
    <n v="715.24"/>
    <n v="257.95"/>
    <n v="5"/>
    <n v="1"/>
    <s v="October"/>
    <n v="2025"/>
    <x v="1"/>
    <x v="1"/>
  </r>
  <r>
    <d v="2025-01-25T00:00:00"/>
    <s v="ORD-000286"/>
    <x v="3"/>
    <x v="22"/>
    <n v="10002.290000000001"/>
    <s v="West"/>
    <n v="11741.87"/>
    <n v="1739.58"/>
    <n v="20"/>
    <n v="3"/>
    <s v="January"/>
    <n v="2025"/>
    <x v="0"/>
    <x v="0"/>
  </r>
  <r>
    <d v="2025-08-21T00:00:00"/>
    <s v="ORD-000287"/>
    <x v="3"/>
    <x v="28"/>
    <n v="3731.41"/>
    <s v="South"/>
    <n v="4473.74"/>
    <n v="742.33"/>
    <n v="10"/>
    <n v="1"/>
    <s v="August"/>
    <n v="2025"/>
    <x v="1"/>
    <x v="1"/>
  </r>
  <r>
    <d v="2024-01-23T00:00:00"/>
    <s v="ORD-000288"/>
    <x v="5"/>
    <x v="20"/>
    <n v="7821.87"/>
    <s v="South"/>
    <n v="10589.36"/>
    <n v="2767.49"/>
    <n v="25"/>
    <n v="3"/>
    <s v="January"/>
    <n v="2024"/>
    <x v="0"/>
    <x v="2"/>
  </r>
  <r>
    <d v="2024-02-08T00:00:00"/>
    <s v="ORD-000289"/>
    <x v="3"/>
    <x v="22"/>
    <n v="8483.09"/>
    <s v="East"/>
    <n v="10117.540000000001"/>
    <n v="1634.45"/>
    <n v="5"/>
    <n v="1"/>
    <s v="February"/>
    <n v="2024"/>
    <x v="1"/>
    <x v="1"/>
  </r>
  <r>
    <d v="2023-02-10T00:00:00"/>
    <s v="ORD-000290"/>
    <x v="4"/>
    <x v="30"/>
    <n v="30136.799999999999"/>
    <s v="South"/>
    <n v="38654.19"/>
    <n v="8517.39"/>
    <n v="0"/>
    <n v="5"/>
    <s v="February"/>
    <n v="2023"/>
    <x v="2"/>
    <x v="1"/>
  </r>
  <r>
    <d v="2025-04-13T00:00:00"/>
    <s v="ORD-000291"/>
    <x v="1"/>
    <x v="9"/>
    <n v="4400.53"/>
    <s v="East"/>
    <n v="5905.06"/>
    <n v="1504.53"/>
    <n v="10"/>
    <n v="5"/>
    <s v="April"/>
    <n v="2025"/>
    <x v="1"/>
    <x v="1"/>
  </r>
  <r>
    <d v="2024-02-08T00:00:00"/>
    <s v="ORD-000292"/>
    <x v="5"/>
    <x v="18"/>
    <n v="5184.2299999999996"/>
    <s v="South"/>
    <n v="8936.56"/>
    <n v="3752.33"/>
    <n v="5"/>
    <n v="10"/>
    <s v="February"/>
    <n v="2024"/>
    <x v="1"/>
    <x v="1"/>
  </r>
  <r>
    <d v="2023-04-28T00:00:00"/>
    <s v="ORD-000293"/>
    <x v="5"/>
    <x v="16"/>
    <n v="5192.05"/>
    <s v="South"/>
    <n v="8200.2099999999991"/>
    <n v="3008.16"/>
    <n v="5"/>
    <n v="4"/>
    <s v="April"/>
    <n v="2023"/>
    <x v="1"/>
    <x v="1"/>
  </r>
  <r>
    <d v="2024-08-22T00:00:00"/>
    <s v="ORD-000294"/>
    <x v="1"/>
    <x v="24"/>
    <n v="10162.07"/>
    <s v="Central"/>
    <n v="12822.47"/>
    <n v="2660.4"/>
    <n v="20"/>
    <n v="5"/>
    <s v="August"/>
    <n v="2024"/>
    <x v="0"/>
    <x v="0"/>
  </r>
  <r>
    <d v="2023-04-03T00:00:00"/>
    <s v="ORD-000295"/>
    <x v="3"/>
    <x v="12"/>
    <n v="2516.58"/>
    <s v="West"/>
    <n v="3112.75"/>
    <n v="596.16999999999996"/>
    <n v="10"/>
    <n v="1"/>
    <s v="April"/>
    <n v="2023"/>
    <x v="1"/>
    <x v="1"/>
  </r>
  <r>
    <d v="2024-07-23T00:00:00"/>
    <s v="ORD-000296"/>
    <x v="3"/>
    <x v="3"/>
    <n v="66158.759999999995"/>
    <s v="South"/>
    <n v="74470.87"/>
    <n v="8312.11"/>
    <n v="10"/>
    <n v="6"/>
    <s v="July"/>
    <n v="2024"/>
    <x v="1"/>
    <x v="1"/>
  </r>
  <r>
    <d v="2024-03-17T00:00:00"/>
    <s v="ORD-000297"/>
    <x v="1"/>
    <x v="23"/>
    <n v="7763.86"/>
    <s v="Central"/>
    <n v="8956.74"/>
    <n v="1192.8800000000001"/>
    <n v="15"/>
    <n v="3"/>
    <s v="March"/>
    <n v="2024"/>
    <x v="0"/>
    <x v="0"/>
  </r>
  <r>
    <d v="2024-12-19T00:00:00"/>
    <s v="ORD-000298"/>
    <x v="1"/>
    <x v="1"/>
    <n v="100925.27"/>
    <s v="South"/>
    <n v="105842.3"/>
    <n v="4917.03"/>
    <n v="20"/>
    <n v="8"/>
    <s v="December"/>
    <n v="2024"/>
    <x v="0"/>
    <x v="0"/>
  </r>
  <r>
    <d v="2025-05-24T00:00:00"/>
    <s v="ORD-000299"/>
    <x v="5"/>
    <x v="27"/>
    <n v="350.77"/>
    <s v="Central"/>
    <n v="542.79999999999995"/>
    <n v="192.03"/>
    <n v="25"/>
    <n v="1"/>
    <s v="May"/>
    <n v="2025"/>
    <x v="0"/>
    <x v="2"/>
  </r>
  <r>
    <d v="2025-02-27T00:00:00"/>
    <s v="ORD-000300"/>
    <x v="3"/>
    <x v="28"/>
    <n v="15380.01"/>
    <s v="North"/>
    <n v="21774.05"/>
    <n v="6394.04"/>
    <n v="5"/>
    <n v="3"/>
    <s v="February"/>
    <n v="2025"/>
    <x v="1"/>
    <x v="1"/>
  </r>
  <r>
    <d v="2025-09-14T00:00:00"/>
    <s v="ORD-000301"/>
    <x v="1"/>
    <x v="1"/>
    <n v="2200.71"/>
    <s v="Central"/>
    <n v="3179.89"/>
    <n v="979.18"/>
    <n v="10"/>
    <n v="1"/>
    <s v="September"/>
    <n v="2025"/>
    <x v="1"/>
    <x v="1"/>
  </r>
  <r>
    <d v="2025-10-29T00:00:00"/>
    <s v="ORD-000302"/>
    <x v="4"/>
    <x v="42"/>
    <n v="33567.19"/>
    <s v="North"/>
    <n v="40865.879999999997"/>
    <n v="7298.69"/>
    <n v="5"/>
    <n v="6"/>
    <s v="October"/>
    <n v="2025"/>
    <x v="1"/>
    <x v="1"/>
  </r>
  <r>
    <d v="2025-12-25T00:00:00"/>
    <s v="ORD-000303"/>
    <x v="3"/>
    <x v="32"/>
    <n v="1538.07"/>
    <s v="West"/>
    <n v="1566.28"/>
    <n v="28.21"/>
    <n v="20"/>
    <n v="1"/>
    <s v="December"/>
    <n v="2025"/>
    <x v="0"/>
    <x v="0"/>
  </r>
  <r>
    <d v="2025-07-22T00:00:00"/>
    <s v="ORD-000304"/>
    <x v="3"/>
    <x v="37"/>
    <n v="27234.17"/>
    <s v="East"/>
    <n v="36227.760000000002"/>
    <n v="8993.59"/>
    <n v="5"/>
    <n v="6"/>
    <s v="July"/>
    <n v="2025"/>
    <x v="1"/>
    <x v="1"/>
  </r>
  <r>
    <d v="2024-06-01T00:00:00"/>
    <s v="ORD-000305"/>
    <x v="2"/>
    <x v="10"/>
    <n v="284.36"/>
    <s v="Central"/>
    <n v="348.06"/>
    <n v="63.7"/>
    <n v="25"/>
    <n v="1"/>
    <s v="June"/>
    <n v="2024"/>
    <x v="0"/>
    <x v="2"/>
  </r>
  <r>
    <d v="2025-03-29T00:00:00"/>
    <s v="ORD-000306"/>
    <x v="0"/>
    <x v="4"/>
    <n v="727.55"/>
    <s v="East"/>
    <n v="1474.62"/>
    <n v="747.07"/>
    <n v="0"/>
    <n v="4"/>
    <s v="March"/>
    <n v="2025"/>
    <x v="2"/>
    <x v="1"/>
  </r>
  <r>
    <d v="2024-12-01T00:00:00"/>
    <s v="ORD-000307"/>
    <x v="3"/>
    <x v="15"/>
    <n v="5314.01"/>
    <s v="West"/>
    <n v="5623.91"/>
    <n v="309.89999999999998"/>
    <n v="10"/>
    <n v="1"/>
    <s v="December"/>
    <n v="2024"/>
    <x v="1"/>
    <x v="1"/>
  </r>
  <r>
    <d v="2025-01-30T00:00:00"/>
    <s v="ORD-000308"/>
    <x v="2"/>
    <x v="31"/>
    <n v="6324.97"/>
    <s v="North"/>
    <n v="8901.26"/>
    <n v="2576.29"/>
    <n v="10"/>
    <n v="6"/>
    <s v="January"/>
    <n v="2025"/>
    <x v="1"/>
    <x v="1"/>
  </r>
  <r>
    <d v="2023-11-12T00:00:00"/>
    <s v="ORD-000309"/>
    <x v="5"/>
    <x v="33"/>
    <n v="5257.03"/>
    <s v="Central"/>
    <n v="7762.03"/>
    <n v="2505"/>
    <n v="20"/>
    <n v="3"/>
    <s v="November"/>
    <n v="2023"/>
    <x v="0"/>
    <x v="0"/>
  </r>
  <r>
    <d v="2025-05-07T00:00:00"/>
    <s v="ORD-000310"/>
    <x v="5"/>
    <x v="18"/>
    <n v="1247.81"/>
    <s v="Central"/>
    <n v="2637.61"/>
    <n v="1389.8"/>
    <n v="15"/>
    <n v="6"/>
    <s v="May"/>
    <n v="2025"/>
    <x v="0"/>
    <x v="0"/>
  </r>
  <r>
    <d v="2023-05-12T00:00:00"/>
    <s v="ORD-000311"/>
    <x v="5"/>
    <x v="33"/>
    <n v="1996.06"/>
    <s v="North"/>
    <n v="4210.55"/>
    <n v="2214.4899999999998"/>
    <n v="15"/>
    <n v="1"/>
    <s v="May"/>
    <n v="2023"/>
    <x v="0"/>
    <x v="0"/>
  </r>
  <r>
    <d v="2023-09-14T00:00:00"/>
    <s v="ORD-000312"/>
    <x v="0"/>
    <x v="17"/>
    <n v="603.66999999999996"/>
    <s v="North"/>
    <n v="1179.79"/>
    <n v="576.12"/>
    <n v="15"/>
    <n v="3"/>
    <s v="September"/>
    <n v="2023"/>
    <x v="0"/>
    <x v="0"/>
  </r>
  <r>
    <d v="2024-01-20T00:00:00"/>
    <s v="ORD-000313"/>
    <x v="2"/>
    <x v="2"/>
    <n v="1751.26"/>
    <s v="South"/>
    <n v="2850.11"/>
    <n v="1098.8499999999999"/>
    <n v="5"/>
    <n v="3"/>
    <s v="January"/>
    <n v="2024"/>
    <x v="1"/>
    <x v="1"/>
  </r>
  <r>
    <d v="2025-08-11T00:00:00"/>
    <s v="ORD-000314"/>
    <x v="2"/>
    <x v="38"/>
    <n v="989.73"/>
    <s v="North"/>
    <n v="1138.9100000000001"/>
    <n v="149.18"/>
    <n v="30"/>
    <n v="6"/>
    <s v="August"/>
    <n v="2025"/>
    <x v="0"/>
    <x v="2"/>
  </r>
  <r>
    <d v="2024-05-05T00:00:00"/>
    <s v="ORD-000315"/>
    <x v="0"/>
    <x v="6"/>
    <n v="1321.07"/>
    <s v="North"/>
    <n v="1813.61"/>
    <n v="492.54"/>
    <n v="15"/>
    <n v="2"/>
    <s v="May"/>
    <n v="2024"/>
    <x v="0"/>
    <x v="0"/>
  </r>
  <r>
    <d v="2023-11-01T00:00:00"/>
    <s v="ORD-000316"/>
    <x v="4"/>
    <x v="39"/>
    <n v="3464.89"/>
    <s v="North"/>
    <n v="3799.84"/>
    <n v="334.95"/>
    <n v="15"/>
    <n v="1"/>
    <s v="November"/>
    <n v="2023"/>
    <x v="0"/>
    <x v="0"/>
  </r>
  <r>
    <d v="2024-10-01T00:00:00"/>
    <s v="ORD-000317"/>
    <x v="4"/>
    <x v="26"/>
    <n v="8734.69"/>
    <s v="Central"/>
    <n v="11592.39"/>
    <n v="2857.7"/>
    <n v="10"/>
    <n v="4"/>
    <s v="October"/>
    <n v="2024"/>
    <x v="1"/>
    <x v="1"/>
  </r>
  <r>
    <d v="2023-03-12T00:00:00"/>
    <s v="ORD-000318"/>
    <x v="0"/>
    <x v="41"/>
    <n v="3214.59"/>
    <s v="East"/>
    <n v="5323.9"/>
    <n v="2109.31"/>
    <n v="10"/>
    <n v="2"/>
    <s v="March"/>
    <n v="2023"/>
    <x v="1"/>
    <x v="1"/>
  </r>
  <r>
    <d v="2025-12-16T00:00:00"/>
    <s v="ORD-000319"/>
    <x v="3"/>
    <x v="34"/>
    <n v="5757.01"/>
    <s v="West"/>
    <n v="8094.2"/>
    <n v="2337.19"/>
    <n v="0"/>
    <n v="2"/>
    <s v="December"/>
    <n v="2025"/>
    <x v="2"/>
    <x v="1"/>
  </r>
  <r>
    <d v="2023-02-23T00:00:00"/>
    <s v="ORD-000320"/>
    <x v="0"/>
    <x v="17"/>
    <n v="175.44"/>
    <s v="South"/>
    <n v="331.09"/>
    <n v="155.65"/>
    <n v="25"/>
    <n v="1"/>
    <s v="February"/>
    <n v="2023"/>
    <x v="0"/>
    <x v="2"/>
  </r>
  <r>
    <d v="2024-06-06T00:00:00"/>
    <s v="ORD-000321"/>
    <x v="0"/>
    <x v="4"/>
    <n v="147.68"/>
    <s v="Central"/>
    <n v="283.37"/>
    <n v="135.69"/>
    <n v="15"/>
    <n v="1"/>
    <s v="June"/>
    <n v="2024"/>
    <x v="0"/>
    <x v="0"/>
  </r>
  <r>
    <d v="2024-07-03T00:00:00"/>
    <s v="ORD-000322"/>
    <x v="2"/>
    <x v="2"/>
    <n v="2798.53"/>
    <s v="South"/>
    <n v="3767.04"/>
    <n v="968.51"/>
    <n v="10"/>
    <n v="8"/>
    <s v="July"/>
    <n v="2024"/>
    <x v="1"/>
    <x v="1"/>
  </r>
  <r>
    <d v="2025-10-29T00:00:00"/>
    <s v="ORD-000323"/>
    <x v="0"/>
    <x v="8"/>
    <n v="9155.81"/>
    <s v="West"/>
    <n v="18157.79"/>
    <n v="9001.98"/>
    <n v="20"/>
    <n v="5"/>
    <s v="October"/>
    <n v="2025"/>
    <x v="0"/>
    <x v="0"/>
  </r>
  <r>
    <d v="2025-05-13T00:00:00"/>
    <s v="ORD-000324"/>
    <x v="2"/>
    <x v="31"/>
    <n v="666.58"/>
    <s v="Central"/>
    <n v="1058.1300000000001"/>
    <n v="391.55"/>
    <n v="20"/>
    <n v="4"/>
    <s v="May"/>
    <n v="2025"/>
    <x v="0"/>
    <x v="0"/>
  </r>
  <r>
    <d v="2024-04-26T00:00:00"/>
    <s v="ORD-000325"/>
    <x v="3"/>
    <x v="12"/>
    <n v="2471.83"/>
    <s v="West"/>
    <n v="2835.5"/>
    <n v="363.67"/>
    <n v="5"/>
    <n v="1"/>
    <s v="April"/>
    <n v="2024"/>
    <x v="1"/>
    <x v="1"/>
  </r>
  <r>
    <d v="2025-01-29T00:00:00"/>
    <s v="ORD-000326"/>
    <x v="2"/>
    <x v="38"/>
    <n v="294.54000000000002"/>
    <s v="Central"/>
    <n v="501.19"/>
    <n v="206.65"/>
    <n v="10"/>
    <n v="3"/>
    <s v="January"/>
    <n v="2025"/>
    <x v="1"/>
    <x v="1"/>
  </r>
  <r>
    <d v="2025-04-23T00:00:00"/>
    <s v="ORD-000327"/>
    <x v="2"/>
    <x v="25"/>
    <n v="1778.38"/>
    <s v="South"/>
    <n v="2285.16"/>
    <n v="506.78"/>
    <n v="15"/>
    <n v="3"/>
    <s v="April"/>
    <n v="2025"/>
    <x v="0"/>
    <x v="0"/>
  </r>
  <r>
    <d v="2025-06-30T00:00:00"/>
    <s v="ORD-000328"/>
    <x v="3"/>
    <x v="34"/>
    <n v="7922.83"/>
    <s v="West"/>
    <n v="8165.55"/>
    <n v="242.72"/>
    <n v="15"/>
    <n v="1"/>
    <s v="June"/>
    <n v="2025"/>
    <x v="0"/>
    <x v="0"/>
  </r>
  <r>
    <d v="2024-09-11T00:00:00"/>
    <s v="ORD-000329"/>
    <x v="3"/>
    <x v="37"/>
    <n v="3233.6"/>
    <s v="West"/>
    <n v="3920.1"/>
    <n v="686.5"/>
    <n v="15"/>
    <n v="5"/>
    <s v="September"/>
    <n v="2024"/>
    <x v="0"/>
    <x v="0"/>
  </r>
  <r>
    <d v="2025-10-21T00:00:00"/>
    <s v="ORD-000330"/>
    <x v="2"/>
    <x v="2"/>
    <n v="4756.2"/>
    <s v="West"/>
    <n v="6522.81"/>
    <n v="1766.61"/>
    <n v="10"/>
    <n v="6"/>
    <s v="October"/>
    <n v="2025"/>
    <x v="1"/>
    <x v="1"/>
  </r>
  <r>
    <d v="2023-06-16T00:00:00"/>
    <s v="ORD-000331"/>
    <x v="5"/>
    <x v="36"/>
    <n v="3082.38"/>
    <s v="North"/>
    <n v="4623.2"/>
    <n v="1540.82"/>
    <n v="0"/>
    <n v="1"/>
    <s v="June"/>
    <n v="2023"/>
    <x v="2"/>
    <x v="1"/>
  </r>
  <r>
    <d v="2025-07-09T00:00:00"/>
    <s v="ORD-000332"/>
    <x v="0"/>
    <x v="17"/>
    <n v="871.65"/>
    <s v="South"/>
    <n v="1515"/>
    <n v="643.35"/>
    <n v="10"/>
    <n v="1"/>
    <s v="July"/>
    <n v="2025"/>
    <x v="1"/>
    <x v="1"/>
  </r>
  <r>
    <d v="2024-09-08T00:00:00"/>
    <s v="ORD-000333"/>
    <x v="5"/>
    <x v="27"/>
    <n v="528.13"/>
    <s v="Central"/>
    <n v="903.74"/>
    <n v="375.61"/>
    <n v="5"/>
    <n v="2"/>
    <s v="September"/>
    <n v="2024"/>
    <x v="1"/>
    <x v="1"/>
  </r>
  <r>
    <d v="2023-07-04T00:00:00"/>
    <s v="ORD-000334"/>
    <x v="3"/>
    <x v="15"/>
    <n v="2523.65"/>
    <s v="North"/>
    <n v="2599.36"/>
    <n v="75.709999999999994"/>
    <n v="23"/>
    <n v="1"/>
    <s v="July"/>
    <n v="2023"/>
    <x v="0"/>
    <x v="2"/>
  </r>
  <r>
    <d v="2024-01-07T00:00:00"/>
    <s v="ORD-000335"/>
    <x v="5"/>
    <x v="18"/>
    <n v="2639.59"/>
    <s v="South"/>
    <n v="4524.9399999999996"/>
    <n v="1885.35"/>
    <n v="25"/>
    <n v="3"/>
    <s v="January"/>
    <n v="2024"/>
    <x v="0"/>
    <x v="2"/>
  </r>
  <r>
    <d v="2024-04-04T00:00:00"/>
    <s v="ORD-000336"/>
    <x v="1"/>
    <x v="19"/>
    <n v="7996.47"/>
    <s v="South"/>
    <n v="9926.8799999999992"/>
    <n v="1930.41"/>
    <n v="20"/>
    <n v="8"/>
    <s v="April"/>
    <n v="2024"/>
    <x v="0"/>
    <x v="0"/>
  </r>
  <r>
    <d v="2025-10-15T00:00:00"/>
    <s v="ORD-000337"/>
    <x v="1"/>
    <x v="29"/>
    <n v="6710.14"/>
    <s v="North"/>
    <n v="9911.84"/>
    <n v="3201.7"/>
    <n v="0"/>
    <n v="1"/>
    <s v="October"/>
    <n v="2025"/>
    <x v="2"/>
    <x v="1"/>
  </r>
  <r>
    <d v="2023-03-25T00:00:00"/>
    <s v="ORD-000338"/>
    <x v="0"/>
    <x v="21"/>
    <n v="254.65"/>
    <s v="South"/>
    <n v="451.98"/>
    <n v="197.33"/>
    <n v="15"/>
    <n v="2"/>
    <s v="March"/>
    <n v="2023"/>
    <x v="0"/>
    <x v="0"/>
  </r>
  <r>
    <d v="2025-06-12T00:00:00"/>
    <s v="ORD-000339"/>
    <x v="3"/>
    <x v="37"/>
    <n v="1290.47"/>
    <s v="South"/>
    <n v="1903.64"/>
    <n v="613.16999999999996"/>
    <n v="0"/>
    <n v="1"/>
    <s v="June"/>
    <n v="2025"/>
    <x v="2"/>
    <x v="1"/>
  </r>
  <r>
    <d v="2025-12-15T00:00:00"/>
    <s v="ORD-000340"/>
    <x v="4"/>
    <x v="40"/>
    <n v="6097.6"/>
    <s v="North"/>
    <n v="9013.15"/>
    <n v="2915.55"/>
    <n v="0"/>
    <n v="2"/>
    <s v="December"/>
    <n v="2025"/>
    <x v="2"/>
    <x v="1"/>
  </r>
  <r>
    <d v="2023-12-29T00:00:00"/>
    <s v="ORD-000341"/>
    <x v="5"/>
    <x v="18"/>
    <n v="640.09"/>
    <s v="North"/>
    <n v="1095.45"/>
    <n v="455.36"/>
    <n v="5"/>
    <n v="2"/>
    <s v="December"/>
    <n v="2023"/>
    <x v="1"/>
    <x v="1"/>
  </r>
  <r>
    <d v="2024-10-07T00:00:00"/>
    <s v="ORD-000342"/>
    <x v="3"/>
    <x v="32"/>
    <n v="6634.58"/>
    <s v="West"/>
    <n v="9454.86"/>
    <n v="2820.28"/>
    <n v="5"/>
    <n v="4"/>
    <s v="October"/>
    <n v="2024"/>
    <x v="1"/>
    <x v="1"/>
  </r>
  <r>
    <d v="2023-07-21T00:00:00"/>
    <s v="ORD-000343"/>
    <x v="3"/>
    <x v="37"/>
    <n v="3332.43"/>
    <s v="South"/>
    <n v="3432.4"/>
    <n v="99.97"/>
    <n v="20"/>
    <n v="1"/>
    <s v="July"/>
    <n v="2023"/>
    <x v="0"/>
    <x v="0"/>
  </r>
  <r>
    <d v="2025-04-23T00:00:00"/>
    <s v="ORD-000344"/>
    <x v="3"/>
    <x v="15"/>
    <n v="28402.03"/>
    <s v="South"/>
    <n v="28432"/>
    <n v="29.97"/>
    <n v="15"/>
    <n v="4"/>
    <s v="April"/>
    <n v="2025"/>
    <x v="0"/>
    <x v="0"/>
  </r>
  <r>
    <d v="2023-10-09T00:00:00"/>
    <s v="ORD-000345"/>
    <x v="5"/>
    <x v="36"/>
    <n v="360"/>
    <s v="West"/>
    <n v="596.08000000000004"/>
    <n v="236.08"/>
    <n v="0"/>
    <n v="1"/>
    <s v="October"/>
    <n v="2023"/>
    <x v="2"/>
    <x v="1"/>
  </r>
  <r>
    <d v="2025-04-06T00:00:00"/>
    <s v="ORD-000346"/>
    <x v="4"/>
    <x v="30"/>
    <n v="6238.79"/>
    <s v="West"/>
    <n v="7065.45"/>
    <n v="826.66"/>
    <n v="15"/>
    <n v="1"/>
    <s v="April"/>
    <n v="2025"/>
    <x v="0"/>
    <x v="0"/>
  </r>
  <r>
    <d v="2025-01-29T00:00:00"/>
    <s v="ORD-000347"/>
    <x v="4"/>
    <x v="30"/>
    <n v="8376.56"/>
    <s v="South"/>
    <n v="10205.76"/>
    <n v="1829.2"/>
    <n v="5"/>
    <n v="5"/>
    <s v="January"/>
    <n v="2025"/>
    <x v="1"/>
    <x v="1"/>
  </r>
  <r>
    <d v="2023-01-23T00:00:00"/>
    <s v="ORD-000348"/>
    <x v="1"/>
    <x v="5"/>
    <n v="4111.7"/>
    <s v="West"/>
    <n v="4681.75"/>
    <n v="570.04999999999995"/>
    <n v="10"/>
    <n v="4"/>
    <s v="January"/>
    <n v="2023"/>
    <x v="1"/>
    <x v="1"/>
  </r>
  <r>
    <d v="2023-09-19T00:00:00"/>
    <s v="ORD-000349"/>
    <x v="1"/>
    <x v="29"/>
    <n v="11388.21"/>
    <s v="East"/>
    <n v="15641.63"/>
    <n v="4253.42"/>
    <n v="10"/>
    <n v="2"/>
    <s v="September"/>
    <n v="2023"/>
    <x v="1"/>
    <x v="1"/>
  </r>
  <r>
    <d v="2025-12-19T00:00:00"/>
    <s v="ORD-000350"/>
    <x v="5"/>
    <x v="36"/>
    <n v="643.29"/>
    <s v="West"/>
    <n v="912.79"/>
    <n v="269.5"/>
    <n v="10"/>
    <n v="1"/>
    <s v="December"/>
    <n v="2025"/>
    <x v="1"/>
    <x v="1"/>
  </r>
  <r>
    <d v="2025-06-07T00:00:00"/>
    <s v="ORD-000351"/>
    <x v="0"/>
    <x v="21"/>
    <n v="3433.89"/>
    <s v="West"/>
    <n v="8277.9699999999993"/>
    <n v="4844.08"/>
    <n v="0"/>
    <n v="5"/>
    <s v="June"/>
    <n v="2025"/>
    <x v="2"/>
    <x v="1"/>
  </r>
  <r>
    <d v="2025-06-24T00:00:00"/>
    <s v="ORD-000352"/>
    <x v="4"/>
    <x v="30"/>
    <n v="28467.79"/>
    <s v="South"/>
    <n v="37272.910000000003"/>
    <n v="8805.1200000000008"/>
    <n v="5"/>
    <n v="6"/>
    <s v="June"/>
    <n v="2025"/>
    <x v="1"/>
    <x v="1"/>
  </r>
  <r>
    <d v="2025-01-20T00:00:00"/>
    <s v="ORD-000353"/>
    <x v="4"/>
    <x v="7"/>
    <n v="9101.3799999999992"/>
    <s v="Central"/>
    <n v="12218.92"/>
    <n v="3117.54"/>
    <n v="0"/>
    <n v="5"/>
    <s v="January"/>
    <n v="2025"/>
    <x v="2"/>
    <x v="1"/>
  </r>
  <r>
    <d v="2025-10-22T00:00:00"/>
    <s v="ORD-000354"/>
    <x v="1"/>
    <x v="24"/>
    <n v="5752.68"/>
    <s v="West"/>
    <n v="5765.58"/>
    <n v="12.9"/>
    <n v="19"/>
    <n v="2"/>
    <s v="October"/>
    <n v="2025"/>
    <x v="0"/>
    <x v="0"/>
  </r>
  <r>
    <d v="2023-10-28T00:00:00"/>
    <s v="ORD-000355"/>
    <x v="5"/>
    <x v="18"/>
    <n v="17156.05"/>
    <s v="West"/>
    <n v="20427.349999999999"/>
    <n v="3271.3"/>
    <n v="25"/>
    <n v="6"/>
    <s v="October"/>
    <n v="2023"/>
    <x v="0"/>
    <x v="2"/>
  </r>
  <r>
    <d v="2024-05-05T00:00:00"/>
    <s v="ORD-000356"/>
    <x v="1"/>
    <x v="19"/>
    <n v="4745.3999999999996"/>
    <s v="East"/>
    <n v="5464.35"/>
    <n v="718.95"/>
    <n v="10"/>
    <n v="3"/>
    <s v="May"/>
    <n v="2024"/>
    <x v="1"/>
    <x v="1"/>
  </r>
  <r>
    <d v="2024-01-04T00:00:00"/>
    <s v="ORD-000357"/>
    <x v="4"/>
    <x v="7"/>
    <n v="14375.21"/>
    <s v="West"/>
    <n v="14376.28"/>
    <n v="1.07"/>
    <n v="24"/>
    <n v="2"/>
    <s v="January"/>
    <n v="2024"/>
    <x v="0"/>
    <x v="2"/>
  </r>
  <r>
    <d v="2023-05-18T00:00:00"/>
    <s v="ORD-000358"/>
    <x v="1"/>
    <x v="24"/>
    <n v="9178.1"/>
    <s v="North"/>
    <n v="10061.99"/>
    <n v="883.89"/>
    <n v="15"/>
    <n v="1"/>
    <s v="May"/>
    <n v="2023"/>
    <x v="0"/>
    <x v="0"/>
  </r>
  <r>
    <d v="2025-09-10T00:00:00"/>
    <s v="ORD-000359"/>
    <x v="0"/>
    <x v="4"/>
    <n v="908.67"/>
    <s v="North"/>
    <n v="2080.5"/>
    <n v="1171.83"/>
    <n v="0"/>
    <n v="1"/>
    <s v="September"/>
    <n v="2025"/>
    <x v="2"/>
    <x v="1"/>
  </r>
  <r>
    <d v="2023-05-06T00:00:00"/>
    <s v="ORD-000360"/>
    <x v="5"/>
    <x v="20"/>
    <n v="6992.93"/>
    <s v="East"/>
    <n v="10549.49"/>
    <n v="3556.56"/>
    <n v="0"/>
    <n v="3"/>
    <s v="May"/>
    <n v="2023"/>
    <x v="2"/>
    <x v="1"/>
  </r>
  <r>
    <d v="2025-02-21T00:00:00"/>
    <s v="ORD-000361"/>
    <x v="3"/>
    <x v="15"/>
    <n v="10116.81"/>
    <s v="South"/>
    <n v="11177.34"/>
    <n v="1060.53"/>
    <n v="25"/>
    <n v="1"/>
    <s v="February"/>
    <n v="2025"/>
    <x v="0"/>
    <x v="2"/>
  </r>
  <r>
    <d v="2023-03-29T00:00:00"/>
    <s v="ORD-000362"/>
    <x v="1"/>
    <x v="24"/>
    <n v="21682.81"/>
    <s v="North"/>
    <n v="26552.59"/>
    <n v="4869.78"/>
    <n v="15"/>
    <n v="4"/>
    <s v="March"/>
    <n v="2023"/>
    <x v="0"/>
    <x v="0"/>
  </r>
  <r>
    <d v="2023-03-27T00:00:00"/>
    <s v="ORD-000363"/>
    <x v="3"/>
    <x v="37"/>
    <n v="2508.9499999999998"/>
    <s v="Central"/>
    <n v="2754.46"/>
    <n v="245.51"/>
    <n v="20"/>
    <n v="2"/>
    <s v="March"/>
    <n v="2023"/>
    <x v="0"/>
    <x v="0"/>
  </r>
  <r>
    <d v="2023-10-08T00:00:00"/>
    <s v="ORD-000364"/>
    <x v="0"/>
    <x v="41"/>
    <n v="5525.01"/>
    <s v="South"/>
    <n v="10928.8"/>
    <n v="5403.79"/>
    <n v="0"/>
    <n v="4"/>
    <s v="October"/>
    <n v="2023"/>
    <x v="2"/>
    <x v="1"/>
  </r>
  <r>
    <d v="2025-10-15T00:00:00"/>
    <s v="ORD-000365"/>
    <x v="2"/>
    <x v="31"/>
    <n v="1175.76"/>
    <s v="South"/>
    <n v="2088.17"/>
    <n v="912.41"/>
    <n v="10"/>
    <n v="3"/>
    <s v="October"/>
    <n v="2025"/>
    <x v="1"/>
    <x v="1"/>
  </r>
  <r>
    <d v="2025-07-09T00:00:00"/>
    <s v="ORD-000366"/>
    <x v="4"/>
    <x v="26"/>
    <n v="1717.12"/>
    <s v="North"/>
    <n v="2364.88"/>
    <n v="647.76"/>
    <n v="20"/>
    <n v="1"/>
    <s v="July"/>
    <n v="2025"/>
    <x v="0"/>
    <x v="0"/>
  </r>
  <r>
    <d v="2025-11-05T00:00:00"/>
    <s v="ORD-000367"/>
    <x v="3"/>
    <x v="12"/>
    <n v="13722.47"/>
    <s v="South"/>
    <n v="17044.72"/>
    <n v="3322.25"/>
    <n v="10"/>
    <n v="3"/>
    <s v="November"/>
    <n v="2025"/>
    <x v="1"/>
    <x v="1"/>
  </r>
  <r>
    <d v="2024-10-14T00:00:00"/>
    <s v="ORD-000368"/>
    <x v="0"/>
    <x v="21"/>
    <n v="4586.04"/>
    <s v="East"/>
    <n v="5478.38"/>
    <n v="892.34"/>
    <n v="30"/>
    <n v="2"/>
    <s v="October"/>
    <n v="2024"/>
    <x v="0"/>
    <x v="2"/>
  </r>
  <r>
    <d v="2024-11-26T00:00:00"/>
    <s v="ORD-000369"/>
    <x v="4"/>
    <x v="26"/>
    <n v="28181.040000000001"/>
    <s v="North"/>
    <n v="33550.050000000003"/>
    <n v="5369.01"/>
    <n v="10"/>
    <n v="2"/>
    <s v="November"/>
    <n v="2024"/>
    <x v="1"/>
    <x v="1"/>
  </r>
  <r>
    <d v="2024-03-11T00:00:00"/>
    <s v="ORD-000370"/>
    <x v="3"/>
    <x v="15"/>
    <n v="9249.49"/>
    <s v="West"/>
    <n v="9526.9699999999993"/>
    <n v="277.48"/>
    <n v="17"/>
    <n v="2"/>
    <s v="March"/>
    <n v="2024"/>
    <x v="0"/>
    <x v="0"/>
  </r>
  <r>
    <d v="2023-09-05T00:00:00"/>
    <s v="ORD-000371"/>
    <x v="5"/>
    <x v="33"/>
    <n v="776.18"/>
    <s v="North"/>
    <n v="1802.19"/>
    <n v="1026.01"/>
    <n v="5"/>
    <n v="2"/>
    <s v="September"/>
    <n v="2023"/>
    <x v="1"/>
    <x v="1"/>
  </r>
  <r>
    <d v="2024-08-28T00:00:00"/>
    <s v="ORD-000372"/>
    <x v="4"/>
    <x v="7"/>
    <n v="21210.55"/>
    <s v="Central"/>
    <n v="23230.080000000002"/>
    <n v="2019.53"/>
    <n v="15"/>
    <n v="3"/>
    <s v="August"/>
    <n v="2024"/>
    <x v="0"/>
    <x v="0"/>
  </r>
  <r>
    <d v="2025-10-23T00:00:00"/>
    <s v="ORD-000373"/>
    <x v="1"/>
    <x v="24"/>
    <n v="2169.63"/>
    <s v="South"/>
    <n v="2234.7199999999998"/>
    <n v="65.09"/>
    <n v="21"/>
    <n v="2"/>
    <s v="October"/>
    <n v="2025"/>
    <x v="0"/>
    <x v="2"/>
  </r>
  <r>
    <d v="2025-12-21T00:00:00"/>
    <s v="ORD-000374"/>
    <x v="2"/>
    <x v="13"/>
    <n v="124.68"/>
    <s v="South"/>
    <n v="189.48"/>
    <n v="64.8"/>
    <n v="0"/>
    <n v="1"/>
    <s v="December"/>
    <n v="2025"/>
    <x v="2"/>
    <x v="1"/>
  </r>
  <r>
    <d v="2024-08-13T00:00:00"/>
    <s v="ORD-000375"/>
    <x v="4"/>
    <x v="26"/>
    <n v="19426.48"/>
    <s v="North"/>
    <n v="22782.23"/>
    <n v="3355.75"/>
    <n v="30"/>
    <n v="2"/>
    <s v="August"/>
    <n v="2024"/>
    <x v="0"/>
    <x v="2"/>
  </r>
  <r>
    <d v="2023-03-24T00:00:00"/>
    <s v="ORD-000376"/>
    <x v="1"/>
    <x v="29"/>
    <n v="4694.25"/>
    <s v="East"/>
    <n v="5361.21"/>
    <n v="666.96"/>
    <n v="10"/>
    <n v="2"/>
    <s v="March"/>
    <n v="2023"/>
    <x v="1"/>
    <x v="1"/>
  </r>
  <r>
    <d v="2024-03-22T00:00:00"/>
    <s v="ORD-000377"/>
    <x v="2"/>
    <x v="35"/>
    <n v="134.06"/>
    <s v="North"/>
    <n v="164.36"/>
    <n v="30.3"/>
    <n v="15"/>
    <n v="2"/>
    <s v="March"/>
    <n v="2024"/>
    <x v="0"/>
    <x v="0"/>
  </r>
  <r>
    <d v="2025-09-28T00:00:00"/>
    <s v="ORD-000378"/>
    <x v="4"/>
    <x v="7"/>
    <n v="2705.96"/>
    <s v="South"/>
    <n v="3582.95"/>
    <n v="876.99"/>
    <n v="20"/>
    <n v="2"/>
    <s v="September"/>
    <n v="2025"/>
    <x v="0"/>
    <x v="0"/>
  </r>
  <r>
    <d v="2025-11-14T00:00:00"/>
    <s v="ORD-000379"/>
    <x v="4"/>
    <x v="7"/>
    <n v="16307.14"/>
    <s v="North"/>
    <n v="23436.1"/>
    <n v="7128.96"/>
    <n v="5"/>
    <n v="8"/>
    <s v="November"/>
    <n v="2025"/>
    <x v="1"/>
    <x v="1"/>
  </r>
  <r>
    <d v="2023-04-24T00:00:00"/>
    <s v="ORD-000380"/>
    <x v="0"/>
    <x v="6"/>
    <n v="537.6"/>
    <s v="West"/>
    <n v="1078.8599999999999"/>
    <n v="541.26"/>
    <n v="10"/>
    <n v="2"/>
    <s v="April"/>
    <n v="2023"/>
    <x v="1"/>
    <x v="1"/>
  </r>
  <r>
    <d v="2025-12-12T00:00:00"/>
    <s v="ORD-000381"/>
    <x v="3"/>
    <x v="32"/>
    <n v="7498.16"/>
    <s v="East"/>
    <n v="7723.1"/>
    <n v="224.94"/>
    <n v="15"/>
    <n v="5"/>
    <s v="December"/>
    <n v="2025"/>
    <x v="0"/>
    <x v="0"/>
  </r>
  <r>
    <d v="2023-11-25T00:00:00"/>
    <s v="ORD-000382"/>
    <x v="3"/>
    <x v="37"/>
    <n v="861.01"/>
    <s v="East"/>
    <n v="1172.72"/>
    <n v="311.70999999999998"/>
    <n v="10"/>
    <n v="1"/>
    <s v="November"/>
    <n v="2023"/>
    <x v="1"/>
    <x v="1"/>
  </r>
  <r>
    <d v="2025-03-04T00:00:00"/>
    <s v="ORD-000383"/>
    <x v="2"/>
    <x v="10"/>
    <n v="640.99"/>
    <s v="Central"/>
    <n v="875.61"/>
    <n v="234.62"/>
    <n v="5"/>
    <n v="10"/>
    <s v="March"/>
    <n v="2025"/>
    <x v="1"/>
    <x v="1"/>
  </r>
  <r>
    <d v="2024-12-14T00:00:00"/>
    <s v="ORD-000384"/>
    <x v="2"/>
    <x v="31"/>
    <n v="134.69999999999999"/>
    <s v="West"/>
    <n v="199.03"/>
    <n v="64.33"/>
    <n v="5"/>
    <n v="2"/>
    <s v="December"/>
    <n v="2024"/>
    <x v="1"/>
    <x v="1"/>
  </r>
  <r>
    <d v="2023-12-22T00:00:00"/>
    <s v="ORD-000385"/>
    <x v="3"/>
    <x v="15"/>
    <n v="9906.0499999999993"/>
    <s v="South"/>
    <n v="9947.4599999999991"/>
    <n v="41.41"/>
    <n v="15"/>
    <n v="4"/>
    <s v="December"/>
    <n v="2023"/>
    <x v="0"/>
    <x v="0"/>
  </r>
  <r>
    <d v="2023-02-14T00:00:00"/>
    <s v="ORD-000386"/>
    <x v="0"/>
    <x v="41"/>
    <n v="297.77999999999997"/>
    <s v="South"/>
    <n v="479.25"/>
    <n v="181.47"/>
    <n v="5"/>
    <n v="1"/>
    <s v="February"/>
    <n v="2023"/>
    <x v="1"/>
    <x v="1"/>
  </r>
  <r>
    <d v="2023-12-25T00:00:00"/>
    <s v="ORD-000387"/>
    <x v="0"/>
    <x v="21"/>
    <n v="677.98"/>
    <s v="North"/>
    <n v="1196.77"/>
    <n v="518.79"/>
    <n v="0"/>
    <n v="4"/>
    <s v="December"/>
    <n v="2023"/>
    <x v="2"/>
    <x v="1"/>
  </r>
  <r>
    <d v="2025-08-24T00:00:00"/>
    <s v="ORD-000388"/>
    <x v="3"/>
    <x v="34"/>
    <n v="8121.9"/>
    <s v="Central"/>
    <n v="8126.8"/>
    <n v="4.9000000000000004"/>
    <n v="23"/>
    <n v="3"/>
    <s v="August"/>
    <n v="2025"/>
    <x v="0"/>
    <x v="2"/>
  </r>
  <r>
    <d v="2024-09-13T00:00:00"/>
    <s v="ORD-000389"/>
    <x v="3"/>
    <x v="32"/>
    <n v="45779.01"/>
    <s v="South"/>
    <n v="46601.919999999998"/>
    <n v="822.91"/>
    <n v="15"/>
    <n v="3"/>
    <s v="September"/>
    <n v="2024"/>
    <x v="0"/>
    <x v="0"/>
  </r>
  <r>
    <d v="2025-07-07T00:00:00"/>
    <s v="ORD-000390"/>
    <x v="5"/>
    <x v="14"/>
    <n v="4076.69"/>
    <s v="West"/>
    <n v="6165.85"/>
    <n v="2089.16"/>
    <n v="15"/>
    <n v="2"/>
    <s v="July"/>
    <n v="2025"/>
    <x v="0"/>
    <x v="0"/>
  </r>
  <r>
    <d v="2024-07-09T00:00:00"/>
    <s v="ORD-000391"/>
    <x v="1"/>
    <x v="24"/>
    <n v="4359.26"/>
    <s v="North"/>
    <n v="4428.4399999999996"/>
    <n v="69.180000000000007"/>
    <n v="25"/>
    <n v="1"/>
    <s v="July"/>
    <n v="2024"/>
    <x v="0"/>
    <x v="2"/>
  </r>
  <r>
    <d v="2024-01-02T00:00:00"/>
    <s v="ORD-000392"/>
    <x v="4"/>
    <x v="42"/>
    <n v="12621.28"/>
    <s v="South"/>
    <n v="14880.87"/>
    <n v="2259.59"/>
    <n v="10"/>
    <n v="6"/>
    <s v="January"/>
    <n v="2024"/>
    <x v="1"/>
    <x v="1"/>
  </r>
  <r>
    <d v="2023-06-07T00:00:00"/>
    <s v="ORD-000393"/>
    <x v="5"/>
    <x v="18"/>
    <n v="4315.01"/>
    <s v="Central"/>
    <n v="7731.84"/>
    <n v="3416.83"/>
    <n v="5"/>
    <n v="2"/>
    <s v="June"/>
    <n v="2023"/>
    <x v="1"/>
    <x v="1"/>
  </r>
  <r>
    <d v="2023-02-15T00:00:00"/>
    <s v="ORD-000394"/>
    <x v="3"/>
    <x v="34"/>
    <n v="12282.65"/>
    <s v="Central"/>
    <n v="12322.48"/>
    <n v="39.83"/>
    <n v="16"/>
    <n v="1"/>
    <s v="February"/>
    <n v="2023"/>
    <x v="0"/>
    <x v="0"/>
  </r>
  <r>
    <d v="2023-02-04T00:00:00"/>
    <s v="ORD-000395"/>
    <x v="2"/>
    <x v="2"/>
    <n v="386.88"/>
    <s v="South"/>
    <n v="631"/>
    <n v="244.12"/>
    <n v="10"/>
    <n v="2"/>
    <s v="February"/>
    <n v="2023"/>
    <x v="1"/>
    <x v="1"/>
  </r>
  <r>
    <d v="2025-12-21T00:00:00"/>
    <s v="ORD-000396"/>
    <x v="2"/>
    <x v="31"/>
    <n v="4638.1400000000003"/>
    <s v="South"/>
    <n v="4770.08"/>
    <n v="131.94"/>
    <n v="30"/>
    <n v="6"/>
    <s v="December"/>
    <n v="2025"/>
    <x v="0"/>
    <x v="2"/>
  </r>
  <r>
    <d v="2024-05-21T00:00:00"/>
    <s v="ORD-000397"/>
    <x v="1"/>
    <x v="29"/>
    <n v="1043.51"/>
    <s v="West"/>
    <n v="1178.6600000000001"/>
    <n v="135.15"/>
    <n v="10"/>
    <n v="1"/>
    <s v="May"/>
    <n v="2024"/>
    <x v="1"/>
    <x v="1"/>
  </r>
  <r>
    <d v="2024-01-05T00:00:00"/>
    <s v="ORD-000398"/>
    <x v="3"/>
    <x v="12"/>
    <n v="17853.939999999999"/>
    <s v="South"/>
    <n v="21957.8"/>
    <n v="4103.8599999999997"/>
    <n v="5"/>
    <n v="1"/>
    <s v="January"/>
    <n v="2024"/>
    <x v="1"/>
    <x v="1"/>
  </r>
  <r>
    <d v="2023-04-25T00:00:00"/>
    <s v="ORD-000399"/>
    <x v="1"/>
    <x v="9"/>
    <n v="38390.519999999997"/>
    <s v="East"/>
    <n v="47512.24"/>
    <n v="9121.7199999999993"/>
    <n v="0"/>
    <n v="8"/>
    <s v="April"/>
    <n v="2023"/>
    <x v="2"/>
    <x v="1"/>
  </r>
  <r>
    <d v="2023-01-23T00:00:00"/>
    <s v="ORD-000400"/>
    <x v="4"/>
    <x v="26"/>
    <n v="59918.58"/>
    <s v="North"/>
    <n v="84695.78"/>
    <n v="24777.200000000001"/>
    <n v="5"/>
    <n v="6"/>
    <s v="January"/>
    <n v="2023"/>
    <x v="1"/>
    <x v="1"/>
  </r>
  <r>
    <d v="2024-12-26T00:00:00"/>
    <s v="ORD-000401"/>
    <x v="2"/>
    <x v="10"/>
    <n v="2021.77"/>
    <s v="North"/>
    <n v="3784.56"/>
    <n v="1762.79"/>
    <n v="0"/>
    <n v="3"/>
    <s v="December"/>
    <n v="2024"/>
    <x v="2"/>
    <x v="1"/>
  </r>
  <r>
    <d v="2025-03-28T00:00:00"/>
    <s v="ORD-000402"/>
    <x v="2"/>
    <x v="38"/>
    <n v="1253.32"/>
    <s v="West"/>
    <n v="2441.33"/>
    <n v="1188.01"/>
    <n v="10"/>
    <n v="8"/>
    <s v="March"/>
    <n v="2025"/>
    <x v="1"/>
    <x v="1"/>
  </r>
  <r>
    <d v="2024-02-04T00:00:00"/>
    <s v="ORD-000403"/>
    <x v="5"/>
    <x v="20"/>
    <n v="541.13"/>
    <s v="South"/>
    <n v="1070.22"/>
    <n v="529.09"/>
    <n v="10"/>
    <n v="2"/>
    <s v="February"/>
    <n v="2024"/>
    <x v="1"/>
    <x v="1"/>
  </r>
  <r>
    <d v="2024-09-11T00:00:00"/>
    <s v="ORD-000404"/>
    <x v="3"/>
    <x v="28"/>
    <n v="1999.24"/>
    <s v="North"/>
    <n v="2623.33"/>
    <n v="624.09"/>
    <n v="10"/>
    <n v="1"/>
    <s v="September"/>
    <n v="2024"/>
    <x v="1"/>
    <x v="1"/>
  </r>
  <r>
    <d v="2024-03-31T00:00:00"/>
    <s v="ORD-000405"/>
    <x v="2"/>
    <x v="31"/>
    <n v="1638.72"/>
    <s v="South"/>
    <n v="3268.55"/>
    <n v="1629.83"/>
    <n v="0"/>
    <n v="2"/>
    <s v="March"/>
    <n v="2024"/>
    <x v="2"/>
    <x v="1"/>
  </r>
  <r>
    <d v="2023-03-23T00:00:00"/>
    <s v="ORD-000406"/>
    <x v="0"/>
    <x v="4"/>
    <n v="858.29"/>
    <s v="West"/>
    <n v="1882.59"/>
    <n v="1024.3"/>
    <n v="10"/>
    <n v="1"/>
    <s v="March"/>
    <n v="2023"/>
    <x v="1"/>
    <x v="1"/>
  </r>
  <r>
    <d v="2025-01-06T00:00:00"/>
    <s v="ORD-000407"/>
    <x v="2"/>
    <x v="31"/>
    <n v="59.22"/>
    <s v="South"/>
    <n v="78.62"/>
    <n v="19.399999999999999"/>
    <n v="20"/>
    <n v="1"/>
    <s v="January"/>
    <n v="2025"/>
    <x v="0"/>
    <x v="0"/>
  </r>
  <r>
    <d v="2023-03-26T00:00:00"/>
    <s v="ORD-000408"/>
    <x v="0"/>
    <x v="41"/>
    <n v="13190.54"/>
    <s v="East"/>
    <n v="33469.35"/>
    <n v="20278.810000000001"/>
    <n v="0"/>
    <n v="10"/>
    <s v="March"/>
    <n v="2023"/>
    <x v="2"/>
    <x v="1"/>
  </r>
  <r>
    <d v="2024-01-29T00:00:00"/>
    <s v="ORD-000409"/>
    <x v="0"/>
    <x v="41"/>
    <n v="408.71"/>
    <s v="North"/>
    <n v="899.18"/>
    <n v="490.47"/>
    <n v="10"/>
    <n v="1"/>
    <s v="January"/>
    <n v="2024"/>
    <x v="1"/>
    <x v="1"/>
  </r>
  <r>
    <d v="2024-06-27T00:00:00"/>
    <s v="ORD-000410"/>
    <x v="1"/>
    <x v="23"/>
    <n v="3663.07"/>
    <s v="North"/>
    <n v="4726.9399999999996"/>
    <n v="1063.8699999999999"/>
    <n v="10"/>
    <n v="1"/>
    <s v="June"/>
    <n v="2024"/>
    <x v="1"/>
    <x v="1"/>
  </r>
  <r>
    <d v="2024-04-24T00:00:00"/>
    <s v="ORD-000411"/>
    <x v="0"/>
    <x v="4"/>
    <n v="1779.86"/>
    <s v="West"/>
    <n v="3078.91"/>
    <n v="1299.05"/>
    <n v="10"/>
    <n v="1"/>
    <s v="April"/>
    <n v="2024"/>
    <x v="1"/>
    <x v="1"/>
  </r>
  <r>
    <d v="2024-07-16T00:00:00"/>
    <s v="ORD-000412"/>
    <x v="5"/>
    <x v="14"/>
    <n v="6239.28"/>
    <s v="East"/>
    <n v="9771.4699999999993"/>
    <n v="3532.19"/>
    <n v="15"/>
    <n v="10"/>
    <s v="July"/>
    <n v="2024"/>
    <x v="0"/>
    <x v="0"/>
  </r>
  <r>
    <d v="2025-08-15T00:00:00"/>
    <s v="ORD-000413"/>
    <x v="0"/>
    <x v="0"/>
    <n v="1594.54"/>
    <s v="South"/>
    <n v="2693.47"/>
    <n v="1098.93"/>
    <n v="5"/>
    <n v="1"/>
    <s v="August"/>
    <n v="2025"/>
    <x v="1"/>
    <x v="1"/>
  </r>
  <r>
    <d v="2025-09-18T00:00:00"/>
    <s v="ORD-000414"/>
    <x v="3"/>
    <x v="22"/>
    <n v="16243.4"/>
    <s v="South"/>
    <n v="19036.939999999999"/>
    <n v="2793.54"/>
    <n v="0"/>
    <n v="4"/>
    <s v="September"/>
    <n v="2025"/>
    <x v="2"/>
    <x v="1"/>
  </r>
  <r>
    <d v="2025-06-27T00:00:00"/>
    <s v="ORD-000415"/>
    <x v="3"/>
    <x v="15"/>
    <n v="2028.87"/>
    <s v="Central"/>
    <n v="2648.08"/>
    <n v="619.21"/>
    <n v="0"/>
    <n v="2"/>
    <s v="June"/>
    <n v="2025"/>
    <x v="2"/>
    <x v="1"/>
  </r>
  <r>
    <d v="2024-10-18T00:00:00"/>
    <s v="ORD-000416"/>
    <x v="1"/>
    <x v="19"/>
    <n v="7172.94"/>
    <s v="North"/>
    <n v="8941.17"/>
    <n v="1768.23"/>
    <n v="0"/>
    <n v="1"/>
    <s v="October"/>
    <n v="2024"/>
    <x v="2"/>
    <x v="1"/>
  </r>
  <r>
    <d v="2023-05-08T00:00:00"/>
    <s v="ORD-000417"/>
    <x v="2"/>
    <x v="35"/>
    <n v="935.94"/>
    <s v="East"/>
    <n v="1374.81"/>
    <n v="438.87"/>
    <n v="5"/>
    <n v="1"/>
    <s v="May"/>
    <n v="2023"/>
    <x v="1"/>
    <x v="1"/>
  </r>
  <r>
    <d v="2024-08-17T00:00:00"/>
    <s v="ORD-000418"/>
    <x v="0"/>
    <x v="4"/>
    <n v="434.56"/>
    <s v="West"/>
    <n v="597.52"/>
    <n v="162.96"/>
    <n v="15"/>
    <n v="1"/>
    <s v="August"/>
    <n v="2024"/>
    <x v="0"/>
    <x v="0"/>
  </r>
  <r>
    <d v="2024-07-09T00:00:00"/>
    <s v="ORD-000419"/>
    <x v="4"/>
    <x v="30"/>
    <n v="12885.54"/>
    <s v="West"/>
    <n v="18488.72"/>
    <n v="5603.18"/>
    <n v="10"/>
    <n v="3"/>
    <s v="July"/>
    <n v="2024"/>
    <x v="1"/>
    <x v="1"/>
  </r>
  <r>
    <d v="2024-11-18T00:00:00"/>
    <s v="ORD-000420"/>
    <x v="1"/>
    <x v="23"/>
    <n v="5612.45"/>
    <s v="West"/>
    <n v="6557.02"/>
    <n v="944.57"/>
    <n v="20"/>
    <n v="1"/>
    <s v="November"/>
    <n v="2024"/>
    <x v="0"/>
    <x v="0"/>
  </r>
  <r>
    <d v="2025-07-22T00:00:00"/>
    <s v="ORD-000421"/>
    <x v="2"/>
    <x v="10"/>
    <n v="1512.83"/>
    <s v="South"/>
    <n v="3346.88"/>
    <n v="1834.05"/>
    <n v="5"/>
    <n v="2"/>
    <s v="July"/>
    <n v="2025"/>
    <x v="1"/>
    <x v="1"/>
  </r>
  <r>
    <d v="2025-05-09T00:00:00"/>
    <s v="ORD-000422"/>
    <x v="3"/>
    <x v="3"/>
    <n v="21108.54"/>
    <s v="North"/>
    <n v="23466.63"/>
    <n v="2358.09"/>
    <n v="20"/>
    <n v="5"/>
    <s v="May"/>
    <n v="2025"/>
    <x v="0"/>
    <x v="0"/>
  </r>
  <r>
    <d v="2025-09-10T00:00:00"/>
    <s v="ORD-000423"/>
    <x v="4"/>
    <x v="42"/>
    <n v="4591.7299999999996"/>
    <s v="East"/>
    <n v="5676.39"/>
    <n v="1084.6600000000001"/>
    <n v="5"/>
    <n v="1"/>
    <s v="September"/>
    <n v="2025"/>
    <x v="1"/>
    <x v="1"/>
  </r>
  <r>
    <d v="2025-04-21T00:00:00"/>
    <s v="ORD-000424"/>
    <x v="1"/>
    <x v="9"/>
    <n v="4930.93"/>
    <s v="South"/>
    <n v="5342.77"/>
    <n v="411.84"/>
    <n v="20"/>
    <n v="5"/>
    <s v="April"/>
    <n v="2025"/>
    <x v="0"/>
    <x v="0"/>
  </r>
  <r>
    <d v="2023-03-17T00:00:00"/>
    <s v="ORD-000425"/>
    <x v="1"/>
    <x v="24"/>
    <n v="47062.6"/>
    <s v="South"/>
    <n v="58091.18"/>
    <n v="11028.58"/>
    <n v="10"/>
    <n v="4"/>
    <s v="March"/>
    <n v="2023"/>
    <x v="1"/>
    <x v="1"/>
  </r>
  <r>
    <d v="2023-11-23T00:00:00"/>
    <s v="ORD-000426"/>
    <x v="3"/>
    <x v="15"/>
    <n v="150983.82999999999"/>
    <s v="North"/>
    <n v="151504.29999999999"/>
    <n v="520.47"/>
    <n v="15"/>
    <n v="6"/>
    <s v="November"/>
    <n v="2023"/>
    <x v="0"/>
    <x v="0"/>
  </r>
  <r>
    <d v="2025-02-01T00:00:00"/>
    <s v="ORD-000427"/>
    <x v="3"/>
    <x v="28"/>
    <n v="3214.66"/>
    <s v="North"/>
    <n v="3704.34"/>
    <n v="489.68"/>
    <n v="10"/>
    <n v="3"/>
    <s v="February"/>
    <n v="2025"/>
    <x v="1"/>
    <x v="1"/>
  </r>
  <r>
    <d v="2025-11-02T00:00:00"/>
    <s v="ORD-000428"/>
    <x v="4"/>
    <x v="30"/>
    <n v="7416.82"/>
    <s v="Central"/>
    <n v="9615.33"/>
    <n v="2198.5100000000002"/>
    <n v="15"/>
    <n v="3"/>
    <s v="November"/>
    <n v="2025"/>
    <x v="0"/>
    <x v="0"/>
  </r>
  <r>
    <d v="2024-12-25T00:00:00"/>
    <s v="ORD-000429"/>
    <x v="2"/>
    <x v="13"/>
    <n v="499.11"/>
    <s v="West"/>
    <n v="832.99"/>
    <n v="333.88"/>
    <n v="5"/>
    <n v="2"/>
    <s v="December"/>
    <n v="2024"/>
    <x v="1"/>
    <x v="1"/>
  </r>
  <r>
    <d v="2024-08-07T00:00:00"/>
    <s v="ORD-000430"/>
    <x v="2"/>
    <x v="25"/>
    <n v="695.43"/>
    <s v="Central"/>
    <n v="938.12"/>
    <n v="242.69"/>
    <n v="15"/>
    <n v="1"/>
    <s v="August"/>
    <n v="2024"/>
    <x v="0"/>
    <x v="0"/>
  </r>
  <r>
    <d v="2025-07-15T00:00:00"/>
    <s v="ORD-000431"/>
    <x v="1"/>
    <x v="1"/>
    <n v="11956.89"/>
    <s v="South"/>
    <n v="19199.68"/>
    <n v="7242.79"/>
    <n v="0"/>
    <n v="5"/>
    <s v="July"/>
    <n v="2025"/>
    <x v="2"/>
    <x v="1"/>
  </r>
  <r>
    <d v="2025-01-21T00:00:00"/>
    <s v="ORD-000432"/>
    <x v="4"/>
    <x v="42"/>
    <n v="8277.75"/>
    <s v="East"/>
    <n v="10842.68"/>
    <n v="2564.9299999999998"/>
    <n v="15"/>
    <n v="1"/>
    <s v="January"/>
    <n v="2025"/>
    <x v="0"/>
    <x v="0"/>
  </r>
  <r>
    <d v="2025-09-05T00:00:00"/>
    <s v="ORD-000433"/>
    <x v="5"/>
    <x v="16"/>
    <n v="253.16"/>
    <s v="West"/>
    <n v="451.05"/>
    <n v="197.89"/>
    <n v="0"/>
    <n v="1"/>
    <s v="September"/>
    <n v="2025"/>
    <x v="2"/>
    <x v="1"/>
  </r>
  <r>
    <d v="2025-04-04T00:00:00"/>
    <s v="ORD-000434"/>
    <x v="1"/>
    <x v="9"/>
    <n v="51070.48"/>
    <s v="South"/>
    <n v="82935.16"/>
    <n v="31864.68"/>
    <n v="0"/>
    <n v="6"/>
    <s v="April"/>
    <n v="2025"/>
    <x v="2"/>
    <x v="1"/>
  </r>
  <r>
    <d v="2023-10-28T00:00:00"/>
    <s v="ORD-000435"/>
    <x v="4"/>
    <x v="11"/>
    <n v="19133.900000000001"/>
    <s v="West"/>
    <n v="19609.71"/>
    <n v="475.81"/>
    <n v="25"/>
    <n v="1"/>
    <s v="October"/>
    <n v="2023"/>
    <x v="0"/>
    <x v="2"/>
  </r>
  <r>
    <d v="2024-06-17T00:00:00"/>
    <s v="ORD-000436"/>
    <x v="1"/>
    <x v="29"/>
    <n v="28408.04"/>
    <s v="South"/>
    <n v="34618.67"/>
    <n v="6210.63"/>
    <n v="10"/>
    <n v="4"/>
    <s v="June"/>
    <n v="2024"/>
    <x v="1"/>
    <x v="1"/>
  </r>
  <r>
    <d v="2024-08-12T00:00:00"/>
    <s v="ORD-000437"/>
    <x v="3"/>
    <x v="34"/>
    <n v="27097.47"/>
    <s v="South"/>
    <n v="30021.439999999999"/>
    <n v="2923.97"/>
    <n v="5"/>
    <n v="2"/>
    <s v="August"/>
    <n v="2024"/>
    <x v="1"/>
    <x v="1"/>
  </r>
  <r>
    <d v="2024-10-02T00:00:00"/>
    <s v="ORD-000438"/>
    <x v="2"/>
    <x v="25"/>
    <n v="2669.75"/>
    <s v="North"/>
    <n v="4104.67"/>
    <n v="1434.92"/>
    <n v="10"/>
    <n v="6"/>
    <s v="October"/>
    <n v="2024"/>
    <x v="1"/>
    <x v="1"/>
  </r>
  <r>
    <d v="2024-10-14T00:00:00"/>
    <s v="ORD-000439"/>
    <x v="3"/>
    <x v="34"/>
    <n v="13479.38"/>
    <s v="East"/>
    <n v="13883.76"/>
    <n v="404.38"/>
    <n v="22"/>
    <n v="3"/>
    <s v="October"/>
    <n v="2024"/>
    <x v="0"/>
    <x v="2"/>
  </r>
  <r>
    <d v="2024-01-04T00:00:00"/>
    <s v="ORD-000440"/>
    <x v="1"/>
    <x v="24"/>
    <n v="17400.759999999998"/>
    <s v="North"/>
    <n v="18750.86"/>
    <n v="1350.1"/>
    <n v="20"/>
    <n v="2"/>
    <s v="January"/>
    <n v="2024"/>
    <x v="0"/>
    <x v="0"/>
  </r>
  <r>
    <d v="2023-12-22T00:00:00"/>
    <s v="ORD-000441"/>
    <x v="3"/>
    <x v="3"/>
    <n v="8363.9500000000007"/>
    <s v="South"/>
    <n v="11081.92"/>
    <n v="2717.97"/>
    <n v="5"/>
    <n v="1"/>
    <s v="December"/>
    <n v="2023"/>
    <x v="1"/>
    <x v="1"/>
  </r>
  <r>
    <d v="2023-01-30T00:00:00"/>
    <s v="ORD-000442"/>
    <x v="0"/>
    <x v="4"/>
    <n v="1757"/>
    <s v="West"/>
    <n v="3348.99"/>
    <n v="1591.99"/>
    <n v="5"/>
    <n v="4"/>
    <s v="January"/>
    <n v="2023"/>
    <x v="1"/>
    <x v="1"/>
  </r>
  <r>
    <d v="2023-07-12T00:00:00"/>
    <s v="ORD-000443"/>
    <x v="2"/>
    <x v="10"/>
    <n v="832.41"/>
    <s v="South"/>
    <n v="1265.78"/>
    <n v="433.37"/>
    <n v="25"/>
    <n v="2"/>
    <s v="July"/>
    <n v="2023"/>
    <x v="0"/>
    <x v="2"/>
  </r>
  <r>
    <d v="2025-09-25T00:00:00"/>
    <s v="ORD-000444"/>
    <x v="4"/>
    <x v="42"/>
    <n v="16723.490000000002"/>
    <s v="South"/>
    <n v="18514.41"/>
    <n v="1790.92"/>
    <n v="15"/>
    <n v="5"/>
    <s v="September"/>
    <n v="2025"/>
    <x v="0"/>
    <x v="0"/>
  </r>
  <r>
    <d v="2024-02-01T00:00:00"/>
    <s v="ORD-000445"/>
    <x v="2"/>
    <x v="10"/>
    <n v="78.260000000000005"/>
    <s v="North"/>
    <n v="118.04"/>
    <n v="39.78"/>
    <n v="20"/>
    <n v="1"/>
    <s v="February"/>
    <n v="2024"/>
    <x v="0"/>
    <x v="0"/>
  </r>
  <r>
    <d v="2023-04-15T00:00:00"/>
    <s v="ORD-000446"/>
    <x v="1"/>
    <x v="23"/>
    <n v="7188.27"/>
    <s v="Central"/>
    <n v="8304.2999999999993"/>
    <n v="1116.03"/>
    <n v="10"/>
    <n v="3"/>
    <s v="April"/>
    <n v="2023"/>
    <x v="1"/>
    <x v="1"/>
  </r>
  <r>
    <d v="2023-08-25T00:00:00"/>
    <s v="ORD-000447"/>
    <x v="2"/>
    <x v="13"/>
    <n v="439.32"/>
    <s v="Central"/>
    <n v="630.45000000000005"/>
    <n v="191.13"/>
    <n v="10"/>
    <n v="3"/>
    <s v="August"/>
    <n v="2023"/>
    <x v="1"/>
    <x v="1"/>
  </r>
  <r>
    <d v="2023-11-23T00:00:00"/>
    <s v="ORD-000448"/>
    <x v="0"/>
    <x v="8"/>
    <n v="782.97"/>
    <s v="South"/>
    <n v="1557.95"/>
    <n v="774.98"/>
    <n v="10"/>
    <n v="1"/>
    <s v="November"/>
    <n v="2023"/>
    <x v="1"/>
    <x v="1"/>
  </r>
  <r>
    <d v="2024-05-13T00:00:00"/>
    <s v="ORD-000449"/>
    <x v="2"/>
    <x v="35"/>
    <n v="1217.6099999999999"/>
    <s v="West"/>
    <n v="1588.28"/>
    <n v="370.67"/>
    <n v="10"/>
    <n v="1"/>
    <s v="May"/>
    <n v="2024"/>
    <x v="1"/>
    <x v="1"/>
  </r>
  <r>
    <d v="2025-08-24T00:00:00"/>
    <s v="ORD-000450"/>
    <x v="4"/>
    <x v="11"/>
    <n v="3043.79"/>
    <s v="East"/>
    <n v="4026.92"/>
    <n v="983.13"/>
    <n v="10"/>
    <n v="1"/>
    <s v="August"/>
    <n v="2025"/>
    <x v="1"/>
    <x v="1"/>
  </r>
  <r>
    <d v="2023-04-27T00:00:00"/>
    <s v="ORD-000451"/>
    <x v="0"/>
    <x v="41"/>
    <n v="879.63"/>
    <s v="North"/>
    <n v="1887.7"/>
    <n v="1008.07"/>
    <n v="10"/>
    <n v="5"/>
    <s v="April"/>
    <n v="2023"/>
    <x v="1"/>
    <x v="1"/>
  </r>
  <r>
    <d v="2024-10-29T00:00:00"/>
    <s v="ORD-000452"/>
    <x v="1"/>
    <x v="19"/>
    <n v="1976.96"/>
    <s v="West"/>
    <n v="2307.7399999999998"/>
    <n v="330.78"/>
    <n v="15"/>
    <n v="1"/>
    <s v="October"/>
    <n v="2024"/>
    <x v="0"/>
    <x v="0"/>
  </r>
  <r>
    <d v="2023-03-20T00:00:00"/>
    <s v="ORD-000453"/>
    <x v="3"/>
    <x v="34"/>
    <n v="126486.35"/>
    <s v="West"/>
    <n v="166761.72"/>
    <n v="40275.370000000003"/>
    <n v="5"/>
    <n v="8"/>
    <s v="March"/>
    <n v="2023"/>
    <x v="1"/>
    <x v="1"/>
  </r>
  <r>
    <d v="2023-06-06T00:00:00"/>
    <s v="ORD-000454"/>
    <x v="5"/>
    <x v="27"/>
    <n v="6602.16"/>
    <s v="West"/>
    <n v="11086.68"/>
    <n v="4484.5200000000004"/>
    <n v="10"/>
    <n v="4"/>
    <s v="June"/>
    <n v="2023"/>
    <x v="1"/>
    <x v="1"/>
  </r>
  <r>
    <d v="2025-02-03T00:00:00"/>
    <s v="ORD-000455"/>
    <x v="3"/>
    <x v="3"/>
    <n v="6455.8"/>
    <s v="Central"/>
    <n v="6560.08"/>
    <n v="104.28"/>
    <n v="15"/>
    <n v="1"/>
    <s v="February"/>
    <n v="2025"/>
    <x v="0"/>
    <x v="0"/>
  </r>
  <r>
    <d v="2023-10-24T00:00:00"/>
    <s v="ORD-000456"/>
    <x v="4"/>
    <x v="39"/>
    <n v="28790.48"/>
    <s v="Central"/>
    <n v="45265.77"/>
    <n v="16475.29"/>
    <n v="0"/>
    <n v="4"/>
    <s v="October"/>
    <n v="2023"/>
    <x v="2"/>
    <x v="1"/>
  </r>
  <r>
    <d v="2024-06-06T00:00:00"/>
    <s v="ORD-000457"/>
    <x v="0"/>
    <x v="0"/>
    <n v="3482.42"/>
    <s v="Central"/>
    <n v="4383.1499999999996"/>
    <n v="900.73"/>
    <n v="30"/>
    <n v="2"/>
    <s v="June"/>
    <n v="2024"/>
    <x v="0"/>
    <x v="2"/>
  </r>
  <r>
    <d v="2025-09-07T00:00:00"/>
    <s v="ORD-000458"/>
    <x v="3"/>
    <x v="37"/>
    <n v="51818.85"/>
    <s v="North"/>
    <n v="55937.06"/>
    <n v="4118.21"/>
    <n v="10"/>
    <n v="2"/>
    <s v="September"/>
    <n v="2025"/>
    <x v="1"/>
    <x v="1"/>
  </r>
  <r>
    <d v="2023-01-24T00:00:00"/>
    <s v="ORD-000459"/>
    <x v="1"/>
    <x v="9"/>
    <n v="10735.51"/>
    <s v="North"/>
    <n v="14991.23"/>
    <n v="4255.72"/>
    <n v="5"/>
    <n v="10"/>
    <s v="January"/>
    <n v="2023"/>
    <x v="1"/>
    <x v="1"/>
  </r>
  <r>
    <d v="2025-08-24T00:00:00"/>
    <s v="ORD-000460"/>
    <x v="0"/>
    <x v="0"/>
    <n v="362.58"/>
    <s v="West"/>
    <n v="711.86"/>
    <n v="349.28"/>
    <n v="10"/>
    <n v="1"/>
    <s v="August"/>
    <n v="2025"/>
    <x v="1"/>
    <x v="1"/>
  </r>
  <r>
    <d v="2025-05-14T00:00:00"/>
    <s v="ORD-000461"/>
    <x v="1"/>
    <x v="9"/>
    <n v="3068.96"/>
    <s v="South"/>
    <n v="4024.64"/>
    <n v="955.68"/>
    <n v="10"/>
    <n v="2"/>
    <s v="May"/>
    <n v="2025"/>
    <x v="1"/>
    <x v="1"/>
  </r>
  <r>
    <d v="2024-08-05T00:00:00"/>
    <s v="ORD-000462"/>
    <x v="5"/>
    <x v="18"/>
    <n v="4717.01"/>
    <s v="East"/>
    <n v="9120.98"/>
    <n v="4403.97"/>
    <n v="0"/>
    <n v="2"/>
    <s v="August"/>
    <n v="2024"/>
    <x v="2"/>
    <x v="1"/>
  </r>
  <r>
    <d v="2023-10-12T00:00:00"/>
    <s v="ORD-000463"/>
    <x v="5"/>
    <x v="27"/>
    <n v="348.49"/>
    <s v="North"/>
    <n v="538.92999999999995"/>
    <n v="190.44"/>
    <n v="0"/>
    <n v="1"/>
    <s v="October"/>
    <n v="2023"/>
    <x v="2"/>
    <x v="1"/>
  </r>
  <r>
    <d v="2023-02-06T00:00:00"/>
    <s v="ORD-000464"/>
    <x v="5"/>
    <x v="36"/>
    <n v="544.69000000000005"/>
    <s v="South"/>
    <n v="713.9"/>
    <n v="169.21"/>
    <n v="25"/>
    <n v="2"/>
    <s v="February"/>
    <n v="2023"/>
    <x v="0"/>
    <x v="2"/>
  </r>
  <r>
    <d v="2025-09-02T00:00:00"/>
    <s v="ORD-000465"/>
    <x v="1"/>
    <x v="29"/>
    <n v="17600.78"/>
    <s v="North"/>
    <n v="22833.05"/>
    <n v="5232.2700000000004"/>
    <n v="10"/>
    <n v="5"/>
    <s v="September"/>
    <n v="2025"/>
    <x v="1"/>
    <x v="1"/>
  </r>
  <r>
    <d v="2024-12-03T00:00:00"/>
    <s v="ORD-000466"/>
    <x v="3"/>
    <x v="34"/>
    <n v="9362.7099999999991"/>
    <s v="West"/>
    <n v="9897.7900000000009"/>
    <n v="535.08000000000004"/>
    <n v="15"/>
    <n v="6"/>
    <s v="December"/>
    <n v="2024"/>
    <x v="0"/>
    <x v="0"/>
  </r>
  <r>
    <d v="2025-06-29T00:00:00"/>
    <s v="ORD-000467"/>
    <x v="4"/>
    <x v="30"/>
    <n v="12236.21"/>
    <s v="North"/>
    <n v="19495.96"/>
    <n v="7259.75"/>
    <n v="0"/>
    <n v="2"/>
    <s v="June"/>
    <n v="2025"/>
    <x v="2"/>
    <x v="1"/>
  </r>
  <r>
    <d v="2024-08-11T00:00:00"/>
    <s v="ORD-000468"/>
    <x v="4"/>
    <x v="42"/>
    <n v="49378.44"/>
    <s v="Central"/>
    <n v="57105.94"/>
    <n v="7727.5"/>
    <n v="25"/>
    <n v="8"/>
    <s v="August"/>
    <n v="2024"/>
    <x v="0"/>
    <x v="2"/>
  </r>
  <r>
    <d v="2025-02-01T00:00:00"/>
    <s v="ORD-000469"/>
    <x v="2"/>
    <x v="2"/>
    <n v="356.92"/>
    <s v="West"/>
    <n v="620.59"/>
    <n v="263.67"/>
    <n v="15"/>
    <n v="2"/>
    <s v="February"/>
    <n v="2025"/>
    <x v="0"/>
    <x v="0"/>
  </r>
  <r>
    <d v="2024-02-18T00:00:00"/>
    <s v="ORD-000470"/>
    <x v="5"/>
    <x v="36"/>
    <n v="6930.82"/>
    <s v="North"/>
    <n v="12705.96"/>
    <n v="5775.14"/>
    <n v="0"/>
    <n v="4"/>
    <s v="February"/>
    <n v="2024"/>
    <x v="2"/>
    <x v="1"/>
  </r>
  <r>
    <d v="2025-11-21T00:00:00"/>
    <s v="ORD-000471"/>
    <x v="1"/>
    <x v="24"/>
    <n v="19825.439999999999"/>
    <s v="West"/>
    <n v="23729.81"/>
    <n v="3904.37"/>
    <n v="25"/>
    <n v="3"/>
    <s v="November"/>
    <n v="2025"/>
    <x v="0"/>
    <x v="2"/>
  </r>
  <r>
    <d v="2025-04-06T00:00:00"/>
    <s v="ORD-000472"/>
    <x v="3"/>
    <x v="28"/>
    <n v="8734.23"/>
    <s v="North"/>
    <n v="9194.2900000000009"/>
    <n v="460.06"/>
    <n v="20"/>
    <n v="3"/>
    <s v="April"/>
    <n v="2025"/>
    <x v="0"/>
    <x v="0"/>
  </r>
  <r>
    <d v="2024-01-28T00:00:00"/>
    <s v="ORD-000473"/>
    <x v="3"/>
    <x v="37"/>
    <n v="4906.3599999999997"/>
    <s v="West"/>
    <n v="6554.27"/>
    <n v="1647.91"/>
    <n v="0"/>
    <n v="1"/>
    <s v="January"/>
    <n v="2024"/>
    <x v="2"/>
    <x v="1"/>
  </r>
  <r>
    <d v="2025-01-14T00:00:00"/>
    <s v="ORD-000474"/>
    <x v="2"/>
    <x v="38"/>
    <n v="225.17"/>
    <s v="South"/>
    <n v="445.42"/>
    <n v="220.25"/>
    <n v="0"/>
    <n v="1"/>
    <s v="January"/>
    <n v="2025"/>
    <x v="2"/>
    <x v="1"/>
  </r>
  <r>
    <d v="2025-07-05T00:00:00"/>
    <s v="ORD-000475"/>
    <x v="4"/>
    <x v="11"/>
    <n v="10043.85"/>
    <s v="Central"/>
    <n v="13892.8"/>
    <n v="3848.95"/>
    <n v="10"/>
    <n v="1"/>
    <s v="July"/>
    <n v="2025"/>
    <x v="1"/>
    <x v="1"/>
  </r>
  <r>
    <d v="2023-06-22T00:00:00"/>
    <s v="ORD-000476"/>
    <x v="5"/>
    <x v="33"/>
    <n v="3967.61"/>
    <s v="North"/>
    <n v="7410.96"/>
    <n v="3443.35"/>
    <n v="25"/>
    <n v="2"/>
    <s v="June"/>
    <n v="2023"/>
    <x v="0"/>
    <x v="2"/>
  </r>
  <r>
    <d v="2024-05-30T00:00:00"/>
    <s v="ORD-000477"/>
    <x v="4"/>
    <x v="40"/>
    <n v="9447.23"/>
    <s v="East"/>
    <n v="13746.95"/>
    <n v="4299.72"/>
    <n v="15"/>
    <n v="1"/>
    <s v="May"/>
    <n v="2024"/>
    <x v="0"/>
    <x v="0"/>
  </r>
  <r>
    <d v="2025-03-30T00:00:00"/>
    <s v="ORD-000478"/>
    <x v="3"/>
    <x v="34"/>
    <n v="1019.65"/>
    <s v="Central"/>
    <n v="1068.6099999999999"/>
    <n v="48.96"/>
    <n v="15"/>
    <n v="1"/>
    <s v="March"/>
    <n v="2025"/>
    <x v="0"/>
    <x v="0"/>
  </r>
  <r>
    <d v="2023-05-27T00:00:00"/>
    <s v="ORD-000479"/>
    <x v="1"/>
    <x v="19"/>
    <n v="38091.050000000003"/>
    <s v="West"/>
    <n v="47947.48"/>
    <n v="9856.43"/>
    <n v="0"/>
    <n v="4"/>
    <s v="May"/>
    <n v="2023"/>
    <x v="2"/>
    <x v="1"/>
  </r>
  <r>
    <d v="2023-12-23T00:00:00"/>
    <s v="ORD-000480"/>
    <x v="1"/>
    <x v="5"/>
    <n v="59719.86"/>
    <s v="East"/>
    <n v="75502.880000000005"/>
    <n v="15783.02"/>
    <n v="0"/>
    <n v="6"/>
    <s v="December"/>
    <n v="2023"/>
    <x v="2"/>
    <x v="1"/>
  </r>
  <r>
    <d v="2025-05-22T00:00:00"/>
    <s v="ORD-000481"/>
    <x v="4"/>
    <x v="11"/>
    <n v="5871.33"/>
    <s v="East"/>
    <n v="9587.94"/>
    <n v="3716.61"/>
    <n v="5"/>
    <n v="4"/>
    <s v="May"/>
    <n v="2025"/>
    <x v="1"/>
    <x v="1"/>
  </r>
  <r>
    <d v="2023-04-25T00:00:00"/>
    <s v="ORD-000482"/>
    <x v="0"/>
    <x v="6"/>
    <n v="617.14"/>
    <s v="South"/>
    <n v="817.66"/>
    <n v="200.52"/>
    <n v="25"/>
    <n v="2"/>
    <s v="April"/>
    <n v="2023"/>
    <x v="0"/>
    <x v="2"/>
  </r>
  <r>
    <d v="2024-01-27T00:00:00"/>
    <s v="ORD-000483"/>
    <x v="1"/>
    <x v="5"/>
    <n v="1309.3399999999999"/>
    <s v="North"/>
    <n v="1917.58"/>
    <n v="608.24"/>
    <n v="5"/>
    <n v="1"/>
    <s v="January"/>
    <n v="2024"/>
    <x v="1"/>
    <x v="1"/>
  </r>
  <r>
    <d v="2025-04-09T00:00:00"/>
    <s v="ORD-000484"/>
    <x v="2"/>
    <x v="25"/>
    <n v="747.08"/>
    <s v="South"/>
    <n v="1031.96"/>
    <n v="284.88"/>
    <n v="15"/>
    <n v="2"/>
    <s v="April"/>
    <n v="2025"/>
    <x v="0"/>
    <x v="0"/>
  </r>
  <r>
    <d v="2025-08-16T00:00:00"/>
    <s v="ORD-000485"/>
    <x v="0"/>
    <x v="41"/>
    <n v="901.34"/>
    <s v="East"/>
    <n v="1623.43"/>
    <n v="722.09"/>
    <n v="0"/>
    <n v="1"/>
    <s v="August"/>
    <n v="2025"/>
    <x v="2"/>
    <x v="1"/>
  </r>
  <r>
    <d v="2024-07-05T00:00:00"/>
    <s v="ORD-000486"/>
    <x v="3"/>
    <x v="28"/>
    <n v="20210.34"/>
    <s v="Central"/>
    <n v="27261.4"/>
    <n v="7051.06"/>
    <n v="10"/>
    <n v="3"/>
    <s v="July"/>
    <n v="2024"/>
    <x v="1"/>
    <x v="1"/>
  </r>
  <r>
    <d v="2024-10-02T00:00:00"/>
    <s v="ORD-000487"/>
    <x v="2"/>
    <x v="25"/>
    <n v="332.57"/>
    <s v="South"/>
    <n v="384.27"/>
    <n v="51.7"/>
    <n v="20"/>
    <n v="5"/>
    <s v="October"/>
    <n v="2024"/>
    <x v="0"/>
    <x v="0"/>
  </r>
  <r>
    <d v="2025-03-30T00:00:00"/>
    <s v="ORD-000488"/>
    <x v="1"/>
    <x v="24"/>
    <n v="2706.56"/>
    <s v="West"/>
    <n v="4185.47"/>
    <n v="1478.91"/>
    <n v="0"/>
    <n v="3"/>
    <s v="March"/>
    <n v="2025"/>
    <x v="2"/>
    <x v="1"/>
  </r>
  <r>
    <d v="2024-12-20T00:00:00"/>
    <s v="ORD-000489"/>
    <x v="5"/>
    <x v="27"/>
    <n v="1562.78"/>
    <s v="South"/>
    <n v="2521"/>
    <n v="958.22"/>
    <n v="25"/>
    <n v="2"/>
    <s v="December"/>
    <n v="2024"/>
    <x v="0"/>
    <x v="2"/>
  </r>
  <r>
    <d v="2024-11-11T00:00:00"/>
    <s v="ORD-000490"/>
    <x v="4"/>
    <x v="26"/>
    <n v="10970.46"/>
    <s v="North"/>
    <n v="14651.89"/>
    <n v="3681.43"/>
    <n v="10"/>
    <n v="1"/>
    <s v="November"/>
    <n v="2024"/>
    <x v="1"/>
    <x v="1"/>
  </r>
  <r>
    <d v="2023-06-17T00:00:00"/>
    <s v="ORD-000491"/>
    <x v="5"/>
    <x v="27"/>
    <n v="1145.72"/>
    <s v="North"/>
    <n v="2367.15"/>
    <n v="1221.43"/>
    <n v="5"/>
    <n v="3"/>
    <s v="June"/>
    <n v="2023"/>
    <x v="1"/>
    <x v="1"/>
  </r>
  <r>
    <d v="2024-07-13T00:00:00"/>
    <s v="ORD-000492"/>
    <x v="5"/>
    <x v="14"/>
    <n v="2321.65"/>
    <s v="West"/>
    <n v="4132.37"/>
    <n v="1810.72"/>
    <n v="0"/>
    <n v="1"/>
    <s v="July"/>
    <n v="2024"/>
    <x v="2"/>
    <x v="1"/>
  </r>
  <r>
    <d v="2024-11-05T00:00:00"/>
    <s v="ORD-000493"/>
    <x v="5"/>
    <x v="20"/>
    <n v="9983.6299999999992"/>
    <s v="West"/>
    <n v="15028.06"/>
    <n v="5044.43"/>
    <n v="0"/>
    <n v="3"/>
    <s v="November"/>
    <n v="2024"/>
    <x v="2"/>
    <x v="1"/>
  </r>
  <r>
    <d v="2025-11-16T00:00:00"/>
    <s v="ORD-000494"/>
    <x v="1"/>
    <x v="23"/>
    <n v="2989.91"/>
    <s v="South"/>
    <n v="3856.34"/>
    <n v="866.43"/>
    <n v="10"/>
    <n v="2"/>
    <s v="November"/>
    <n v="2025"/>
    <x v="1"/>
    <x v="1"/>
  </r>
  <r>
    <d v="2023-09-14T00:00:00"/>
    <s v="ORD-000495"/>
    <x v="2"/>
    <x v="13"/>
    <n v="866.42"/>
    <s v="South"/>
    <n v="1713"/>
    <n v="846.58"/>
    <n v="5"/>
    <n v="4"/>
    <s v="September"/>
    <n v="2023"/>
    <x v="1"/>
    <x v="1"/>
  </r>
  <r>
    <d v="2023-08-03T00:00:00"/>
    <s v="ORD-000496"/>
    <x v="4"/>
    <x v="40"/>
    <n v="11050.59"/>
    <s v="South"/>
    <n v="14198.35"/>
    <n v="3147.76"/>
    <n v="0"/>
    <n v="2"/>
    <s v="August"/>
    <n v="2023"/>
    <x v="2"/>
    <x v="1"/>
  </r>
  <r>
    <d v="2023-06-02T00:00:00"/>
    <s v="ORD-000497"/>
    <x v="5"/>
    <x v="18"/>
    <n v="18845.28"/>
    <s v="Central"/>
    <n v="30829.7"/>
    <n v="11984.42"/>
    <n v="0"/>
    <n v="6"/>
    <s v="June"/>
    <n v="2023"/>
    <x v="2"/>
    <x v="1"/>
  </r>
  <r>
    <d v="2023-02-20T00:00:00"/>
    <s v="ORD-000498"/>
    <x v="5"/>
    <x v="27"/>
    <n v="1988.37"/>
    <s v="West"/>
    <n v="3447.93"/>
    <n v="1459.56"/>
    <n v="0"/>
    <n v="1"/>
    <s v="February"/>
    <n v="2023"/>
    <x v="2"/>
    <x v="1"/>
  </r>
  <r>
    <d v="2024-10-15T00:00:00"/>
    <s v="ORD-000499"/>
    <x v="4"/>
    <x v="30"/>
    <n v="9923.27"/>
    <s v="Central"/>
    <n v="10893.94"/>
    <n v="970.67"/>
    <n v="15"/>
    <n v="4"/>
    <s v="October"/>
    <n v="2024"/>
    <x v="0"/>
    <x v="0"/>
  </r>
  <r>
    <d v="2023-12-27T00:00:00"/>
    <s v="ORD-000500"/>
    <x v="4"/>
    <x v="40"/>
    <n v="12596.03"/>
    <s v="East"/>
    <n v="19949.64"/>
    <n v="7353.61"/>
    <n v="5"/>
    <n v="5"/>
    <s v="December"/>
    <n v="2023"/>
    <x v="1"/>
    <x v="1"/>
  </r>
  <r>
    <d v="2025-04-30T00:00:00"/>
    <s v="ORD-000501"/>
    <x v="5"/>
    <x v="18"/>
    <n v="3581.88"/>
    <s v="Central"/>
    <n v="4300.5"/>
    <n v="718.62"/>
    <n v="20"/>
    <n v="3"/>
    <s v="April"/>
    <n v="2025"/>
    <x v="0"/>
    <x v="0"/>
  </r>
  <r>
    <d v="2023-05-31T00:00:00"/>
    <s v="ORD-000502"/>
    <x v="1"/>
    <x v="23"/>
    <n v="41816.19"/>
    <s v="West"/>
    <n v="47719.51"/>
    <n v="5903.32"/>
    <n v="30"/>
    <n v="4"/>
    <s v="May"/>
    <n v="2023"/>
    <x v="0"/>
    <x v="2"/>
  </r>
  <r>
    <d v="2025-12-24T00:00:00"/>
    <s v="ORD-000503"/>
    <x v="3"/>
    <x v="15"/>
    <n v="4386.78"/>
    <s v="Central"/>
    <n v="4518.38"/>
    <n v="131.6"/>
    <n v="16"/>
    <n v="2"/>
    <s v="December"/>
    <n v="2025"/>
    <x v="0"/>
    <x v="0"/>
  </r>
  <r>
    <d v="2023-03-18T00:00:00"/>
    <s v="ORD-000504"/>
    <x v="0"/>
    <x v="21"/>
    <n v="1971.42"/>
    <s v="East"/>
    <n v="4114.76"/>
    <n v="2143.34"/>
    <n v="5"/>
    <n v="6"/>
    <s v="March"/>
    <n v="2023"/>
    <x v="1"/>
    <x v="1"/>
  </r>
  <r>
    <d v="2025-01-11T00:00:00"/>
    <s v="ORD-000505"/>
    <x v="2"/>
    <x v="13"/>
    <n v="2033.43"/>
    <s v="Central"/>
    <n v="2386.64"/>
    <n v="353.21"/>
    <n v="25"/>
    <n v="2"/>
    <s v="January"/>
    <n v="2025"/>
    <x v="0"/>
    <x v="2"/>
  </r>
  <r>
    <d v="2025-08-16T00:00:00"/>
    <s v="ORD-000506"/>
    <x v="0"/>
    <x v="6"/>
    <n v="1301.8"/>
    <s v="East"/>
    <n v="2733.69"/>
    <n v="1431.89"/>
    <n v="15"/>
    <n v="1"/>
    <s v="August"/>
    <n v="2025"/>
    <x v="0"/>
    <x v="0"/>
  </r>
  <r>
    <d v="2025-07-24T00:00:00"/>
    <s v="ORD-000507"/>
    <x v="4"/>
    <x v="26"/>
    <n v="23416.25"/>
    <s v="Central"/>
    <n v="28552.23"/>
    <n v="5135.9799999999996"/>
    <n v="5"/>
    <n v="2"/>
    <s v="July"/>
    <n v="2025"/>
    <x v="1"/>
    <x v="1"/>
  </r>
  <r>
    <d v="2025-11-10T00:00:00"/>
    <s v="ORD-000508"/>
    <x v="3"/>
    <x v="37"/>
    <n v="2884.7"/>
    <s v="East"/>
    <n v="3433.66"/>
    <n v="548.96"/>
    <n v="5"/>
    <n v="4"/>
    <s v="November"/>
    <n v="2025"/>
    <x v="1"/>
    <x v="1"/>
  </r>
  <r>
    <d v="2025-12-22T00:00:00"/>
    <s v="ORD-000509"/>
    <x v="0"/>
    <x v="17"/>
    <n v="702.47"/>
    <s v="West"/>
    <n v="1082.8"/>
    <n v="380.33"/>
    <n v="15"/>
    <n v="2"/>
    <s v="December"/>
    <n v="2025"/>
    <x v="0"/>
    <x v="0"/>
  </r>
  <r>
    <d v="2025-03-08T00:00:00"/>
    <s v="ORD-000510"/>
    <x v="2"/>
    <x v="25"/>
    <n v="3078.59"/>
    <s v="West"/>
    <n v="3384"/>
    <n v="305.41000000000003"/>
    <n v="25"/>
    <n v="3"/>
    <s v="March"/>
    <n v="2025"/>
    <x v="0"/>
    <x v="2"/>
  </r>
  <r>
    <d v="2025-05-02T00:00:00"/>
    <s v="ORD-000511"/>
    <x v="0"/>
    <x v="21"/>
    <n v="856.38"/>
    <s v="North"/>
    <n v="1982.03"/>
    <n v="1125.6500000000001"/>
    <n v="10"/>
    <n v="2"/>
    <s v="May"/>
    <n v="2025"/>
    <x v="1"/>
    <x v="1"/>
  </r>
  <r>
    <d v="2023-07-15T00:00:00"/>
    <s v="ORD-000512"/>
    <x v="0"/>
    <x v="41"/>
    <n v="344.27"/>
    <s v="West"/>
    <n v="438.99"/>
    <n v="94.72"/>
    <n v="25"/>
    <n v="2"/>
    <s v="July"/>
    <n v="2023"/>
    <x v="0"/>
    <x v="2"/>
  </r>
  <r>
    <d v="2023-03-09T00:00:00"/>
    <s v="ORD-000513"/>
    <x v="5"/>
    <x v="36"/>
    <n v="4857.6099999999997"/>
    <s v="Central"/>
    <n v="11500.85"/>
    <n v="6643.24"/>
    <n v="0"/>
    <n v="8"/>
    <s v="March"/>
    <n v="2023"/>
    <x v="2"/>
    <x v="1"/>
  </r>
  <r>
    <d v="2025-09-01T00:00:00"/>
    <s v="ORD-000514"/>
    <x v="5"/>
    <x v="33"/>
    <n v="4950.42"/>
    <s v="East"/>
    <n v="6015.31"/>
    <n v="1064.8900000000001"/>
    <n v="25"/>
    <n v="2"/>
    <s v="September"/>
    <n v="2025"/>
    <x v="0"/>
    <x v="2"/>
  </r>
  <r>
    <d v="2023-10-03T00:00:00"/>
    <s v="ORD-000515"/>
    <x v="5"/>
    <x v="14"/>
    <n v="1971.69"/>
    <s v="West"/>
    <n v="2949.92"/>
    <n v="978.23"/>
    <n v="10"/>
    <n v="3"/>
    <s v="October"/>
    <n v="2023"/>
    <x v="1"/>
    <x v="1"/>
  </r>
  <r>
    <d v="2024-09-25T00:00:00"/>
    <s v="ORD-000516"/>
    <x v="3"/>
    <x v="12"/>
    <n v="3349.45"/>
    <s v="South"/>
    <n v="3922.14"/>
    <n v="572.69000000000005"/>
    <n v="20"/>
    <n v="1"/>
    <s v="September"/>
    <n v="2024"/>
    <x v="0"/>
    <x v="0"/>
  </r>
  <r>
    <d v="2024-05-08T00:00:00"/>
    <s v="ORD-000517"/>
    <x v="2"/>
    <x v="10"/>
    <n v="1947.43"/>
    <s v="North"/>
    <n v="3762.22"/>
    <n v="1814.79"/>
    <n v="15"/>
    <n v="4"/>
    <s v="May"/>
    <n v="2024"/>
    <x v="0"/>
    <x v="0"/>
  </r>
  <r>
    <d v="2023-05-28T00:00:00"/>
    <s v="ORD-000518"/>
    <x v="2"/>
    <x v="31"/>
    <n v="659.5"/>
    <s v="Central"/>
    <n v="1052.29"/>
    <n v="392.79"/>
    <n v="0"/>
    <n v="1"/>
    <s v="May"/>
    <n v="2023"/>
    <x v="2"/>
    <x v="1"/>
  </r>
  <r>
    <d v="2024-06-30T00:00:00"/>
    <s v="ORD-000519"/>
    <x v="0"/>
    <x v="6"/>
    <n v="766.58"/>
    <s v="West"/>
    <n v="1519.85"/>
    <n v="753.27"/>
    <n v="5"/>
    <n v="2"/>
    <s v="June"/>
    <n v="2024"/>
    <x v="1"/>
    <x v="1"/>
  </r>
  <r>
    <d v="2023-06-03T00:00:00"/>
    <s v="ORD-000520"/>
    <x v="0"/>
    <x v="41"/>
    <n v="3105.46"/>
    <s v="West"/>
    <n v="3853.4"/>
    <n v="747.94"/>
    <n v="25"/>
    <n v="3"/>
    <s v="June"/>
    <n v="2023"/>
    <x v="0"/>
    <x v="2"/>
  </r>
  <r>
    <d v="2024-10-20T00:00:00"/>
    <s v="ORD-000521"/>
    <x v="2"/>
    <x v="2"/>
    <n v="1421.07"/>
    <s v="South"/>
    <n v="2759"/>
    <n v="1337.93"/>
    <n v="5"/>
    <n v="4"/>
    <s v="October"/>
    <n v="2024"/>
    <x v="1"/>
    <x v="1"/>
  </r>
  <r>
    <d v="2024-11-23T00:00:00"/>
    <s v="ORD-000522"/>
    <x v="3"/>
    <x v="3"/>
    <n v="42408.67"/>
    <s v="Central"/>
    <n v="51131.19"/>
    <n v="8722.52"/>
    <n v="15"/>
    <n v="3"/>
    <s v="November"/>
    <n v="2024"/>
    <x v="0"/>
    <x v="0"/>
  </r>
  <r>
    <d v="2024-12-07T00:00:00"/>
    <s v="ORD-000523"/>
    <x v="2"/>
    <x v="10"/>
    <n v="2300.5100000000002"/>
    <s v="East"/>
    <n v="2851.63"/>
    <n v="551.12"/>
    <n v="25"/>
    <n v="5"/>
    <s v="December"/>
    <n v="2024"/>
    <x v="0"/>
    <x v="2"/>
  </r>
  <r>
    <d v="2023-04-13T00:00:00"/>
    <s v="ORD-000524"/>
    <x v="2"/>
    <x v="2"/>
    <n v="108.26"/>
    <s v="Central"/>
    <n v="161.82"/>
    <n v="53.56"/>
    <n v="0"/>
    <n v="2"/>
    <s v="April"/>
    <n v="2023"/>
    <x v="2"/>
    <x v="1"/>
  </r>
  <r>
    <d v="2023-12-15T00:00:00"/>
    <s v="ORD-000525"/>
    <x v="2"/>
    <x v="13"/>
    <n v="2239.71"/>
    <s v="South"/>
    <n v="3960.59"/>
    <n v="1720.88"/>
    <n v="15"/>
    <n v="4"/>
    <s v="December"/>
    <n v="2023"/>
    <x v="0"/>
    <x v="0"/>
  </r>
  <r>
    <d v="2025-05-02T00:00:00"/>
    <s v="ORD-000526"/>
    <x v="0"/>
    <x v="17"/>
    <n v="6389.89"/>
    <s v="South"/>
    <n v="10471.540000000001"/>
    <n v="4081.65"/>
    <n v="10"/>
    <n v="4"/>
    <s v="May"/>
    <n v="2025"/>
    <x v="1"/>
    <x v="1"/>
  </r>
  <r>
    <d v="2023-10-22T00:00:00"/>
    <s v="ORD-000527"/>
    <x v="2"/>
    <x v="31"/>
    <n v="2022.53"/>
    <s v="West"/>
    <n v="2244.9899999999998"/>
    <n v="222.46"/>
    <n v="30"/>
    <n v="3"/>
    <s v="October"/>
    <n v="2023"/>
    <x v="0"/>
    <x v="2"/>
  </r>
  <r>
    <d v="2025-04-23T00:00:00"/>
    <s v="ORD-000528"/>
    <x v="2"/>
    <x v="2"/>
    <n v="730.21"/>
    <s v="South"/>
    <n v="858.04"/>
    <n v="127.83"/>
    <n v="20"/>
    <n v="4"/>
    <s v="April"/>
    <n v="2025"/>
    <x v="0"/>
    <x v="0"/>
  </r>
  <r>
    <d v="2023-02-01T00:00:00"/>
    <s v="ORD-000529"/>
    <x v="4"/>
    <x v="7"/>
    <n v="21008.61"/>
    <s v="South"/>
    <n v="25441.25"/>
    <n v="4432.6400000000003"/>
    <n v="15"/>
    <n v="3"/>
    <s v="February"/>
    <n v="2023"/>
    <x v="0"/>
    <x v="0"/>
  </r>
  <r>
    <d v="2023-03-09T00:00:00"/>
    <s v="ORD-000530"/>
    <x v="3"/>
    <x v="12"/>
    <n v="5204.5600000000004"/>
    <s v="South"/>
    <n v="6153.66"/>
    <n v="949.1"/>
    <n v="20"/>
    <n v="3"/>
    <s v="March"/>
    <n v="2023"/>
    <x v="0"/>
    <x v="0"/>
  </r>
  <r>
    <d v="2023-01-16T00:00:00"/>
    <s v="ORD-000531"/>
    <x v="0"/>
    <x v="41"/>
    <n v="5833.38"/>
    <s v="South"/>
    <n v="8664.42"/>
    <n v="2831.04"/>
    <n v="10"/>
    <n v="5"/>
    <s v="January"/>
    <n v="2023"/>
    <x v="1"/>
    <x v="1"/>
  </r>
  <r>
    <d v="2025-02-09T00:00:00"/>
    <s v="ORD-000532"/>
    <x v="2"/>
    <x v="10"/>
    <n v="490.39"/>
    <s v="East"/>
    <n v="616.65"/>
    <n v="126.26"/>
    <n v="15"/>
    <n v="2"/>
    <s v="February"/>
    <n v="2025"/>
    <x v="0"/>
    <x v="0"/>
  </r>
  <r>
    <d v="2025-06-15T00:00:00"/>
    <s v="ORD-000533"/>
    <x v="2"/>
    <x v="25"/>
    <n v="153.13"/>
    <s v="East"/>
    <n v="238.75"/>
    <n v="85.62"/>
    <n v="5"/>
    <n v="2"/>
    <s v="June"/>
    <n v="2025"/>
    <x v="1"/>
    <x v="1"/>
  </r>
  <r>
    <d v="2024-09-18T00:00:00"/>
    <s v="ORD-000534"/>
    <x v="4"/>
    <x v="40"/>
    <n v="48152.39"/>
    <s v="North"/>
    <n v="65054.93"/>
    <n v="16902.54"/>
    <n v="20"/>
    <n v="6"/>
    <s v="September"/>
    <n v="2024"/>
    <x v="0"/>
    <x v="0"/>
  </r>
  <r>
    <d v="2023-05-01T00:00:00"/>
    <s v="ORD-000535"/>
    <x v="3"/>
    <x v="32"/>
    <n v="18118.12"/>
    <s v="East"/>
    <n v="23794.17"/>
    <n v="5676.05"/>
    <n v="0"/>
    <n v="5"/>
    <s v="May"/>
    <n v="2023"/>
    <x v="2"/>
    <x v="1"/>
  </r>
  <r>
    <d v="2023-02-13T00:00:00"/>
    <s v="ORD-000536"/>
    <x v="4"/>
    <x v="11"/>
    <n v="16907.490000000002"/>
    <s v="East"/>
    <n v="22603.18"/>
    <n v="5695.69"/>
    <n v="5"/>
    <n v="2"/>
    <s v="February"/>
    <n v="2023"/>
    <x v="1"/>
    <x v="1"/>
  </r>
  <r>
    <d v="2024-09-09T00:00:00"/>
    <s v="ORD-000537"/>
    <x v="1"/>
    <x v="29"/>
    <n v="3475.39"/>
    <s v="South"/>
    <n v="5625.93"/>
    <n v="2150.54"/>
    <n v="0"/>
    <n v="3"/>
    <s v="September"/>
    <n v="2024"/>
    <x v="2"/>
    <x v="1"/>
  </r>
  <r>
    <d v="2024-12-14T00:00:00"/>
    <s v="ORD-000538"/>
    <x v="4"/>
    <x v="39"/>
    <n v="17938.47"/>
    <s v="West"/>
    <n v="24953.69"/>
    <n v="7015.22"/>
    <n v="15"/>
    <n v="2"/>
    <s v="December"/>
    <n v="2024"/>
    <x v="0"/>
    <x v="0"/>
  </r>
  <r>
    <d v="2025-03-21T00:00:00"/>
    <s v="ORD-000539"/>
    <x v="3"/>
    <x v="34"/>
    <n v="4960.2700000000004"/>
    <s v="East"/>
    <n v="5141.3500000000004"/>
    <n v="181.08"/>
    <n v="25"/>
    <n v="6"/>
    <s v="March"/>
    <n v="2025"/>
    <x v="0"/>
    <x v="2"/>
  </r>
  <r>
    <d v="2024-03-28T00:00:00"/>
    <s v="ORD-000540"/>
    <x v="0"/>
    <x v="8"/>
    <n v="4802.6099999999997"/>
    <s v="South"/>
    <n v="11718.28"/>
    <n v="6915.67"/>
    <n v="5"/>
    <n v="3"/>
    <s v="March"/>
    <n v="2024"/>
    <x v="1"/>
    <x v="1"/>
  </r>
  <r>
    <d v="2025-01-06T00:00:00"/>
    <s v="ORD-000541"/>
    <x v="1"/>
    <x v="19"/>
    <n v="9426.26"/>
    <s v="South"/>
    <n v="12567.31"/>
    <n v="3141.05"/>
    <n v="0"/>
    <n v="6"/>
    <s v="January"/>
    <n v="2025"/>
    <x v="2"/>
    <x v="1"/>
  </r>
  <r>
    <d v="2024-05-13T00:00:00"/>
    <s v="ORD-000542"/>
    <x v="1"/>
    <x v="1"/>
    <n v="18006.740000000002"/>
    <s v="West"/>
    <n v="21626.37"/>
    <n v="3619.63"/>
    <n v="15"/>
    <n v="4"/>
    <s v="May"/>
    <n v="2024"/>
    <x v="0"/>
    <x v="0"/>
  </r>
  <r>
    <d v="2023-01-13T00:00:00"/>
    <s v="ORD-000543"/>
    <x v="4"/>
    <x v="42"/>
    <n v="3636.31"/>
    <s v="West"/>
    <n v="3804.84"/>
    <n v="168.53"/>
    <n v="20"/>
    <n v="1"/>
    <s v="January"/>
    <n v="2023"/>
    <x v="0"/>
    <x v="0"/>
  </r>
  <r>
    <d v="2024-03-06T00:00:00"/>
    <s v="ORD-000544"/>
    <x v="0"/>
    <x v="17"/>
    <n v="1399.09"/>
    <s v="West"/>
    <n v="1713.44"/>
    <n v="314.35000000000002"/>
    <n v="25"/>
    <n v="1"/>
    <s v="March"/>
    <n v="2024"/>
    <x v="0"/>
    <x v="2"/>
  </r>
  <r>
    <d v="2024-01-21T00:00:00"/>
    <s v="ORD-000545"/>
    <x v="4"/>
    <x v="30"/>
    <n v="63022.42"/>
    <s v="Central"/>
    <n v="67989.350000000006"/>
    <n v="4966.93"/>
    <n v="15"/>
    <n v="4"/>
    <s v="January"/>
    <n v="2024"/>
    <x v="0"/>
    <x v="0"/>
  </r>
  <r>
    <d v="2023-04-20T00:00:00"/>
    <s v="ORD-000546"/>
    <x v="5"/>
    <x v="20"/>
    <n v="1661.32"/>
    <s v="North"/>
    <n v="3065.17"/>
    <n v="1403.85"/>
    <n v="5"/>
    <n v="1"/>
    <s v="April"/>
    <n v="2023"/>
    <x v="1"/>
    <x v="1"/>
  </r>
  <r>
    <d v="2023-07-12T00:00:00"/>
    <s v="ORD-000547"/>
    <x v="2"/>
    <x v="2"/>
    <n v="419.25"/>
    <s v="East"/>
    <n v="547.19000000000005"/>
    <n v="127.94"/>
    <n v="10"/>
    <n v="2"/>
    <s v="July"/>
    <n v="2023"/>
    <x v="1"/>
    <x v="1"/>
  </r>
  <r>
    <d v="2025-12-03T00:00:00"/>
    <s v="ORD-000548"/>
    <x v="2"/>
    <x v="38"/>
    <n v="428.26"/>
    <s v="South"/>
    <n v="677.32"/>
    <n v="249.06"/>
    <n v="0"/>
    <n v="2"/>
    <s v="December"/>
    <n v="2025"/>
    <x v="2"/>
    <x v="1"/>
  </r>
  <r>
    <d v="2025-08-19T00:00:00"/>
    <s v="ORD-000549"/>
    <x v="4"/>
    <x v="11"/>
    <n v="42669.440000000002"/>
    <s v="North"/>
    <n v="55539.94"/>
    <n v="12870.5"/>
    <n v="10"/>
    <n v="6"/>
    <s v="August"/>
    <n v="2025"/>
    <x v="1"/>
    <x v="1"/>
  </r>
  <r>
    <d v="2023-03-11T00:00:00"/>
    <s v="ORD-000550"/>
    <x v="5"/>
    <x v="20"/>
    <n v="4918.43"/>
    <s v="North"/>
    <n v="10345.85"/>
    <n v="5427.42"/>
    <n v="15"/>
    <n v="3"/>
    <s v="March"/>
    <n v="2023"/>
    <x v="0"/>
    <x v="0"/>
  </r>
  <r>
    <d v="2024-10-24T00:00:00"/>
    <s v="ORD-000551"/>
    <x v="4"/>
    <x v="26"/>
    <n v="13455.99"/>
    <s v="West"/>
    <n v="18126.93"/>
    <n v="4670.9399999999996"/>
    <n v="10"/>
    <n v="5"/>
    <s v="October"/>
    <n v="2024"/>
    <x v="1"/>
    <x v="1"/>
  </r>
  <r>
    <d v="2024-12-30T00:00:00"/>
    <s v="ORD-000552"/>
    <x v="1"/>
    <x v="5"/>
    <n v="5789.28"/>
    <s v="East"/>
    <n v="8244.33"/>
    <n v="2455.0500000000002"/>
    <n v="0"/>
    <n v="3"/>
    <s v="December"/>
    <n v="2024"/>
    <x v="2"/>
    <x v="1"/>
  </r>
  <r>
    <d v="2024-05-02T00:00:00"/>
    <s v="ORD-000553"/>
    <x v="0"/>
    <x v="4"/>
    <n v="2324.46"/>
    <s v="West"/>
    <n v="3972.32"/>
    <n v="1647.86"/>
    <n v="20"/>
    <n v="1"/>
    <s v="May"/>
    <n v="2024"/>
    <x v="0"/>
    <x v="0"/>
  </r>
  <r>
    <d v="2025-03-05T00:00:00"/>
    <s v="ORD-000554"/>
    <x v="3"/>
    <x v="22"/>
    <n v="45548.52"/>
    <s v="North"/>
    <n v="57294.51"/>
    <n v="11745.99"/>
    <n v="10"/>
    <n v="2"/>
    <s v="March"/>
    <n v="2025"/>
    <x v="1"/>
    <x v="1"/>
  </r>
  <r>
    <d v="2024-06-18T00:00:00"/>
    <s v="ORD-000555"/>
    <x v="1"/>
    <x v="9"/>
    <n v="3136.18"/>
    <s v="South"/>
    <n v="4228.47"/>
    <n v="1092.29"/>
    <n v="15"/>
    <n v="1"/>
    <s v="June"/>
    <n v="2024"/>
    <x v="0"/>
    <x v="0"/>
  </r>
  <r>
    <d v="2025-08-10T00:00:00"/>
    <s v="ORD-000556"/>
    <x v="5"/>
    <x v="16"/>
    <n v="2997.53"/>
    <s v="West"/>
    <n v="4365.51"/>
    <n v="1367.98"/>
    <n v="10"/>
    <n v="1"/>
    <s v="August"/>
    <n v="2025"/>
    <x v="1"/>
    <x v="1"/>
  </r>
  <r>
    <d v="2025-10-10T00:00:00"/>
    <s v="ORD-000557"/>
    <x v="3"/>
    <x v="22"/>
    <n v="131363.01999999999"/>
    <s v="West"/>
    <n v="160661.29"/>
    <n v="29298.27"/>
    <n v="5"/>
    <n v="6"/>
    <s v="October"/>
    <n v="2025"/>
    <x v="1"/>
    <x v="1"/>
  </r>
  <r>
    <d v="2025-07-29T00:00:00"/>
    <s v="ORD-000558"/>
    <x v="3"/>
    <x v="32"/>
    <n v="121355.98"/>
    <s v="West"/>
    <n v="139154.78"/>
    <n v="17798.8"/>
    <n v="5"/>
    <n v="6"/>
    <s v="July"/>
    <n v="2025"/>
    <x v="1"/>
    <x v="1"/>
  </r>
  <r>
    <d v="2025-09-07T00:00:00"/>
    <s v="ORD-000559"/>
    <x v="5"/>
    <x v="20"/>
    <n v="3747.08"/>
    <s v="Central"/>
    <n v="6598.77"/>
    <n v="2851.69"/>
    <n v="5"/>
    <n v="2"/>
    <s v="September"/>
    <n v="2025"/>
    <x v="1"/>
    <x v="1"/>
  </r>
  <r>
    <d v="2025-01-11T00:00:00"/>
    <s v="ORD-000560"/>
    <x v="4"/>
    <x v="40"/>
    <n v="4482.57"/>
    <s v="South"/>
    <n v="4744.43"/>
    <n v="261.86"/>
    <n v="25"/>
    <n v="1"/>
    <s v="January"/>
    <n v="2025"/>
    <x v="0"/>
    <x v="2"/>
  </r>
  <r>
    <d v="2025-01-13T00:00:00"/>
    <s v="ORD-000561"/>
    <x v="1"/>
    <x v="24"/>
    <n v="30987.47"/>
    <s v="South"/>
    <n v="36877.35"/>
    <n v="5889.88"/>
    <n v="10"/>
    <n v="6"/>
    <s v="January"/>
    <n v="2025"/>
    <x v="1"/>
    <x v="1"/>
  </r>
  <r>
    <d v="2024-12-26T00:00:00"/>
    <s v="ORD-000562"/>
    <x v="2"/>
    <x v="13"/>
    <n v="938.38"/>
    <s v="North"/>
    <n v="1719.6"/>
    <n v="781.22"/>
    <n v="5"/>
    <n v="2"/>
    <s v="December"/>
    <n v="2024"/>
    <x v="1"/>
    <x v="1"/>
  </r>
  <r>
    <d v="2025-10-04T00:00:00"/>
    <s v="ORD-000563"/>
    <x v="2"/>
    <x v="10"/>
    <n v="217.37"/>
    <s v="Central"/>
    <n v="472.69"/>
    <n v="255.32"/>
    <n v="0"/>
    <n v="5"/>
    <s v="October"/>
    <n v="2025"/>
    <x v="2"/>
    <x v="1"/>
  </r>
  <r>
    <d v="2023-07-02T00:00:00"/>
    <s v="ORD-000564"/>
    <x v="0"/>
    <x v="41"/>
    <n v="847.88"/>
    <s v="West"/>
    <n v="2118.83"/>
    <n v="1270.95"/>
    <n v="0"/>
    <n v="3"/>
    <s v="July"/>
    <n v="2023"/>
    <x v="2"/>
    <x v="1"/>
  </r>
  <r>
    <d v="2025-02-04T00:00:00"/>
    <s v="ORD-000565"/>
    <x v="4"/>
    <x v="26"/>
    <n v="5244.62"/>
    <s v="North"/>
    <n v="6815.06"/>
    <n v="1570.44"/>
    <n v="5"/>
    <n v="1"/>
    <s v="February"/>
    <n v="2025"/>
    <x v="1"/>
    <x v="1"/>
  </r>
  <r>
    <d v="2023-05-28T00:00:00"/>
    <s v="ORD-000566"/>
    <x v="0"/>
    <x v="0"/>
    <n v="542.74"/>
    <s v="North"/>
    <n v="725.78"/>
    <n v="183.04"/>
    <n v="15"/>
    <n v="2"/>
    <s v="May"/>
    <n v="2023"/>
    <x v="0"/>
    <x v="0"/>
  </r>
  <r>
    <d v="2023-05-14T00:00:00"/>
    <s v="ORD-000567"/>
    <x v="2"/>
    <x v="35"/>
    <n v="234.74"/>
    <s v="South"/>
    <n v="263.99"/>
    <n v="29.25"/>
    <n v="30"/>
    <n v="1"/>
    <s v="May"/>
    <n v="2023"/>
    <x v="0"/>
    <x v="2"/>
  </r>
  <r>
    <d v="2023-06-27T00:00:00"/>
    <s v="ORD-000568"/>
    <x v="1"/>
    <x v="9"/>
    <n v="7352.45"/>
    <s v="West"/>
    <n v="8834.94"/>
    <n v="1482.49"/>
    <n v="5"/>
    <n v="2"/>
    <s v="June"/>
    <n v="2023"/>
    <x v="1"/>
    <x v="1"/>
  </r>
  <r>
    <d v="2025-11-12T00:00:00"/>
    <s v="ORD-000569"/>
    <x v="1"/>
    <x v="23"/>
    <n v="57902.65"/>
    <s v="North"/>
    <n v="80052.289999999994"/>
    <n v="22149.64"/>
    <n v="10"/>
    <n v="6"/>
    <s v="November"/>
    <n v="2025"/>
    <x v="1"/>
    <x v="1"/>
  </r>
  <r>
    <d v="2025-01-01T00:00:00"/>
    <s v="ORD-000570"/>
    <x v="4"/>
    <x v="40"/>
    <n v="3212.84"/>
    <s v="West"/>
    <n v="3967.7"/>
    <n v="754.86"/>
    <n v="10"/>
    <n v="2"/>
    <s v="January"/>
    <n v="2025"/>
    <x v="1"/>
    <x v="1"/>
  </r>
  <r>
    <d v="2023-04-23T00:00:00"/>
    <s v="ORD-000571"/>
    <x v="0"/>
    <x v="41"/>
    <n v="7322.66"/>
    <s v="North"/>
    <n v="12898.7"/>
    <n v="5576.04"/>
    <n v="5"/>
    <n v="5"/>
    <s v="April"/>
    <n v="2023"/>
    <x v="1"/>
    <x v="1"/>
  </r>
  <r>
    <d v="2024-07-02T00:00:00"/>
    <s v="ORD-000572"/>
    <x v="5"/>
    <x v="36"/>
    <n v="1197.4100000000001"/>
    <s v="West"/>
    <n v="2415.08"/>
    <n v="1217.67"/>
    <n v="15"/>
    <n v="3"/>
    <s v="July"/>
    <n v="2024"/>
    <x v="0"/>
    <x v="0"/>
  </r>
  <r>
    <d v="2024-06-12T00:00:00"/>
    <s v="ORD-000573"/>
    <x v="1"/>
    <x v="5"/>
    <n v="5036.92"/>
    <s v="West"/>
    <n v="5991.23"/>
    <n v="954.31"/>
    <n v="20"/>
    <n v="1"/>
    <s v="June"/>
    <n v="2024"/>
    <x v="0"/>
    <x v="0"/>
  </r>
  <r>
    <d v="2024-09-12T00:00:00"/>
    <s v="ORD-000574"/>
    <x v="5"/>
    <x v="27"/>
    <n v="1191.24"/>
    <s v="South"/>
    <n v="2495.09"/>
    <n v="1303.8499999999999"/>
    <n v="10"/>
    <n v="1"/>
    <s v="September"/>
    <n v="2024"/>
    <x v="1"/>
    <x v="1"/>
  </r>
  <r>
    <d v="2024-07-27T00:00:00"/>
    <s v="ORD-000575"/>
    <x v="4"/>
    <x v="40"/>
    <n v="6804.82"/>
    <s v="North"/>
    <n v="8128.5"/>
    <n v="1323.68"/>
    <n v="20"/>
    <n v="3"/>
    <s v="July"/>
    <n v="2024"/>
    <x v="0"/>
    <x v="0"/>
  </r>
  <r>
    <d v="2025-04-14T00:00:00"/>
    <s v="ORD-000576"/>
    <x v="3"/>
    <x v="37"/>
    <n v="18531.009999999998"/>
    <s v="North"/>
    <n v="19674.759999999998"/>
    <n v="1143.75"/>
    <n v="10"/>
    <n v="5"/>
    <s v="April"/>
    <n v="2025"/>
    <x v="1"/>
    <x v="1"/>
  </r>
  <r>
    <d v="2024-08-18T00:00:00"/>
    <s v="ORD-000577"/>
    <x v="1"/>
    <x v="29"/>
    <n v="12386.46"/>
    <s v="West"/>
    <n v="13967.11"/>
    <n v="1580.65"/>
    <n v="15"/>
    <n v="6"/>
    <s v="August"/>
    <n v="2024"/>
    <x v="0"/>
    <x v="0"/>
  </r>
  <r>
    <d v="2023-02-05T00:00:00"/>
    <s v="ORD-000578"/>
    <x v="2"/>
    <x v="2"/>
    <n v="441.76"/>
    <s v="North"/>
    <n v="609.83000000000004"/>
    <n v="168.07"/>
    <n v="15"/>
    <n v="4"/>
    <s v="February"/>
    <n v="2023"/>
    <x v="0"/>
    <x v="0"/>
  </r>
  <r>
    <d v="2023-07-05T00:00:00"/>
    <s v="ORD-000579"/>
    <x v="0"/>
    <x v="41"/>
    <n v="1044.1300000000001"/>
    <s v="North"/>
    <n v="1388.17"/>
    <n v="344.04"/>
    <n v="15"/>
    <n v="1"/>
    <s v="July"/>
    <n v="2023"/>
    <x v="0"/>
    <x v="0"/>
  </r>
  <r>
    <d v="2024-07-29T00:00:00"/>
    <s v="ORD-000580"/>
    <x v="1"/>
    <x v="5"/>
    <n v="7123.41"/>
    <s v="West"/>
    <n v="7822.22"/>
    <n v="698.81"/>
    <n v="15"/>
    <n v="3"/>
    <s v="July"/>
    <n v="2024"/>
    <x v="0"/>
    <x v="0"/>
  </r>
  <r>
    <d v="2024-09-08T00:00:00"/>
    <s v="ORD-000581"/>
    <x v="1"/>
    <x v="29"/>
    <n v="37917.78"/>
    <s v="North"/>
    <n v="53421"/>
    <n v="15503.22"/>
    <n v="0"/>
    <n v="5"/>
    <s v="September"/>
    <n v="2024"/>
    <x v="2"/>
    <x v="1"/>
  </r>
  <r>
    <d v="2024-05-14T00:00:00"/>
    <s v="ORD-000582"/>
    <x v="4"/>
    <x v="30"/>
    <n v="13296.62"/>
    <s v="West"/>
    <n v="17168.18"/>
    <n v="3871.56"/>
    <n v="5"/>
    <n v="4"/>
    <s v="May"/>
    <n v="2024"/>
    <x v="1"/>
    <x v="1"/>
  </r>
  <r>
    <d v="2025-06-20T00:00:00"/>
    <s v="ORD-000583"/>
    <x v="4"/>
    <x v="7"/>
    <n v="128977.51"/>
    <s v="South"/>
    <n v="214738.63"/>
    <n v="85761.12"/>
    <n v="0"/>
    <n v="8"/>
    <s v="June"/>
    <n v="2025"/>
    <x v="2"/>
    <x v="1"/>
  </r>
  <r>
    <d v="2023-11-19T00:00:00"/>
    <s v="ORD-000584"/>
    <x v="3"/>
    <x v="28"/>
    <n v="44461.63"/>
    <s v="West"/>
    <n v="63208.1"/>
    <n v="18746.47"/>
    <n v="5"/>
    <n v="8"/>
    <s v="November"/>
    <n v="2023"/>
    <x v="1"/>
    <x v="1"/>
  </r>
  <r>
    <d v="2025-04-29T00:00:00"/>
    <s v="ORD-000585"/>
    <x v="1"/>
    <x v="1"/>
    <n v="1819.37"/>
    <s v="North"/>
    <n v="1849.9"/>
    <n v="30.53"/>
    <n v="20"/>
    <n v="1"/>
    <s v="April"/>
    <n v="2025"/>
    <x v="0"/>
    <x v="0"/>
  </r>
  <r>
    <d v="2024-07-10T00:00:00"/>
    <s v="ORD-000586"/>
    <x v="2"/>
    <x v="10"/>
    <n v="434.78"/>
    <s v="North"/>
    <n v="585.71"/>
    <n v="150.93"/>
    <n v="15"/>
    <n v="1"/>
    <s v="July"/>
    <n v="2024"/>
    <x v="0"/>
    <x v="0"/>
  </r>
  <r>
    <d v="2023-08-14T00:00:00"/>
    <s v="ORD-000587"/>
    <x v="2"/>
    <x v="35"/>
    <n v="131.34"/>
    <s v="Central"/>
    <n v="188.95"/>
    <n v="57.61"/>
    <n v="25"/>
    <n v="2"/>
    <s v="August"/>
    <n v="2023"/>
    <x v="0"/>
    <x v="2"/>
  </r>
  <r>
    <d v="2023-06-06T00:00:00"/>
    <s v="ORD-000588"/>
    <x v="5"/>
    <x v="16"/>
    <n v="10161.549999999999"/>
    <s v="East"/>
    <n v="18121.53"/>
    <n v="7959.98"/>
    <n v="10"/>
    <n v="8"/>
    <s v="June"/>
    <n v="2023"/>
    <x v="1"/>
    <x v="1"/>
  </r>
  <r>
    <d v="2024-12-29T00:00:00"/>
    <s v="ORD-000589"/>
    <x v="2"/>
    <x v="2"/>
    <n v="783.21"/>
    <s v="South"/>
    <n v="1862.85"/>
    <n v="1079.6400000000001"/>
    <n v="0"/>
    <n v="3"/>
    <s v="December"/>
    <n v="2024"/>
    <x v="2"/>
    <x v="1"/>
  </r>
  <r>
    <d v="2024-06-05T00:00:00"/>
    <s v="ORD-000590"/>
    <x v="1"/>
    <x v="23"/>
    <n v="6774.9"/>
    <s v="South"/>
    <n v="8582.9"/>
    <n v="1808"/>
    <n v="10"/>
    <n v="4"/>
    <s v="June"/>
    <n v="2024"/>
    <x v="1"/>
    <x v="1"/>
  </r>
  <r>
    <d v="2025-05-30T00:00:00"/>
    <s v="ORD-000591"/>
    <x v="5"/>
    <x v="33"/>
    <n v="575.84"/>
    <s v="South"/>
    <n v="927.3"/>
    <n v="351.46"/>
    <n v="5"/>
    <n v="1"/>
    <s v="May"/>
    <n v="2025"/>
    <x v="1"/>
    <x v="1"/>
  </r>
  <r>
    <d v="2023-06-13T00:00:00"/>
    <s v="ORD-000592"/>
    <x v="5"/>
    <x v="33"/>
    <n v="1689.56"/>
    <s v="South"/>
    <n v="2601.16"/>
    <n v="911.6"/>
    <n v="0"/>
    <n v="3"/>
    <s v="June"/>
    <n v="2023"/>
    <x v="2"/>
    <x v="1"/>
  </r>
  <r>
    <d v="2023-10-27T00:00:00"/>
    <s v="ORD-000593"/>
    <x v="5"/>
    <x v="36"/>
    <n v="387.68"/>
    <s v="West"/>
    <n v="571.46"/>
    <n v="183.78"/>
    <n v="10"/>
    <n v="1"/>
    <s v="October"/>
    <n v="2023"/>
    <x v="1"/>
    <x v="1"/>
  </r>
  <r>
    <d v="2024-08-17T00:00:00"/>
    <s v="ORD-000594"/>
    <x v="2"/>
    <x v="35"/>
    <n v="697.76"/>
    <s v="East"/>
    <n v="1280.46"/>
    <n v="582.70000000000005"/>
    <n v="5"/>
    <n v="4"/>
    <s v="August"/>
    <n v="2024"/>
    <x v="1"/>
    <x v="1"/>
  </r>
  <r>
    <d v="2023-09-17T00:00:00"/>
    <s v="ORD-000595"/>
    <x v="0"/>
    <x v="41"/>
    <n v="1220.0899999999999"/>
    <s v="East"/>
    <n v="1927.94"/>
    <n v="707.85"/>
    <n v="5"/>
    <n v="3"/>
    <s v="September"/>
    <n v="2023"/>
    <x v="1"/>
    <x v="1"/>
  </r>
  <r>
    <d v="2023-07-30T00:00:00"/>
    <s v="ORD-000596"/>
    <x v="2"/>
    <x v="10"/>
    <n v="2032.86"/>
    <s v="West"/>
    <n v="3144.2"/>
    <n v="1111.3399999999999"/>
    <n v="0"/>
    <n v="3"/>
    <s v="July"/>
    <n v="2023"/>
    <x v="2"/>
    <x v="1"/>
  </r>
  <r>
    <d v="2024-11-15T00:00:00"/>
    <s v="ORD-000597"/>
    <x v="0"/>
    <x v="41"/>
    <n v="6688.99"/>
    <s v="North"/>
    <n v="9294.16"/>
    <n v="2605.17"/>
    <n v="10"/>
    <n v="5"/>
    <s v="November"/>
    <n v="2024"/>
    <x v="1"/>
    <x v="1"/>
  </r>
  <r>
    <d v="2024-12-11T00:00:00"/>
    <s v="ORD-000598"/>
    <x v="3"/>
    <x v="32"/>
    <n v="5122.08"/>
    <s v="West"/>
    <n v="5138.2700000000004"/>
    <n v="16.190000000000001"/>
    <n v="16"/>
    <n v="2"/>
    <s v="December"/>
    <n v="2024"/>
    <x v="0"/>
    <x v="0"/>
  </r>
  <r>
    <d v="2025-04-29T00:00:00"/>
    <s v="ORD-000599"/>
    <x v="5"/>
    <x v="36"/>
    <n v="2450.0300000000002"/>
    <s v="North"/>
    <n v="3363.16"/>
    <n v="913.13"/>
    <n v="25"/>
    <n v="1"/>
    <s v="April"/>
    <n v="2025"/>
    <x v="0"/>
    <x v="2"/>
  </r>
  <r>
    <d v="2023-07-30T00:00:00"/>
    <s v="ORD-000600"/>
    <x v="0"/>
    <x v="4"/>
    <n v="1242.51"/>
    <s v="West"/>
    <n v="1845.53"/>
    <n v="603.02"/>
    <n v="15"/>
    <n v="3"/>
    <s v="July"/>
    <n v="2023"/>
    <x v="0"/>
    <x v="0"/>
  </r>
  <r>
    <d v="2023-05-01T00:00:00"/>
    <s v="ORD-000601"/>
    <x v="5"/>
    <x v="20"/>
    <n v="262.19"/>
    <s v="South"/>
    <n v="548.08000000000004"/>
    <n v="285.89"/>
    <n v="10"/>
    <n v="1"/>
    <s v="May"/>
    <n v="2023"/>
    <x v="1"/>
    <x v="1"/>
  </r>
  <r>
    <d v="2024-09-11T00:00:00"/>
    <s v="ORD-000602"/>
    <x v="1"/>
    <x v="29"/>
    <n v="45023.89"/>
    <s v="East"/>
    <n v="61225.13"/>
    <n v="16201.24"/>
    <n v="15"/>
    <n v="5"/>
    <s v="September"/>
    <n v="2024"/>
    <x v="0"/>
    <x v="0"/>
  </r>
  <r>
    <d v="2023-04-02T00:00:00"/>
    <s v="ORD-000603"/>
    <x v="3"/>
    <x v="34"/>
    <n v="3039.76"/>
    <s v="South"/>
    <n v="3388.23"/>
    <n v="348.47"/>
    <n v="15"/>
    <n v="1"/>
    <s v="April"/>
    <n v="2023"/>
    <x v="0"/>
    <x v="0"/>
  </r>
  <r>
    <d v="2023-04-18T00:00:00"/>
    <s v="ORD-000604"/>
    <x v="2"/>
    <x v="38"/>
    <n v="461.79"/>
    <s v="South"/>
    <n v="863.64"/>
    <n v="401.85"/>
    <n v="10"/>
    <n v="2"/>
    <s v="April"/>
    <n v="2023"/>
    <x v="1"/>
    <x v="1"/>
  </r>
  <r>
    <d v="2023-12-11T00:00:00"/>
    <s v="ORD-000605"/>
    <x v="5"/>
    <x v="16"/>
    <n v="232.54"/>
    <s v="East"/>
    <n v="390.78"/>
    <n v="158.24"/>
    <n v="15"/>
    <n v="1"/>
    <s v="December"/>
    <n v="2023"/>
    <x v="0"/>
    <x v="0"/>
  </r>
  <r>
    <d v="2025-04-16T00:00:00"/>
    <s v="ORD-000606"/>
    <x v="4"/>
    <x v="26"/>
    <n v="72436.5"/>
    <s v="Central"/>
    <n v="103342.95"/>
    <n v="30906.45"/>
    <n v="10"/>
    <n v="8"/>
    <s v="April"/>
    <n v="2025"/>
    <x v="1"/>
    <x v="1"/>
  </r>
  <r>
    <d v="2024-08-13T00:00:00"/>
    <s v="ORD-000607"/>
    <x v="3"/>
    <x v="34"/>
    <n v="2984.49"/>
    <s v="North"/>
    <n v="3230.68"/>
    <n v="246.19"/>
    <n v="25"/>
    <n v="1"/>
    <s v="August"/>
    <n v="2024"/>
    <x v="0"/>
    <x v="2"/>
  </r>
  <r>
    <d v="2024-01-09T00:00:00"/>
    <s v="ORD-000608"/>
    <x v="1"/>
    <x v="23"/>
    <n v="18546.55"/>
    <s v="North"/>
    <n v="25814.34"/>
    <n v="7267.79"/>
    <n v="0"/>
    <n v="5"/>
    <s v="January"/>
    <n v="2024"/>
    <x v="2"/>
    <x v="1"/>
  </r>
  <r>
    <d v="2024-08-21T00:00:00"/>
    <s v="ORD-000609"/>
    <x v="0"/>
    <x v="6"/>
    <n v="888.76"/>
    <s v="Central"/>
    <n v="1489.12"/>
    <n v="600.36"/>
    <n v="25"/>
    <n v="1"/>
    <s v="August"/>
    <n v="2024"/>
    <x v="0"/>
    <x v="2"/>
  </r>
  <r>
    <d v="2023-12-27T00:00:00"/>
    <s v="ORD-000610"/>
    <x v="3"/>
    <x v="28"/>
    <n v="35293.81"/>
    <s v="South"/>
    <n v="49997.599999999999"/>
    <n v="14703.79"/>
    <n v="5"/>
    <n v="3"/>
    <s v="December"/>
    <n v="2023"/>
    <x v="1"/>
    <x v="1"/>
  </r>
  <r>
    <d v="2024-04-12T00:00:00"/>
    <s v="ORD-000611"/>
    <x v="5"/>
    <x v="20"/>
    <n v="4142.22"/>
    <s v="Central"/>
    <n v="7980.46"/>
    <n v="3838.24"/>
    <n v="10"/>
    <n v="4"/>
    <s v="April"/>
    <n v="2024"/>
    <x v="1"/>
    <x v="1"/>
  </r>
  <r>
    <d v="2023-05-11T00:00:00"/>
    <s v="ORD-000612"/>
    <x v="2"/>
    <x v="31"/>
    <n v="1164.52"/>
    <s v="East"/>
    <n v="2273.84"/>
    <n v="1109.32"/>
    <n v="5"/>
    <n v="2"/>
    <s v="May"/>
    <n v="2023"/>
    <x v="1"/>
    <x v="1"/>
  </r>
  <r>
    <d v="2024-10-22T00:00:00"/>
    <s v="ORD-000613"/>
    <x v="3"/>
    <x v="37"/>
    <n v="190070.39"/>
    <s v="North"/>
    <n v="216202.04"/>
    <n v="26131.65"/>
    <n v="5"/>
    <n v="10"/>
    <s v="October"/>
    <n v="2024"/>
    <x v="1"/>
    <x v="1"/>
  </r>
  <r>
    <d v="2023-12-17T00:00:00"/>
    <s v="ORD-000614"/>
    <x v="1"/>
    <x v="5"/>
    <n v="7214.31"/>
    <s v="Central"/>
    <n v="8593.33"/>
    <n v="1379.02"/>
    <n v="5"/>
    <n v="1"/>
    <s v="December"/>
    <n v="2023"/>
    <x v="1"/>
    <x v="1"/>
  </r>
  <r>
    <d v="2024-10-23T00:00:00"/>
    <s v="ORD-000615"/>
    <x v="5"/>
    <x v="18"/>
    <n v="1304.3599999999999"/>
    <s v="Central"/>
    <n v="1836.73"/>
    <n v="532.37"/>
    <n v="5"/>
    <n v="3"/>
    <s v="October"/>
    <n v="2024"/>
    <x v="1"/>
    <x v="1"/>
  </r>
  <r>
    <d v="2025-03-27T00:00:00"/>
    <s v="ORD-000616"/>
    <x v="3"/>
    <x v="32"/>
    <n v="71062.52"/>
    <s v="West"/>
    <n v="92148.96"/>
    <n v="21086.44"/>
    <n v="0"/>
    <n v="8"/>
    <s v="March"/>
    <n v="2025"/>
    <x v="2"/>
    <x v="1"/>
  </r>
  <r>
    <d v="2025-10-25T00:00:00"/>
    <s v="ORD-000617"/>
    <x v="2"/>
    <x v="38"/>
    <n v="1893.21"/>
    <s v="North"/>
    <n v="3056.51"/>
    <n v="1163.3"/>
    <n v="5"/>
    <n v="4"/>
    <s v="October"/>
    <n v="2025"/>
    <x v="1"/>
    <x v="1"/>
  </r>
  <r>
    <d v="2024-09-04T00:00:00"/>
    <s v="ORD-000618"/>
    <x v="5"/>
    <x v="14"/>
    <n v="3535.89"/>
    <s v="South"/>
    <n v="5545.49"/>
    <n v="2009.6"/>
    <n v="20"/>
    <n v="10"/>
    <s v="September"/>
    <n v="2024"/>
    <x v="0"/>
    <x v="0"/>
  </r>
  <r>
    <d v="2024-07-26T00:00:00"/>
    <s v="ORD-000619"/>
    <x v="3"/>
    <x v="12"/>
    <n v="2529.86"/>
    <s v="South"/>
    <n v="2629"/>
    <n v="99.14"/>
    <n v="15"/>
    <n v="1"/>
    <s v="July"/>
    <n v="2024"/>
    <x v="0"/>
    <x v="0"/>
  </r>
  <r>
    <d v="2024-07-30T00:00:00"/>
    <s v="ORD-000620"/>
    <x v="0"/>
    <x v="6"/>
    <n v="2547.62"/>
    <s v="South"/>
    <n v="5092.79"/>
    <n v="2545.17"/>
    <n v="15"/>
    <n v="5"/>
    <s v="July"/>
    <n v="2024"/>
    <x v="0"/>
    <x v="0"/>
  </r>
  <r>
    <d v="2024-09-24T00:00:00"/>
    <s v="ORD-000621"/>
    <x v="5"/>
    <x v="18"/>
    <n v="201.84"/>
    <s v="North"/>
    <n v="425.28"/>
    <n v="223.44"/>
    <n v="10"/>
    <n v="1"/>
    <s v="September"/>
    <n v="2024"/>
    <x v="1"/>
    <x v="1"/>
  </r>
  <r>
    <d v="2025-07-30T00:00:00"/>
    <s v="ORD-000622"/>
    <x v="1"/>
    <x v="1"/>
    <n v="6372.52"/>
    <s v="South"/>
    <n v="8628.56"/>
    <n v="2256.04"/>
    <n v="5"/>
    <n v="1"/>
    <s v="July"/>
    <n v="2025"/>
    <x v="1"/>
    <x v="1"/>
  </r>
  <r>
    <d v="2025-05-03T00:00:00"/>
    <s v="ORD-000623"/>
    <x v="1"/>
    <x v="9"/>
    <n v="7166.69"/>
    <s v="South"/>
    <n v="9508.2000000000007"/>
    <n v="2341.5100000000002"/>
    <n v="0"/>
    <n v="2"/>
    <s v="May"/>
    <n v="2025"/>
    <x v="2"/>
    <x v="1"/>
  </r>
  <r>
    <d v="2025-12-21T00:00:00"/>
    <s v="ORD-000624"/>
    <x v="5"/>
    <x v="16"/>
    <n v="8575.14"/>
    <s v="East"/>
    <n v="11271.19"/>
    <n v="2696.05"/>
    <n v="15"/>
    <n v="3"/>
    <s v="December"/>
    <n v="2025"/>
    <x v="0"/>
    <x v="0"/>
  </r>
  <r>
    <d v="2024-03-31T00:00:00"/>
    <s v="ORD-000625"/>
    <x v="1"/>
    <x v="5"/>
    <n v="3600.81"/>
    <s v="North"/>
    <n v="5199.37"/>
    <n v="1598.56"/>
    <n v="10"/>
    <n v="1"/>
    <s v="March"/>
    <n v="2024"/>
    <x v="1"/>
    <x v="1"/>
  </r>
  <r>
    <d v="2025-01-07T00:00:00"/>
    <s v="ORD-000626"/>
    <x v="5"/>
    <x v="14"/>
    <n v="9772"/>
    <s v="North"/>
    <n v="18558.650000000001"/>
    <n v="8786.65"/>
    <n v="5"/>
    <n v="4"/>
    <s v="January"/>
    <n v="2025"/>
    <x v="1"/>
    <x v="1"/>
  </r>
  <r>
    <d v="2023-09-13T00:00:00"/>
    <s v="ORD-000627"/>
    <x v="3"/>
    <x v="32"/>
    <n v="1495.71"/>
    <s v="Central"/>
    <n v="1873.85"/>
    <n v="378.14"/>
    <n v="0"/>
    <n v="2"/>
    <s v="September"/>
    <n v="2023"/>
    <x v="2"/>
    <x v="1"/>
  </r>
  <r>
    <d v="2023-08-30T00:00:00"/>
    <s v="ORD-000628"/>
    <x v="3"/>
    <x v="28"/>
    <n v="2204.79"/>
    <s v="Central"/>
    <n v="2239.12"/>
    <n v="34.33"/>
    <n v="20"/>
    <n v="1"/>
    <s v="August"/>
    <n v="2023"/>
    <x v="0"/>
    <x v="0"/>
  </r>
  <r>
    <d v="2025-05-21T00:00:00"/>
    <s v="ORD-000629"/>
    <x v="0"/>
    <x v="41"/>
    <n v="6801.46"/>
    <s v="Central"/>
    <n v="14136.77"/>
    <n v="7335.31"/>
    <n v="10"/>
    <n v="4"/>
    <s v="May"/>
    <n v="2025"/>
    <x v="1"/>
    <x v="1"/>
  </r>
  <r>
    <d v="2025-09-15T00:00:00"/>
    <s v="ORD-000630"/>
    <x v="2"/>
    <x v="25"/>
    <n v="71.73"/>
    <s v="East"/>
    <n v="77.510000000000005"/>
    <n v="5.78"/>
    <n v="25"/>
    <n v="1"/>
    <s v="September"/>
    <n v="2025"/>
    <x v="0"/>
    <x v="2"/>
  </r>
  <r>
    <d v="2025-05-15T00:00:00"/>
    <s v="ORD-000631"/>
    <x v="3"/>
    <x v="32"/>
    <n v="16499.310000000001"/>
    <s v="Central"/>
    <n v="16590.28"/>
    <n v="90.97"/>
    <n v="30"/>
    <n v="2"/>
    <s v="May"/>
    <n v="2025"/>
    <x v="0"/>
    <x v="2"/>
  </r>
  <r>
    <d v="2025-12-27T00:00:00"/>
    <s v="ORD-000632"/>
    <x v="4"/>
    <x v="7"/>
    <n v="6885.02"/>
    <s v="East"/>
    <n v="7821"/>
    <n v="935.98"/>
    <n v="20"/>
    <n v="4"/>
    <s v="December"/>
    <n v="2025"/>
    <x v="0"/>
    <x v="0"/>
  </r>
  <r>
    <d v="2024-07-12T00:00:00"/>
    <s v="ORD-000633"/>
    <x v="5"/>
    <x v="36"/>
    <n v="4101.3500000000004"/>
    <s v="East"/>
    <n v="5958.43"/>
    <n v="1857.08"/>
    <n v="20"/>
    <n v="4"/>
    <s v="July"/>
    <n v="2024"/>
    <x v="0"/>
    <x v="0"/>
  </r>
  <r>
    <d v="2025-03-07T00:00:00"/>
    <s v="ORD-000634"/>
    <x v="4"/>
    <x v="40"/>
    <n v="8654.08"/>
    <s v="South"/>
    <n v="10417.299999999999"/>
    <n v="1763.22"/>
    <n v="30"/>
    <n v="2"/>
    <s v="March"/>
    <n v="2025"/>
    <x v="0"/>
    <x v="2"/>
  </r>
  <r>
    <d v="2023-07-19T00:00:00"/>
    <s v="ORD-000635"/>
    <x v="2"/>
    <x v="13"/>
    <n v="6619.72"/>
    <s v="West"/>
    <n v="8627.9500000000007"/>
    <n v="2008.23"/>
    <n v="10"/>
    <n v="6"/>
    <s v="July"/>
    <n v="2023"/>
    <x v="1"/>
    <x v="1"/>
  </r>
  <r>
    <d v="2024-08-08T00:00:00"/>
    <s v="ORD-000636"/>
    <x v="1"/>
    <x v="5"/>
    <n v="5365.03"/>
    <s v="South"/>
    <n v="7797.66"/>
    <n v="2432.63"/>
    <n v="0"/>
    <n v="3"/>
    <s v="August"/>
    <n v="2024"/>
    <x v="2"/>
    <x v="1"/>
  </r>
  <r>
    <d v="2024-09-30T00:00:00"/>
    <s v="ORD-000637"/>
    <x v="2"/>
    <x v="31"/>
    <n v="152.41"/>
    <s v="East"/>
    <n v="304.24"/>
    <n v="151.83000000000001"/>
    <n v="0"/>
    <n v="3"/>
    <s v="September"/>
    <n v="2024"/>
    <x v="2"/>
    <x v="1"/>
  </r>
  <r>
    <d v="2024-08-26T00:00:00"/>
    <s v="ORD-000638"/>
    <x v="0"/>
    <x v="6"/>
    <n v="1282.26"/>
    <s v="West"/>
    <n v="2179.27"/>
    <n v="897.01"/>
    <n v="0"/>
    <n v="4"/>
    <s v="August"/>
    <n v="2024"/>
    <x v="2"/>
    <x v="1"/>
  </r>
  <r>
    <d v="2025-10-30T00:00:00"/>
    <s v="ORD-000639"/>
    <x v="2"/>
    <x v="13"/>
    <n v="858.17"/>
    <s v="West"/>
    <n v="1207.96"/>
    <n v="349.79"/>
    <n v="15"/>
    <n v="3"/>
    <s v="October"/>
    <n v="2025"/>
    <x v="0"/>
    <x v="0"/>
  </r>
  <r>
    <d v="2023-03-21T00:00:00"/>
    <s v="ORD-000640"/>
    <x v="0"/>
    <x v="21"/>
    <n v="790.04"/>
    <s v="South"/>
    <n v="1683.57"/>
    <n v="893.53"/>
    <n v="0"/>
    <n v="4"/>
    <s v="March"/>
    <n v="2023"/>
    <x v="2"/>
    <x v="1"/>
  </r>
  <r>
    <d v="2024-02-19T00:00:00"/>
    <s v="ORD-000641"/>
    <x v="0"/>
    <x v="4"/>
    <n v="1090.9100000000001"/>
    <s v="South"/>
    <n v="1959.38"/>
    <n v="868.47"/>
    <n v="10"/>
    <n v="6"/>
    <s v="February"/>
    <n v="2024"/>
    <x v="1"/>
    <x v="1"/>
  </r>
  <r>
    <d v="2023-05-28T00:00:00"/>
    <s v="ORD-000642"/>
    <x v="5"/>
    <x v="27"/>
    <n v="3190.94"/>
    <s v="North"/>
    <n v="3898.85"/>
    <n v="707.91"/>
    <n v="20"/>
    <n v="4"/>
    <s v="May"/>
    <n v="2023"/>
    <x v="0"/>
    <x v="0"/>
  </r>
  <r>
    <d v="2023-09-17T00:00:00"/>
    <s v="ORD-000643"/>
    <x v="2"/>
    <x v="35"/>
    <n v="6055.01"/>
    <s v="South"/>
    <n v="8262.35"/>
    <n v="2207.34"/>
    <n v="5"/>
    <n v="8"/>
    <s v="September"/>
    <n v="2023"/>
    <x v="1"/>
    <x v="1"/>
  </r>
  <r>
    <d v="2024-11-30T00:00:00"/>
    <s v="ORD-000644"/>
    <x v="0"/>
    <x v="8"/>
    <n v="1753.54"/>
    <s v="North"/>
    <n v="2710.95"/>
    <n v="957.41"/>
    <n v="10"/>
    <n v="1"/>
    <s v="November"/>
    <n v="2024"/>
    <x v="1"/>
    <x v="1"/>
  </r>
  <r>
    <d v="2023-04-28T00:00:00"/>
    <s v="ORD-000645"/>
    <x v="3"/>
    <x v="15"/>
    <n v="32747.48"/>
    <s v="East"/>
    <n v="40475.57"/>
    <n v="7728.09"/>
    <n v="0"/>
    <n v="2"/>
    <s v="April"/>
    <n v="2023"/>
    <x v="2"/>
    <x v="1"/>
  </r>
  <r>
    <d v="2025-03-28T00:00:00"/>
    <s v="ORD-000646"/>
    <x v="3"/>
    <x v="32"/>
    <n v="168996.94"/>
    <s v="North"/>
    <n v="236660.47"/>
    <n v="67663.53"/>
    <n v="5"/>
    <n v="8"/>
    <s v="March"/>
    <n v="2025"/>
    <x v="1"/>
    <x v="1"/>
  </r>
  <r>
    <d v="2024-10-15T00:00:00"/>
    <s v="ORD-000647"/>
    <x v="4"/>
    <x v="40"/>
    <n v="12272.12"/>
    <s v="South"/>
    <n v="17348.41"/>
    <n v="5076.29"/>
    <n v="5"/>
    <n v="2"/>
    <s v="October"/>
    <n v="2024"/>
    <x v="1"/>
    <x v="1"/>
  </r>
  <r>
    <d v="2023-12-13T00:00:00"/>
    <s v="ORD-000648"/>
    <x v="2"/>
    <x v="38"/>
    <n v="341.07"/>
    <s v="South"/>
    <n v="449.46"/>
    <n v="108.39"/>
    <n v="20"/>
    <n v="5"/>
    <s v="December"/>
    <n v="2023"/>
    <x v="0"/>
    <x v="0"/>
  </r>
  <r>
    <d v="2025-07-24T00:00:00"/>
    <s v="ORD-000649"/>
    <x v="1"/>
    <x v="24"/>
    <n v="3601.09"/>
    <s v="North"/>
    <n v="3604.41"/>
    <n v="3.32"/>
    <n v="22"/>
    <n v="3"/>
    <s v="July"/>
    <n v="2025"/>
    <x v="0"/>
    <x v="2"/>
  </r>
  <r>
    <d v="2024-07-26T00:00:00"/>
    <s v="ORD-000650"/>
    <x v="4"/>
    <x v="26"/>
    <n v="6313.74"/>
    <s v="West"/>
    <n v="10370.11"/>
    <n v="4056.37"/>
    <n v="0"/>
    <n v="1"/>
    <s v="July"/>
    <n v="2024"/>
    <x v="2"/>
    <x v="1"/>
  </r>
  <r>
    <d v="2024-11-25T00:00:00"/>
    <s v="ORD-000651"/>
    <x v="3"/>
    <x v="22"/>
    <n v="2701.29"/>
    <s v="Central"/>
    <n v="2878"/>
    <n v="176.71"/>
    <n v="10"/>
    <n v="3"/>
    <s v="November"/>
    <n v="2024"/>
    <x v="1"/>
    <x v="1"/>
  </r>
  <r>
    <d v="2023-06-25T00:00:00"/>
    <s v="ORD-000652"/>
    <x v="2"/>
    <x v="38"/>
    <n v="2924.91"/>
    <s v="South"/>
    <n v="3857.7"/>
    <n v="932.79"/>
    <n v="25"/>
    <n v="3"/>
    <s v="June"/>
    <n v="2023"/>
    <x v="0"/>
    <x v="2"/>
  </r>
  <r>
    <d v="2024-05-30T00:00:00"/>
    <s v="ORD-000653"/>
    <x v="5"/>
    <x v="33"/>
    <n v="2644.05"/>
    <s v="West"/>
    <n v="4617.8999999999996"/>
    <n v="1973.85"/>
    <n v="10"/>
    <n v="1"/>
    <s v="May"/>
    <n v="2024"/>
    <x v="1"/>
    <x v="1"/>
  </r>
  <r>
    <d v="2024-11-19T00:00:00"/>
    <s v="ORD-000654"/>
    <x v="2"/>
    <x v="35"/>
    <n v="147.75"/>
    <s v="North"/>
    <n v="222.87"/>
    <n v="75.12"/>
    <n v="0"/>
    <n v="1"/>
    <s v="November"/>
    <n v="2024"/>
    <x v="2"/>
    <x v="1"/>
  </r>
  <r>
    <d v="2025-04-24T00:00:00"/>
    <s v="ORD-000655"/>
    <x v="0"/>
    <x v="0"/>
    <n v="414.67"/>
    <s v="East"/>
    <n v="725"/>
    <n v="310.33"/>
    <n v="20"/>
    <n v="1"/>
    <s v="April"/>
    <n v="2025"/>
    <x v="0"/>
    <x v="0"/>
  </r>
  <r>
    <d v="2025-09-05T00:00:00"/>
    <s v="ORD-000656"/>
    <x v="2"/>
    <x v="13"/>
    <n v="1275.24"/>
    <s v="West"/>
    <n v="1925.84"/>
    <n v="650.6"/>
    <n v="10"/>
    <n v="10"/>
    <s v="September"/>
    <n v="2025"/>
    <x v="1"/>
    <x v="1"/>
  </r>
  <r>
    <d v="2025-08-13T00:00:00"/>
    <s v="ORD-000657"/>
    <x v="3"/>
    <x v="32"/>
    <n v="7647.03"/>
    <s v="North"/>
    <n v="10248.69"/>
    <n v="2601.66"/>
    <n v="0"/>
    <n v="1"/>
    <s v="August"/>
    <n v="2025"/>
    <x v="2"/>
    <x v="1"/>
  </r>
  <r>
    <d v="2025-07-06T00:00:00"/>
    <s v="ORD-000658"/>
    <x v="0"/>
    <x v="0"/>
    <n v="2092.9299999999998"/>
    <s v="West"/>
    <n v="4746.34"/>
    <n v="2653.41"/>
    <n v="0"/>
    <n v="2"/>
    <s v="July"/>
    <n v="2025"/>
    <x v="2"/>
    <x v="1"/>
  </r>
  <r>
    <d v="2023-10-13T00:00:00"/>
    <s v="ORD-000659"/>
    <x v="1"/>
    <x v="23"/>
    <n v="2002.87"/>
    <s v="East"/>
    <n v="2935.67"/>
    <n v="932.8"/>
    <n v="5"/>
    <n v="2"/>
    <s v="October"/>
    <n v="2023"/>
    <x v="1"/>
    <x v="1"/>
  </r>
  <r>
    <d v="2023-01-17T00:00:00"/>
    <s v="ORD-000660"/>
    <x v="2"/>
    <x v="35"/>
    <n v="2373.5100000000002"/>
    <s v="South"/>
    <n v="2996"/>
    <n v="622.49"/>
    <n v="15"/>
    <n v="2"/>
    <s v="January"/>
    <n v="2023"/>
    <x v="0"/>
    <x v="0"/>
  </r>
  <r>
    <d v="2025-02-12T00:00:00"/>
    <s v="ORD-000661"/>
    <x v="4"/>
    <x v="7"/>
    <n v="11751.15"/>
    <s v="North"/>
    <n v="17502.07"/>
    <n v="5750.92"/>
    <n v="10"/>
    <n v="1"/>
    <s v="February"/>
    <n v="2025"/>
    <x v="1"/>
    <x v="1"/>
  </r>
  <r>
    <d v="2025-12-06T00:00:00"/>
    <s v="ORD-000662"/>
    <x v="0"/>
    <x v="6"/>
    <n v="1181.21"/>
    <s v="East"/>
    <n v="1618.19"/>
    <n v="436.98"/>
    <n v="15"/>
    <n v="4"/>
    <s v="December"/>
    <n v="2025"/>
    <x v="0"/>
    <x v="0"/>
  </r>
  <r>
    <d v="2024-06-02T00:00:00"/>
    <s v="ORD-000663"/>
    <x v="1"/>
    <x v="9"/>
    <n v="4738"/>
    <s v="Central"/>
    <n v="5397.16"/>
    <n v="659.16"/>
    <n v="15"/>
    <n v="3"/>
    <s v="June"/>
    <n v="2024"/>
    <x v="0"/>
    <x v="0"/>
  </r>
  <r>
    <d v="2024-04-30T00:00:00"/>
    <s v="ORD-000664"/>
    <x v="2"/>
    <x v="13"/>
    <n v="740.35"/>
    <s v="West"/>
    <n v="1269.01"/>
    <n v="528.66"/>
    <n v="5"/>
    <n v="1"/>
    <s v="April"/>
    <n v="2024"/>
    <x v="1"/>
    <x v="1"/>
  </r>
  <r>
    <d v="2024-05-22T00:00:00"/>
    <s v="ORD-000665"/>
    <x v="3"/>
    <x v="28"/>
    <n v="8396.8799999999992"/>
    <s v="East"/>
    <n v="10008.4"/>
    <n v="1611.52"/>
    <n v="5"/>
    <n v="3"/>
    <s v="May"/>
    <n v="2024"/>
    <x v="1"/>
    <x v="1"/>
  </r>
  <r>
    <d v="2025-10-08T00:00:00"/>
    <s v="ORD-000666"/>
    <x v="1"/>
    <x v="23"/>
    <n v="1986.12"/>
    <s v="West"/>
    <n v="2634.26"/>
    <n v="648.14"/>
    <n v="5"/>
    <n v="2"/>
    <s v="October"/>
    <n v="2025"/>
    <x v="1"/>
    <x v="1"/>
  </r>
  <r>
    <d v="2025-03-17T00:00:00"/>
    <s v="ORD-000667"/>
    <x v="2"/>
    <x v="10"/>
    <n v="107.84"/>
    <s v="West"/>
    <n v="177.4"/>
    <n v="69.56"/>
    <n v="0"/>
    <n v="1"/>
    <s v="March"/>
    <n v="2025"/>
    <x v="2"/>
    <x v="1"/>
  </r>
  <r>
    <d v="2023-02-22T00:00:00"/>
    <s v="ORD-000668"/>
    <x v="3"/>
    <x v="37"/>
    <n v="18125.38"/>
    <s v="East"/>
    <n v="24628.41"/>
    <n v="6503.03"/>
    <n v="0"/>
    <n v="1"/>
    <s v="February"/>
    <n v="2023"/>
    <x v="2"/>
    <x v="1"/>
  </r>
  <r>
    <d v="2025-07-04T00:00:00"/>
    <s v="ORD-000669"/>
    <x v="3"/>
    <x v="34"/>
    <n v="2748.27"/>
    <s v="East"/>
    <n v="3104.44"/>
    <n v="356.17"/>
    <n v="20"/>
    <n v="2"/>
    <s v="July"/>
    <n v="2025"/>
    <x v="0"/>
    <x v="0"/>
  </r>
  <r>
    <d v="2024-06-03T00:00:00"/>
    <s v="ORD-000670"/>
    <x v="2"/>
    <x v="38"/>
    <n v="298.74"/>
    <s v="North"/>
    <n v="530.09"/>
    <n v="231.35"/>
    <n v="0"/>
    <n v="6"/>
    <s v="June"/>
    <n v="2024"/>
    <x v="2"/>
    <x v="1"/>
  </r>
  <r>
    <d v="2025-02-22T00:00:00"/>
    <s v="ORD-000671"/>
    <x v="5"/>
    <x v="20"/>
    <n v="2370.36"/>
    <s v="North"/>
    <n v="5033.76"/>
    <n v="2663.4"/>
    <n v="15"/>
    <n v="2"/>
    <s v="February"/>
    <n v="2025"/>
    <x v="0"/>
    <x v="0"/>
  </r>
  <r>
    <d v="2025-09-21T00:00:00"/>
    <s v="ORD-000672"/>
    <x v="1"/>
    <x v="24"/>
    <n v="16672.419999999998"/>
    <s v="East"/>
    <n v="20628.38"/>
    <n v="3955.96"/>
    <n v="0"/>
    <n v="4"/>
    <s v="September"/>
    <n v="2025"/>
    <x v="2"/>
    <x v="1"/>
  </r>
  <r>
    <d v="2023-06-21T00:00:00"/>
    <s v="ORD-000673"/>
    <x v="5"/>
    <x v="14"/>
    <n v="673.09"/>
    <s v="South"/>
    <n v="1158.42"/>
    <n v="485.33"/>
    <n v="10"/>
    <n v="1"/>
    <s v="June"/>
    <n v="2023"/>
    <x v="1"/>
    <x v="1"/>
  </r>
  <r>
    <d v="2025-10-29T00:00:00"/>
    <s v="ORD-000674"/>
    <x v="3"/>
    <x v="37"/>
    <n v="13563.71"/>
    <s v="West"/>
    <n v="15295.74"/>
    <n v="1732.03"/>
    <n v="20"/>
    <n v="1"/>
    <s v="October"/>
    <n v="2025"/>
    <x v="0"/>
    <x v="0"/>
  </r>
  <r>
    <d v="2023-03-10T00:00:00"/>
    <s v="ORD-000675"/>
    <x v="2"/>
    <x v="38"/>
    <n v="637.55999999999995"/>
    <s v="West"/>
    <n v="1044.7"/>
    <n v="407.14"/>
    <n v="0"/>
    <n v="6"/>
    <s v="March"/>
    <n v="2023"/>
    <x v="2"/>
    <x v="1"/>
  </r>
  <r>
    <d v="2025-03-04T00:00:00"/>
    <s v="ORD-000676"/>
    <x v="2"/>
    <x v="13"/>
    <n v="978.93"/>
    <s v="East"/>
    <n v="2131.79"/>
    <n v="1152.8599999999999"/>
    <n v="5"/>
    <n v="3"/>
    <s v="March"/>
    <n v="2025"/>
    <x v="1"/>
    <x v="1"/>
  </r>
  <r>
    <d v="2023-05-12T00:00:00"/>
    <s v="ORD-000677"/>
    <x v="0"/>
    <x v="0"/>
    <n v="763.02"/>
    <s v="South"/>
    <n v="1395.75"/>
    <n v="632.73"/>
    <n v="0"/>
    <n v="2"/>
    <s v="May"/>
    <n v="2023"/>
    <x v="2"/>
    <x v="1"/>
  </r>
  <r>
    <d v="2024-08-22T00:00:00"/>
    <s v="ORD-000678"/>
    <x v="5"/>
    <x v="16"/>
    <n v="1297.2"/>
    <s v="North"/>
    <n v="1738.15"/>
    <n v="440.95"/>
    <n v="10"/>
    <n v="3"/>
    <s v="August"/>
    <n v="2024"/>
    <x v="1"/>
    <x v="1"/>
  </r>
  <r>
    <d v="2024-04-26T00:00:00"/>
    <s v="ORD-000679"/>
    <x v="3"/>
    <x v="15"/>
    <n v="1788.33"/>
    <s v="West"/>
    <n v="2241.12"/>
    <n v="452.79"/>
    <n v="5"/>
    <n v="2"/>
    <s v="April"/>
    <n v="2024"/>
    <x v="1"/>
    <x v="1"/>
  </r>
  <r>
    <d v="2025-06-15T00:00:00"/>
    <s v="ORD-000680"/>
    <x v="4"/>
    <x v="26"/>
    <n v="3785.14"/>
    <s v="North"/>
    <n v="5563.87"/>
    <n v="1778.73"/>
    <n v="5"/>
    <n v="1"/>
    <s v="June"/>
    <n v="2025"/>
    <x v="1"/>
    <x v="1"/>
  </r>
  <r>
    <d v="2024-05-31T00:00:00"/>
    <s v="ORD-000681"/>
    <x v="5"/>
    <x v="16"/>
    <n v="2204.7199999999998"/>
    <s v="South"/>
    <n v="4995.0200000000004"/>
    <n v="2790.3"/>
    <n v="0"/>
    <n v="2"/>
    <s v="May"/>
    <n v="2024"/>
    <x v="2"/>
    <x v="1"/>
  </r>
  <r>
    <d v="2025-04-09T00:00:00"/>
    <s v="ORD-000682"/>
    <x v="4"/>
    <x v="11"/>
    <n v="15898.05"/>
    <s v="South"/>
    <n v="20593.46"/>
    <n v="4695.41"/>
    <n v="5"/>
    <n v="1"/>
    <s v="April"/>
    <n v="2025"/>
    <x v="1"/>
    <x v="1"/>
  </r>
  <r>
    <d v="2025-12-20T00:00:00"/>
    <s v="ORD-000683"/>
    <x v="4"/>
    <x v="42"/>
    <n v="2075.04"/>
    <s v="West"/>
    <n v="3317.42"/>
    <n v="1242.3800000000001"/>
    <n v="0"/>
    <n v="1"/>
    <s v="December"/>
    <n v="2025"/>
    <x v="2"/>
    <x v="1"/>
  </r>
  <r>
    <d v="2024-04-04T00:00:00"/>
    <s v="ORD-000684"/>
    <x v="0"/>
    <x v="41"/>
    <n v="1639.53"/>
    <s v="South"/>
    <n v="3022.4"/>
    <n v="1382.87"/>
    <n v="5"/>
    <n v="6"/>
    <s v="April"/>
    <n v="2024"/>
    <x v="1"/>
    <x v="1"/>
  </r>
  <r>
    <d v="2024-12-30T00:00:00"/>
    <s v="ORD-000685"/>
    <x v="1"/>
    <x v="23"/>
    <n v="1964.06"/>
    <s v="Central"/>
    <n v="2043.03"/>
    <n v="78.97"/>
    <n v="30"/>
    <n v="2"/>
    <s v="December"/>
    <n v="2024"/>
    <x v="0"/>
    <x v="2"/>
  </r>
  <r>
    <d v="2023-11-03T00:00:00"/>
    <s v="ORD-000686"/>
    <x v="0"/>
    <x v="0"/>
    <n v="3697.47"/>
    <s v="East"/>
    <n v="5388.58"/>
    <n v="1691.11"/>
    <n v="20"/>
    <n v="2"/>
    <s v="November"/>
    <n v="2023"/>
    <x v="0"/>
    <x v="0"/>
  </r>
  <r>
    <d v="2024-06-21T00:00:00"/>
    <s v="ORD-000687"/>
    <x v="0"/>
    <x v="17"/>
    <n v="4603.8900000000003"/>
    <s v="South"/>
    <n v="7188.69"/>
    <n v="2584.8000000000002"/>
    <n v="0"/>
    <n v="2"/>
    <s v="June"/>
    <n v="2024"/>
    <x v="2"/>
    <x v="1"/>
  </r>
  <r>
    <d v="2023-06-11T00:00:00"/>
    <s v="ORD-000688"/>
    <x v="4"/>
    <x v="40"/>
    <n v="13581.48"/>
    <s v="West"/>
    <n v="17542.18"/>
    <n v="3960.7"/>
    <n v="0"/>
    <n v="2"/>
    <s v="June"/>
    <n v="2023"/>
    <x v="2"/>
    <x v="1"/>
  </r>
  <r>
    <d v="2024-04-17T00:00:00"/>
    <s v="ORD-000689"/>
    <x v="5"/>
    <x v="18"/>
    <n v="2635.46"/>
    <s v="East"/>
    <n v="3790.82"/>
    <n v="1155.3599999999999"/>
    <n v="20"/>
    <n v="6"/>
    <s v="April"/>
    <n v="2024"/>
    <x v="0"/>
    <x v="0"/>
  </r>
  <r>
    <d v="2023-06-23T00:00:00"/>
    <s v="ORD-000690"/>
    <x v="1"/>
    <x v="24"/>
    <n v="8779.18"/>
    <s v="West"/>
    <n v="9994.26"/>
    <n v="1215.08"/>
    <n v="20"/>
    <n v="3"/>
    <s v="June"/>
    <n v="2023"/>
    <x v="0"/>
    <x v="0"/>
  </r>
  <r>
    <d v="2025-09-20T00:00:00"/>
    <s v="ORD-000691"/>
    <x v="4"/>
    <x v="11"/>
    <n v="17408.400000000001"/>
    <s v="East"/>
    <n v="20594.04"/>
    <n v="3185.64"/>
    <n v="20"/>
    <n v="6"/>
    <s v="September"/>
    <n v="2025"/>
    <x v="0"/>
    <x v="0"/>
  </r>
  <r>
    <d v="2023-02-17T00:00:00"/>
    <s v="ORD-000692"/>
    <x v="5"/>
    <x v="20"/>
    <n v="1685.86"/>
    <s v="East"/>
    <n v="2269.2800000000002"/>
    <n v="583.41999999999996"/>
    <n v="25"/>
    <n v="1"/>
    <s v="February"/>
    <n v="2023"/>
    <x v="0"/>
    <x v="2"/>
  </r>
  <r>
    <d v="2024-07-04T00:00:00"/>
    <s v="ORD-000693"/>
    <x v="2"/>
    <x v="2"/>
    <n v="537.1"/>
    <s v="Central"/>
    <n v="888.07"/>
    <n v="350.97"/>
    <n v="0"/>
    <n v="4"/>
    <s v="July"/>
    <n v="2024"/>
    <x v="2"/>
    <x v="1"/>
  </r>
  <r>
    <d v="2023-12-29T00:00:00"/>
    <s v="ORD-000694"/>
    <x v="2"/>
    <x v="38"/>
    <n v="476.66"/>
    <s v="North"/>
    <n v="730.67"/>
    <n v="254.01"/>
    <n v="10"/>
    <n v="3"/>
    <s v="December"/>
    <n v="2023"/>
    <x v="1"/>
    <x v="1"/>
  </r>
  <r>
    <d v="2023-10-03T00:00:00"/>
    <s v="ORD-000695"/>
    <x v="5"/>
    <x v="18"/>
    <n v="2020.52"/>
    <s v="West"/>
    <n v="3840.24"/>
    <n v="1819.72"/>
    <n v="5"/>
    <n v="1"/>
    <s v="October"/>
    <n v="2023"/>
    <x v="1"/>
    <x v="1"/>
  </r>
  <r>
    <d v="2024-07-12T00:00:00"/>
    <s v="ORD-000696"/>
    <x v="3"/>
    <x v="3"/>
    <n v="11099.51"/>
    <s v="West"/>
    <n v="12822.66"/>
    <n v="1723.15"/>
    <n v="10"/>
    <n v="2"/>
    <s v="July"/>
    <n v="2024"/>
    <x v="1"/>
    <x v="1"/>
  </r>
  <r>
    <d v="2023-11-01T00:00:00"/>
    <s v="ORD-000697"/>
    <x v="1"/>
    <x v="24"/>
    <n v="1062.83"/>
    <s v="Central"/>
    <n v="1575.56"/>
    <n v="512.73"/>
    <n v="5"/>
    <n v="1"/>
    <s v="November"/>
    <n v="2023"/>
    <x v="1"/>
    <x v="1"/>
  </r>
  <r>
    <d v="2025-06-22T00:00:00"/>
    <s v="ORD-000698"/>
    <x v="1"/>
    <x v="9"/>
    <n v="1822.16"/>
    <s v="North"/>
    <n v="2334.3000000000002"/>
    <n v="512.14"/>
    <n v="20"/>
    <n v="1"/>
    <s v="June"/>
    <n v="2025"/>
    <x v="0"/>
    <x v="0"/>
  </r>
  <r>
    <d v="2024-07-04T00:00:00"/>
    <s v="ORD-000699"/>
    <x v="4"/>
    <x v="11"/>
    <n v="5496.87"/>
    <s v="West"/>
    <n v="8098.22"/>
    <n v="2601.35"/>
    <n v="10"/>
    <n v="4"/>
    <s v="July"/>
    <n v="2024"/>
    <x v="1"/>
    <x v="1"/>
  </r>
  <r>
    <d v="2024-05-13T00:00:00"/>
    <s v="ORD-000700"/>
    <x v="0"/>
    <x v="17"/>
    <n v="1463.8"/>
    <s v="East"/>
    <n v="1948.47"/>
    <n v="484.67"/>
    <n v="15"/>
    <n v="1"/>
    <s v="May"/>
    <n v="2024"/>
    <x v="0"/>
    <x v="0"/>
  </r>
  <r>
    <d v="2024-09-10T00:00:00"/>
    <s v="ORD-000701"/>
    <x v="4"/>
    <x v="30"/>
    <n v="14911.36"/>
    <s v="Central"/>
    <n v="18383.38"/>
    <n v="3472.02"/>
    <n v="20"/>
    <n v="4"/>
    <s v="September"/>
    <n v="2024"/>
    <x v="0"/>
    <x v="0"/>
  </r>
  <r>
    <d v="2023-07-18T00:00:00"/>
    <s v="ORD-000702"/>
    <x v="3"/>
    <x v="34"/>
    <n v="6614.52"/>
    <s v="West"/>
    <n v="8139.48"/>
    <n v="1524.96"/>
    <n v="5"/>
    <n v="3"/>
    <s v="July"/>
    <n v="2023"/>
    <x v="1"/>
    <x v="1"/>
  </r>
  <r>
    <d v="2024-02-03T00:00:00"/>
    <s v="ORD-000703"/>
    <x v="4"/>
    <x v="30"/>
    <n v="13650.07"/>
    <s v="East"/>
    <n v="22673.22"/>
    <n v="9023.15"/>
    <n v="0"/>
    <n v="2"/>
    <s v="February"/>
    <n v="2024"/>
    <x v="2"/>
    <x v="1"/>
  </r>
  <r>
    <d v="2024-03-03T00:00:00"/>
    <s v="ORD-000704"/>
    <x v="5"/>
    <x v="14"/>
    <n v="2027.02"/>
    <s v="Central"/>
    <n v="2545.58"/>
    <n v="518.55999999999995"/>
    <n v="15"/>
    <n v="2"/>
    <s v="March"/>
    <n v="2024"/>
    <x v="0"/>
    <x v="0"/>
  </r>
  <r>
    <d v="2023-10-16T00:00:00"/>
    <s v="ORD-000705"/>
    <x v="0"/>
    <x v="41"/>
    <n v="732.07"/>
    <s v="South"/>
    <n v="1095.23"/>
    <n v="363.16"/>
    <n v="15"/>
    <n v="2"/>
    <s v="October"/>
    <n v="2023"/>
    <x v="0"/>
    <x v="0"/>
  </r>
  <r>
    <d v="2025-08-25T00:00:00"/>
    <s v="ORD-000706"/>
    <x v="2"/>
    <x v="13"/>
    <n v="2171.8000000000002"/>
    <s v="West"/>
    <n v="3064.06"/>
    <n v="892.26"/>
    <n v="30"/>
    <n v="3"/>
    <s v="August"/>
    <n v="2025"/>
    <x v="0"/>
    <x v="2"/>
  </r>
  <r>
    <d v="2025-02-10T00:00:00"/>
    <s v="ORD-000707"/>
    <x v="5"/>
    <x v="16"/>
    <n v="7826.92"/>
    <s v="East"/>
    <n v="11547.71"/>
    <n v="3720.79"/>
    <n v="0"/>
    <n v="3"/>
    <s v="February"/>
    <n v="2025"/>
    <x v="2"/>
    <x v="1"/>
  </r>
  <r>
    <d v="2025-04-21T00:00:00"/>
    <s v="ORD-000708"/>
    <x v="0"/>
    <x v="21"/>
    <n v="4084.26"/>
    <s v="West"/>
    <n v="9089.7800000000007"/>
    <n v="5005.5200000000004"/>
    <n v="0"/>
    <n v="2"/>
    <s v="April"/>
    <n v="2025"/>
    <x v="2"/>
    <x v="1"/>
  </r>
  <r>
    <d v="2025-12-04T00:00:00"/>
    <s v="ORD-000709"/>
    <x v="5"/>
    <x v="36"/>
    <n v="4387.33"/>
    <s v="Central"/>
    <n v="6839.85"/>
    <n v="2452.52"/>
    <n v="5"/>
    <n v="4"/>
    <s v="December"/>
    <n v="2025"/>
    <x v="1"/>
    <x v="1"/>
  </r>
  <r>
    <d v="2025-10-26T00:00:00"/>
    <s v="ORD-000710"/>
    <x v="1"/>
    <x v="29"/>
    <n v="67352.639999999999"/>
    <s v="North"/>
    <n v="78431.360000000001"/>
    <n v="11078.72"/>
    <n v="5"/>
    <n v="5"/>
    <s v="October"/>
    <n v="2025"/>
    <x v="1"/>
    <x v="1"/>
  </r>
  <r>
    <d v="2023-08-10T00:00:00"/>
    <s v="ORD-000711"/>
    <x v="2"/>
    <x v="35"/>
    <n v="258.04000000000002"/>
    <s v="North"/>
    <n v="444.29"/>
    <n v="186.25"/>
    <n v="15"/>
    <n v="2"/>
    <s v="August"/>
    <n v="2023"/>
    <x v="0"/>
    <x v="0"/>
  </r>
  <r>
    <d v="2023-02-24T00:00:00"/>
    <s v="ORD-000712"/>
    <x v="5"/>
    <x v="36"/>
    <n v="479.42"/>
    <s v="East"/>
    <n v="855.94"/>
    <n v="376.52"/>
    <n v="15"/>
    <n v="2"/>
    <s v="February"/>
    <n v="2023"/>
    <x v="0"/>
    <x v="0"/>
  </r>
  <r>
    <d v="2023-05-02T00:00:00"/>
    <s v="ORD-000713"/>
    <x v="5"/>
    <x v="36"/>
    <n v="3667.18"/>
    <s v="North"/>
    <n v="4827.55"/>
    <n v="1160.3699999999999"/>
    <n v="20"/>
    <n v="5"/>
    <s v="May"/>
    <n v="2023"/>
    <x v="0"/>
    <x v="0"/>
  </r>
  <r>
    <d v="2024-12-26T00:00:00"/>
    <s v="ORD-000714"/>
    <x v="5"/>
    <x v="27"/>
    <n v="4127.28"/>
    <s v="North"/>
    <n v="7569.56"/>
    <n v="3442.28"/>
    <n v="10"/>
    <n v="2"/>
    <s v="December"/>
    <n v="2024"/>
    <x v="1"/>
    <x v="1"/>
  </r>
  <r>
    <d v="2025-07-04T00:00:00"/>
    <s v="ORD-000715"/>
    <x v="3"/>
    <x v="3"/>
    <n v="19125.73"/>
    <s v="West"/>
    <n v="21662.31"/>
    <n v="2536.58"/>
    <n v="10"/>
    <n v="2"/>
    <s v="July"/>
    <n v="2025"/>
    <x v="1"/>
    <x v="1"/>
  </r>
  <r>
    <d v="2025-02-03T00:00:00"/>
    <s v="ORD-000716"/>
    <x v="3"/>
    <x v="28"/>
    <n v="14180.47"/>
    <s v="West"/>
    <n v="17154.77"/>
    <n v="2974.3"/>
    <n v="10"/>
    <n v="3"/>
    <s v="February"/>
    <n v="2025"/>
    <x v="1"/>
    <x v="1"/>
  </r>
  <r>
    <d v="2023-10-27T00:00:00"/>
    <s v="ORD-000717"/>
    <x v="2"/>
    <x v="13"/>
    <n v="2442.8000000000002"/>
    <s v="West"/>
    <n v="4636.4799999999996"/>
    <n v="2193.6799999999998"/>
    <n v="0"/>
    <n v="5"/>
    <s v="October"/>
    <n v="2023"/>
    <x v="2"/>
    <x v="1"/>
  </r>
  <r>
    <d v="2025-10-21T00:00:00"/>
    <s v="ORD-000718"/>
    <x v="5"/>
    <x v="33"/>
    <n v="2843.08"/>
    <s v="East"/>
    <n v="4025.08"/>
    <n v="1182"/>
    <n v="5"/>
    <n v="1"/>
    <s v="October"/>
    <n v="2025"/>
    <x v="1"/>
    <x v="1"/>
  </r>
  <r>
    <d v="2024-03-16T00:00:00"/>
    <s v="ORD-000719"/>
    <x v="3"/>
    <x v="28"/>
    <n v="1167.1400000000001"/>
    <s v="West"/>
    <n v="1402.03"/>
    <n v="234.89"/>
    <n v="0"/>
    <n v="1"/>
    <s v="March"/>
    <n v="2024"/>
    <x v="2"/>
    <x v="1"/>
  </r>
  <r>
    <d v="2023-01-16T00:00:00"/>
    <s v="ORD-000720"/>
    <x v="4"/>
    <x v="26"/>
    <n v="2170.4299999999998"/>
    <s v="North"/>
    <n v="2468.62"/>
    <n v="298.19"/>
    <n v="30"/>
    <n v="1"/>
    <s v="January"/>
    <n v="2023"/>
    <x v="0"/>
    <x v="2"/>
  </r>
  <r>
    <d v="2023-08-26T00:00:00"/>
    <s v="ORD-000721"/>
    <x v="0"/>
    <x v="41"/>
    <n v="14625.27"/>
    <s v="Central"/>
    <n v="22616.34"/>
    <n v="7991.07"/>
    <n v="0"/>
    <n v="6"/>
    <s v="August"/>
    <n v="2023"/>
    <x v="2"/>
    <x v="1"/>
  </r>
  <r>
    <d v="2024-12-11T00:00:00"/>
    <s v="ORD-000722"/>
    <x v="2"/>
    <x v="10"/>
    <n v="222.07"/>
    <s v="North"/>
    <n v="374.88"/>
    <n v="152.81"/>
    <n v="5"/>
    <n v="3"/>
    <s v="December"/>
    <n v="2024"/>
    <x v="1"/>
    <x v="1"/>
  </r>
  <r>
    <d v="2024-10-21T00:00:00"/>
    <s v="ORD-000723"/>
    <x v="2"/>
    <x v="35"/>
    <n v="267.49"/>
    <s v="North"/>
    <n v="409.85"/>
    <n v="142.36000000000001"/>
    <n v="10"/>
    <n v="4"/>
    <s v="October"/>
    <n v="2024"/>
    <x v="1"/>
    <x v="1"/>
  </r>
  <r>
    <d v="2024-07-18T00:00:00"/>
    <s v="ORD-000724"/>
    <x v="5"/>
    <x v="16"/>
    <n v="1659.65"/>
    <s v="West"/>
    <n v="3412.57"/>
    <n v="1752.92"/>
    <n v="0"/>
    <n v="3"/>
    <s v="July"/>
    <n v="2024"/>
    <x v="2"/>
    <x v="1"/>
  </r>
  <r>
    <d v="2023-02-12T00:00:00"/>
    <s v="ORD-000725"/>
    <x v="2"/>
    <x v="38"/>
    <n v="468.92"/>
    <s v="South"/>
    <n v="830.45"/>
    <n v="361.53"/>
    <n v="20"/>
    <n v="5"/>
    <s v="February"/>
    <n v="2023"/>
    <x v="0"/>
    <x v="0"/>
  </r>
  <r>
    <d v="2025-05-08T00:00:00"/>
    <s v="ORD-000726"/>
    <x v="3"/>
    <x v="34"/>
    <n v="5077.72"/>
    <s v="South"/>
    <n v="5088.1400000000003"/>
    <n v="10.42"/>
    <n v="29"/>
    <n v="2"/>
    <s v="May"/>
    <n v="2025"/>
    <x v="0"/>
    <x v="2"/>
  </r>
  <r>
    <d v="2025-09-25T00:00:00"/>
    <s v="ORD-000727"/>
    <x v="4"/>
    <x v="30"/>
    <n v="13652.72"/>
    <s v="Central"/>
    <n v="17958"/>
    <n v="4305.28"/>
    <n v="15"/>
    <n v="2"/>
    <s v="September"/>
    <n v="2025"/>
    <x v="0"/>
    <x v="0"/>
  </r>
  <r>
    <d v="2023-12-21T00:00:00"/>
    <s v="ORD-000728"/>
    <x v="2"/>
    <x v="25"/>
    <n v="1184.0999999999999"/>
    <s v="North"/>
    <n v="2280.29"/>
    <n v="1096.19"/>
    <n v="10"/>
    <n v="6"/>
    <s v="December"/>
    <n v="2023"/>
    <x v="1"/>
    <x v="1"/>
  </r>
  <r>
    <d v="2025-03-22T00:00:00"/>
    <s v="ORD-000729"/>
    <x v="4"/>
    <x v="26"/>
    <n v="68021.009999999995"/>
    <s v="West"/>
    <n v="74996.460000000006"/>
    <n v="6975.45"/>
    <n v="20"/>
    <n v="6"/>
    <s v="March"/>
    <n v="2025"/>
    <x v="0"/>
    <x v="0"/>
  </r>
  <r>
    <d v="2025-11-16T00:00:00"/>
    <s v="ORD-000730"/>
    <x v="3"/>
    <x v="15"/>
    <n v="70193.5"/>
    <s v="North"/>
    <n v="73627.45"/>
    <n v="3433.95"/>
    <n v="15"/>
    <n v="3"/>
    <s v="November"/>
    <n v="2025"/>
    <x v="0"/>
    <x v="0"/>
  </r>
  <r>
    <d v="2023-08-31T00:00:00"/>
    <s v="ORD-000731"/>
    <x v="5"/>
    <x v="20"/>
    <n v="1812.03"/>
    <s v="Central"/>
    <n v="3194.38"/>
    <n v="1382.35"/>
    <n v="20"/>
    <n v="4"/>
    <s v="August"/>
    <n v="2023"/>
    <x v="0"/>
    <x v="0"/>
  </r>
  <r>
    <d v="2024-12-17T00:00:00"/>
    <s v="ORD-000732"/>
    <x v="5"/>
    <x v="18"/>
    <n v="10636.91"/>
    <s v="South"/>
    <n v="13521.03"/>
    <n v="2884.12"/>
    <n v="25"/>
    <n v="3"/>
    <s v="December"/>
    <n v="2024"/>
    <x v="0"/>
    <x v="2"/>
  </r>
  <r>
    <d v="2024-03-02T00:00:00"/>
    <s v="ORD-000733"/>
    <x v="1"/>
    <x v="24"/>
    <n v="34091.839999999997"/>
    <s v="Central"/>
    <n v="48435.67"/>
    <n v="14343.83"/>
    <n v="5"/>
    <n v="3"/>
    <s v="March"/>
    <n v="2024"/>
    <x v="1"/>
    <x v="1"/>
  </r>
  <r>
    <d v="2023-10-08T00:00:00"/>
    <s v="ORD-000734"/>
    <x v="5"/>
    <x v="18"/>
    <n v="1063.3399999999999"/>
    <s v="South"/>
    <n v="2133.6999999999998"/>
    <n v="1070.3599999999999"/>
    <n v="0"/>
    <n v="1"/>
    <s v="October"/>
    <n v="2023"/>
    <x v="2"/>
    <x v="1"/>
  </r>
  <r>
    <d v="2023-12-18T00:00:00"/>
    <s v="ORD-000735"/>
    <x v="4"/>
    <x v="7"/>
    <n v="9409.4"/>
    <s v="North"/>
    <n v="10129.64"/>
    <n v="720.24"/>
    <n v="20"/>
    <n v="2"/>
    <s v="December"/>
    <n v="2023"/>
    <x v="0"/>
    <x v="0"/>
  </r>
  <r>
    <d v="2023-08-27T00:00:00"/>
    <s v="ORD-000736"/>
    <x v="1"/>
    <x v="23"/>
    <n v="3625.82"/>
    <s v="West"/>
    <n v="4791"/>
    <n v="1165.18"/>
    <n v="10"/>
    <n v="2"/>
    <s v="August"/>
    <n v="2023"/>
    <x v="1"/>
    <x v="1"/>
  </r>
  <r>
    <d v="2025-02-05T00:00:00"/>
    <s v="ORD-000737"/>
    <x v="2"/>
    <x v="31"/>
    <n v="1465.04"/>
    <s v="West"/>
    <n v="2505.69"/>
    <n v="1040.6500000000001"/>
    <n v="5"/>
    <n v="2"/>
    <s v="February"/>
    <n v="2025"/>
    <x v="1"/>
    <x v="1"/>
  </r>
  <r>
    <d v="2023-12-31T00:00:00"/>
    <s v="ORD-000738"/>
    <x v="4"/>
    <x v="26"/>
    <n v="15590.08"/>
    <s v="North"/>
    <n v="22117.56"/>
    <n v="6527.48"/>
    <n v="10"/>
    <n v="1"/>
    <s v="December"/>
    <n v="2023"/>
    <x v="1"/>
    <x v="1"/>
  </r>
  <r>
    <d v="2024-10-09T00:00:00"/>
    <s v="ORD-000739"/>
    <x v="0"/>
    <x v="17"/>
    <n v="7211.36"/>
    <s v="East"/>
    <n v="13594.17"/>
    <n v="6382.81"/>
    <n v="0"/>
    <n v="4"/>
    <s v="October"/>
    <n v="2024"/>
    <x v="2"/>
    <x v="1"/>
  </r>
  <r>
    <d v="2023-03-06T00:00:00"/>
    <s v="ORD-000740"/>
    <x v="3"/>
    <x v="34"/>
    <n v="5447.02"/>
    <s v="West"/>
    <n v="6083.74"/>
    <n v="636.72"/>
    <n v="25"/>
    <n v="4"/>
    <s v="March"/>
    <n v="2023"/>
    <x v="0"/>
    <x v="2"/>
  </r>
  <r>
    <d v="2024-11-23T00:00:00"/>
    <s v="ORD-000741"/>
    <x v="3"/>
    <x v="3"/>
    <n v="3968.76"/>
    <s v="Central"/>
    <n v="4087.82"/>
    <n v="119.06"/>
    <n v="16"/>
    <n v="5"/>
    <s v="November"/>
    <n v="2024"/>
    <x v="0"/>
    <x v="0"/>
  </r>
  <r>
    <d v="2023-08-19T00:00:00"/>
    <s v="ORD-000742"/>
    <x v="4"/>
    <x v="30"/>
    <n v="3557.43"/>
    <s v="South"/>
    <n v="4093.91"/>
    <n v="536.48"/>
    <n v="25"/>
    <n v="2"/>
    <s v="August"/>
    <n v="2023"/>
    <x v="0"/>
    <x v="2"/>
  </r>
  <r>
    <d v="2023-10-29T00:00:00"/>
    <s v="ORD-000743"/>
    <x v="5"/>
    <x v="20"/>
    <n v="1069.01"/>
    <s v="Central"/>
    <n v="1815.21"/>
    <n v="746.2"/>
    <n v="25"/>
    <n v="5"/>
    <s v="October"/>
    <n v="2023"/>
    <x v="0"/>
    <x v="2"/>
  </r>
  <r>
    <d v="2023-02-12T00:00:00"/>
    <s v="ORD-000744"/>
    <x v="2"/>
    <x v="25"/>
    <n v="3767.26"/>
    <s v="West"/>
    <n v="5556.15"/>
    <n v="1788.89"/>
    <n v="15"/>
    <n v="10"/>
    <s v="February"/>
    <n v="2023"/>
    <x v="0"/>
    <x v="0"/>
  </r>
  <r>
    <d v="2024-10-01T00:00:00"/>
    <s v="ORD-000745"/>
    <x v="3"/>
    <x v="32"/>
    <n v="946.21"/>
    <s v="North"/>
    <n v="1161.23"/>
    <n v="215.02"/>
    <n v="5"/>
    <n v="1"/>
    <s v="October"/>
    <n v="2024"/>
    <x v="1"/>
    <x v="1"/>
  </r>
  <r>
    <d v="2024-09-08T00:00:00"/>
    <s v="ORD-000746"/>
    <x v="2"/>
    <x v="25"/>
    <n v="1750.78"/>
    <s v="West"/>
    <n v="2944.71"/>
    <n v="1193.93"/>
    <n v="10"/>
    <n v="6"/>
    <s v="September"/>
    <n v="2024"/>
    <x v="1"/>
    <x v="1"/>
  </r>
  <r>
    <d v="2025-01-24T00:00:00"/>
    <s v="ORD-000747"/>
    <x v="1"/>
    <x v="9"/>
    <n v="16690.099999999999"/>
    <s v="West"/>
    <n v="20629.43"/>
    <n v="3939.33"/>
    <n v="10"/>
    <n v="4"/>
    <s v="January"/>
    <n v="2025"/>
    <x v="1"/>
    <x v="1"/>
  </r>
  <r>
    <d v="2024-06-27T00:00:00"/>
    <s v="ORD-000748"/>
    <x v="2"/>
    <x v="10"/>
    <n v="116.38"/>
    <s v="North"/>
    <n v="183.32"/>
    <n v="66.94"/>
    <n v="0"/>
    <n v="1"/>
    <s v="June"/>
    <n v="2024"/>
    <x v="2"/>
    <x v="1"/>
  </r>
  <r>
    <d v="2025-10-09T00:00:00"/>
    <s v="ORD-000749"/>
    <x v="3"/>
    <x v="22"/>
    <n v="8838.39"/>
    <s v="North"/>
    <n v="8960.5300000000007"/>
    <n v="122.14"/>
    <n v="20"/>
    <n v="1"/>
    <s v="October"/>
    <n v="2025"/>
    <x v="0"/>
    <x v="0"/>
  </r>
  <r>
    <d v="2023-03-23T00:00:00"/>
    <s v="ORD-000750"/>
    <x v="0"/>
    <x v="6"/>
    <n v="882.66"/>
    <s v="Central"/>
    <n v="1655.38"/>
    <n v="772.72"/>
    <n v="10"/>
    <n v="1"/>
    <s v="March"/>
    <n v="2023"/>
    <x v="1"/>
    <x v="1"/>
  </r>
  <r>
    <d v="2023-05-17T00:00:00"/>
    <s v="ORD-000751"/>
    <x v="2"/>
    <x v="10"/>
    <n v="431.34"/>
    <s v="West"/>
    <n v="860.06"/>
    <n v="428.72"/>
    <n v="5"/>
    <n v="6"/>
    <s v="May"/>
    <n v="2023"/>
    <x v="1"/>
    <x v="1"/>
  </r>
  <r>
    <d v="2025-05-07T00:00:00"/>
    <s v="ORD-000752"/>
    <x v="3"/>
    <x v="34"/>
    <n v="5417.41"/>
    <s v="Central"/>
    <n v="5452.35"/>
    <n v="34.94"/>
    <n v="24"/>
    <n v="1"/>
    <s v="May"/>
    <n v="2025"/>
    <x v="0"/>
    <x v="2"/>
  </r>
  <r>
    <d v="2024-12-06T00:00:00"/>
    <s v="ORD-000753"/>
    <x v="2"/>
    <x v="10"/>
    <n v="899.01"/>
    <s v="East"/>
    <n v="1128.6500000000001"/>
    <n v="229.64"/>
    <n v="20"/>
    <n v="1"/>
    <s v="December"/>
    <n v="2024"/>
    <x v="0"/>
    <x v="0"/>
  </r>
  <r>
    <d v="2024-11-29T00:00:00"/>
    <s v="ORD-000754"/>
    <x v="2"/>
    <x v="35"/>
    <n v="172.12"/>
    <s v="Central"/>
    <n v="293.99"/>
    <n v="121.87"/>
    <n v="15"/>
    <n v="3"/>
    <s v="November"/>
    <n v="2024"/>
    <x v="0"/>
    <x v="0"/>
  </r>
  <r>
    <d v="2025-04-17T00:00:00"/>
    <s v="ORD-000755"/>
    <x v="0"/>
    <x v="41"/>
    <n v="8521.74"/>
    <s v="Central"/>
    <n v="13241.95"/>
    <n v="4720.21"/>
    <n v="10"/>
    <n v="4"/>
    <s v="April"/>
    <n v="2025"/>
    <x v="1"/>
    <x v="1"/>
  </r>
  <r>
    <d v="2025-01-09T00:00:00"/>
    <s v="ORD-000756"/>
    <x v="5"/>
    <x v="36"/>
    <n v="13123.91"/>
    <s v="Central"/>
    <n v="22615.87"/>
    <n v="9491.9599999999991"/>
    <n v="20"/>
    <n v="6"/>
    <s v="January"/>
    <n v="2025"/>
    <x v="0"/>
    <x v="0"/>
  </r>
  <r>
    <d v="2024-06-30T00:00:00"/>
    <s v="ORD-000757"/>
    <x v="5"/>
    <x v="27"/>
    <n v="1363.87"/>
    <s v="Central"/>
    <n v="1967.41"/>
    <n v="603.54"/>
    <n v="15"/>
    <n v="1"/>
    <s v="June"/>
    <n v="2024"/>
    <x v="0"/>
    <x v="0"/>
  </r>
  <r>
    <d v="2024-08-26T00:00:00"/>
    <s v="ORD-000758"/>
    <x v="1"/>
    <x v="1"/>
    <n v="37313.46"/>
    <s v="West"/>
    <n v="53887.08"/>
    <n v="16573.62"/>
    <n v="10"/>
    <n v="5"/>
    <s v="August"/>
    <n v="2024"/>
    <x v="1"/>
    <x v="1"/>
  </r>
  <r>
    <d v="2023-02-01T00:00:00"/>
    <s v="ORD-000759"/>
    <x v="4"/>
    <x v="11"/>
    <n v="1802.41"/>
    <s v="West"/>
    <n v="2015.01"/>
    <n v="212.6"/>
    <n v="20"/>
    <n v="1"/>
    <s v="February"/>
    <n v="2023"/>
    <x v="0"/>
    <x v="0"/>
  </r>
  <r>
    <d v="2025-04-07T00:00:00"/>
    <s v="ORD-000760"/>
    <x v="3"/>
    <x v="28"/>
    <n v="7396.15"/>
    <s v="South"/>
    <n v="10370.540000000001"/>
    <n v="2974.39"/>
    <n v="5"/>
    <n v="4"/>
    <s v="April"/>
    <n v="2025"/>
    <x v="1"/>
    <x v="1"/>
  </r>
  <r>
    <d v="2025-10-25T00:00:00"/>
    <s v="ORD-000761"/>
    <x v="0"/>
    <x v="17"/>
    <n v="5396.98"/>
    <s v="South"/>
    <n v="9371.65"/>
    <n v="3974.67"/>
    <n v="15"/>
    <n v="4"/>
    <s v="October"/>
    <n v="2025"/>
    <x v="0"/>
    <x v="0"/>
  </r>
  <r>
    <d v="2025-10-24T00:00:00"/>
    <s v="ORD-000762"/>
    <x v="2"/>
    <x v="31"/>
    <n v="483.82"/>
    <s v="South"/>
    <n v="648.22"/>
    <n v="164.4"/>
    <n v="30"/>
    <n v="2"/>
    <s v="October"/>
    <n v="2025"/>
    <x v="0"/>
    <x v="2"/>
  </r>
  <r>
    <d v="2024-02-24T00:00:00"/>
    <s v="ORD-000763"/>
    <x v="3"/>
    <x v="34"/>
    <n v="5741.13"/>
    <s v="West"/>
    <n v="7368.39"/>
    <n v="1627.26"/>
    <n v="5"/>
    <n v="1"/>
    <s v="February"/>
    <n v="2024"/>
    <x v="1"/>
    <x v="1"/>
  </r>
  <r>
    <d v="2023-06-24T00:00:00"/>
    <s v="ORD-000764"/>
    <x v="3"/>
    <x v="15"/>
    <n v="2343.11"/>
    <s v="East"/>
    <n v="3125.46"/>
    <n v="782.35"/>
    <n v="5"/>
    <n v="2"/>
    <s v="June"/>
    <n v="2023"/>
    <x v="1"/>
    <x v="1"/>
  </r>
  <r>
    <d v="2025-03-21T00:00:00"/>
    <s v="ORD-000765"/>
    <x v="1"/>
    <x v="19"/>
    <n v="31601.22"/>
    <s v="South"/>
    <n v="51793.42"/>
    <n v="20192.2"/>
    <n v="0"/>
    <n v="3"/>
    <s v="March"/>
    <n v="2025"/>
    <x v="2"/>
    <x v="1"/>
  </r>
  <r>
    <d v="2025-10-31T00:00:00"/>
    <s v="ORD-000766"/>
    <x v="5"/>
    <x v="16"/>
    <n v="1356.4"/>
    <s v="Central"/>
    <n v="2322.81"/>
    <n v="966.41"/>
    <n v="20"/>
    <n v="1"/>
    <s v="October"/>
    <n v="2025"/>
    <x v="0"/>
    <x v="0"/>
  </r>
  <r>
    <d v="2024-04-19T00:00:00"/>
    <s v="ORD-000767"/>
    <x v="5"/>
    <x v="14"/>
    <n v="347.16"/>
    <s v="South"/>
    <n v="428.69"/>
    <n v="81.53"/>
    <n v="20"/>
    <n v="1"/>
    <s v="April"/>
    <n v="2024"/>
    <x v="0"/>
    <x v="0"/>
  </r>
  <r>
    <d v="2023-07-01T00:00:00"/>
    <s v="ORD-000768"/>
    <x v="3"/>
    <x v="22"/>
    <n v="12219.98"/>
    <s v="North"/>
    <n v="14019.19"/>
    <n v="1799.21"/>
    <n v="15"/>
    <n v="4"/>
    <s v="July"/>
    <n v="2023"/>
    <x v="0"/>
    <x v="0"/>
  </r>
  <r>
    <d v="2024-07-28T00:00:00"/>
    <s v="ORD-000769"/>
    <x v="1"/>
    <x v="24"/>
    <n v="12500.46"/>
    <s v="East"/>
    <n v="16743.150000000001"/>
    <n v="4242.6899999999996"/>
    <n v="5"/>
    <n v="2"/>
    <s v="July"/>
    <n v="2024"/>
    <x v="1"/>
    <x v="1"/>
  </r>
  <r>
    <d v="2023-03-11T00:00:00"/>
    <s v="ORD-000770"/>
    <x v="1"/>
    <x v="29"/>
    <n v="65956.22"/>
    <s v="South"/>
    <n v="73084.09"/>
    <n v="7127.87"/>
    <n v="10"/>
    <n v="6"/>
    <s v="March"/>
    <n v="2023"/>
    <x v="1"/>
    <x v="1"/>
  </r>
  <r>
    <d v="2024-06-12T00:00:00"/>
    <s v="ORD-000771"/>
    <x v="2"/>
    <x v="25"/>
    <n v="4135.75"/>
    <s v="North"/>
    <n v="6753.69"/>
    <n v="2617.94"/>
    <n v="20"/>
    <n v="6"/>
    <s v="June"/>
    <n v="2024"/>
    <x v="0"/>
    <x v="0"/>
  </r>
  <r>
    <d v="2023-06-01T00:00:00"/>
    <s v="ORD-000772"/>
    <x v="3"/>
    <x v="12"/>
    <n v="4197.24"/>
    <s v="Central"/>
    <n v="5202.91"/>
    <n v="1005.67"/>
    <n v="10"/>
    <n v="2"/>
    <s v="June"/>
    <n v="2023"/>
    <x v="1"/>
    <x v="1"/>
  </r>
  <r>
    <d v="2023-03-06T00:00:00"/>
    <s v="ORD-000773"/>
    <x v="2"/>
    <x v="25"/>
    <n v="589.64"/>
    <s v="West"/>
    <n v="1059.74"/>
    <n v="470.1"/>
    <n v="5"/>
    <n v="2"/>
    <s v="March"/>
    <n v="2023"/>
    <x v="1"/>
    <x v="1"/>
  </r>
  <r>
    <d v="2024-07-26T00:00:00"/>
    <s v="ORD-000774"/>
    <x v="0"/>
    <x v="0"/>
    <n v="3618.51"/>
    <s v="North"/>
    <n v="6713.51"/>
    <n v="3095"/>
    <n v="25"/>
    <n v="6"/>
    <s v="July"/>
    <n v="2024"/>
    <x v="0"/>
    <x v="2"/>
  </r>
  <r>
    <d v="2023-12-12T00:00:00"/>
    <s v="ORD-000775"/>
    <x v="3"/>
    <x v="22"/>
    <n v="36061.71"/>
    <s v="North"/>
    <n v="43385.49"/>
    <n v="7323.78"/>
    <n v="5"/>
    <n v="3"/>
    <s v="December"/>
    <n v="2023"/>
    <x v="1"/>
    <x v="1"/>
  </r>
  <r>
    <d v="2024-08-06T00:00:00"/>
    <s v="ORD-000776"/>
    <x v="4"/>
    <x v="26"/>
    <n v="2058.9899999999998"/>
    <s v="Central"/>
    <n v="2642.1"/>
    <n v="583.11"/>
    <n v="5"/>
    <n v="1"/>
    <s v="August"/>
    <n v="2024"/>
    <x v="1"/>
    <x v="1"/>
  </r>
  <r>
    <d v="2024-07-21T00:00:00"/>
    <s v="ORD-000777"/>
    <x v="2"/>
    <x v="38"/>
    <n v="950.55"/>
    <s v="West"/>
    <n v="1288.67"/>
    <n v="338.12"/>
    <n v="30"/>
    <n v="3"/>
    <s v="July"/>
    <n v="2024"/>
    <x v="0"/>
    <x v="2"/>
  </r>
  <r>
    <d v="2024-10-19T00:00:00"/>
    <s v="ORD-000778"/>
    <x v="0"/>
    <x v="4"/>
    <n v="952.4"/>
    <s v="West"/>
    <n v="1970.44"/>
    <n v="1018.04"/>
    <n v="20"/>
    <n v="6"/>
    <s v="October"/>
    <n v="2024"/>
    <x v="0"/>
    <x v="0"/>
  </r>
  <r>
    <d v="2025-12-22T00:00:00"/>
    <s v="ORD-000779"/>
    <x v="1"/>
    <x v="23"/>
    <n v="12066.24"/>
    <s v="Central"/>
    <n v="13944"/>
    <n v="1877.76"/>
    <n v="20"/>
    <n v="1"/>
    <s v="December"/>
    <n v="2025"/>
    <x v="0"/>
    <x v="0"/>
  </r>
  <r>
    <d v="2023-05-19T00:00:00"/>
    <s v="ORD-000780"/>
    <x v="1"/>
    <x v="29"/>
    <n v="12337.33"/>
    <s v="West"/>
    <n v="18141.89"/>
    <n v="5804.56"/>
    <n v="10"/>
    <n v="2"/>
    <s v="May"/>
    <n v="2023"/>
    <x v="1"/>
    <x v="1"/>
  </r>
  <r>
    <d v="2024-11-29T00:00:00"/>
    <s v="ORD-000781"/>
    <x v="1"/>
    <x v="19"/>
    <n v="7226.44"/>
    <s v="East"/>
    <n v="9834.59"/>
    <n v="2608.15"/>
    <n v="0"/>
    <n v="6"/>
    <s v="November"/>
    <n v="2024"/>
    <x v="2"/>
    <x v="1"/>
  </r>
  <r>
    <d v="2025-10-15T00:00:00"/>
    <s v="ORD-000782"/>
    <x v="3"/>
    <x v="22"/>
    <n v="5087.5600000000004"/>
    <s v="Central"/>
    <n v="5781.56"/>
    <n v="694"/>
    <n v="10"/>
    <n v="1"/>
    <s v="October"/>
    <n v="2025"/>
    <x v="1"/>
    <x v="1"/>
  </r>
  <r>
    <d v="2024-08-19T00:00:00"/>
    <s v="ORD-000783"/>
    <x v="5"/>
    <x v="14"/>
    <n v="926.06"/>
    <s v="North"/>
    <n v="1821.07"/>
    <n v="895.01"/>
    <n v="15"/>
    <n v="1"/>
    <s v="August"/>
    <n v="2024"/>
    <x v="0"/>
    <x v="0"/>
  </r>
  <r>
    <d v="2023-02-09T00:00:00"/>
    <s v="ORD-000784"/>
    <x v="3"/>
    <x v="22"/>
    <n v="8931.52"/>
    <s v="North"/>
    <n v="9348.32"/>
    <n v="416.8"/>
    <n v="30"/>
    <n v="1"/>
    <s v="February"/>
    <n v="2023"/>
    <x v="0"/>
    <x v="2"/>
  </r>
  <r>
    <d v="2024-03-20T00:00:00"/>
    <s v="ORD-000785"/>
    <x v="0"/>
    <x v="8"/>
    <n v="983.15"/>
    <s v="South"/>
    <n v="1210.6500000000001"/>
    <n v="227.5"/>
    <n v="25"/>
    <n v="3"/>
    <s v="March"/>
    <n v="2024"/>
    <x v="0"/>
    <x v="2"/>
  </r>
  <r>
    <d v="2024-11-07T00:00:00"/>
    <s v="ORD-000786"/>
    <x v="3"/>
    <x v="15"/>
    <n v="43259.62"/>
    <s v="North"/>
    <n v="52800.47"/>
    <n v="9540.85"/>
    <n v="5"/>
    <n v="6"/>
    <s v="November"/>
    <n v="2024"/>
    <x v="1"/>
    <x v="1"/>
  </r>
  <r>
    <d v="2023-02-03T00:00:00"/>
    <s v="ORD-000787"/>
    <x v="3"/>
    <x v="15"/>
    <n v="18559.669999999998"/>
    <s v="East"/>
    <n v="21234.61"/>
    <n v="2674.94"/>
    <n v="5"/>
    <n v="1"/>
    <s v="February"/>
    <n v="2023"/>
    <x v="1"/>
    <x v="1"/>
  </r>
  <r>
    <d v="2024-10-01T00:00:00"/>
    <s v="ORD-000788"/>
    <x v="4"/>
    <x v="42"/>
    <n v="9561.65"/>
    <s v="South"/>
    <n v="14025.73"/>
    <n v="4464.08"/>
    <n v="0"/>
    <n v="2"/>
    <s v="October"/>
    <n v="2024"/>
    <x v="2"/>
    <x v="1"/>
  </r>
  <r>
    <d v="2024-07-06T00:00:00"/>
    <s v="ORD-000789"/>
    <x v="0"/>
    <x v="0"/>
    <n v="6061.13"/>
    <s v="West"/>
    <n v="8497.36"/>
    <n v="2436.23"/>
    <n v="10"/>
    <n v="4"/>
    <s v="July"/>
    <n v="2024"/>
    <x v="1"/>
    <x v="1"/>
  </r>
  <r>
    <d v="2025-01-23T00:00:00"/>
    <s v="ORD-000790"/>
    <x v="1"/>
    <x v="29"/>
    <n v="60058.67"/>
    <s v="South"/>
    <n v="87521.600000000006"/>
    <n v="27462.93"/>
    <n v="0"/>
    <n v="8"/>
    <s v="January"/>
    <n v="2025"/>
    <x v="2"/>
    <x v="1"/>
  </r>
  <r>
    <d v="2023-03-09T00:00:00"/>
    <s v="ORD-000791"/>
    <x v="3"/>
    <x v="12"/>
    <n v="18202.560000000001"/>
    <s v="Central"/>
    <n v="19269.34"/>
    <n v="1066.78"/>
    <n v="10"/>
    <n v="6"/>
    <s v="March"/>
    <n v="2023"/>
    <x v="1"/>
    <x v="1"/>
  </r>
  <r>
    <d v="2023-11-05T00:00:00"/>
    <s v="ORD-000792"/>
    <x v="4"/>
    <x v="39"/>
    <n v="1289.25"/>
    <s v="North"/>
    <n v="2179.42"/>
    <n v="890.17"/>
    <n v="0"/>
    <n v="1"/>
    <s v="November"/>
    <n v="2023"/>
    <x v="2"/>
    <x v="1"/>
  </r>
  <r>
    <d v="2025-05-14T00:00:00"/>
    <s v="ORD-000793"/>
    <x v="2"/>
    <x v="13"/>
    <n v="543.30999999999995"/>
    <s v="North"/>
    <n v="757.57"/>
    <n v="214.26"/>
    <n v="10"/>
    <n v="1"/>
    <s v="May"/>
    <n v="2025"/>
    <x v="1"/>
    <x v="1"/>
  </r>
  <r>
    <d v="2025-11-19T00:00:00"/>
    <s v="ORD-000794"/>
    <x v="4"/>
    <x v="11"/>
    <n v="21160.400000000001"/>
    <s v="West"/>
    <n v="22902.32"/>
    <n v="1741.92"/>
    <n v="15"/>
    <n v="3"/>
    <s v="November"/>
    <n v="2025"/>
    <x v="0"/>
    <x v="0"/>
  </r>
  <r>
    <d v="2023-07-16T00:00:00"/>
    <s v="ORD-000795"/>
    <x v="3"/>
    <x v="12"/>
    <n v="4244.3999999999996"/>
    <s v="West"/>
    <n v="5223.33"/>
    <n v="978.93"/>
    <n v="0"/>
    <n v="4"/>
    <s v="July"/>
    <n v="2023"/>
    <x v="2"/>
    <x v="1"/>
  </r>
  <r>
    <d v="2024-01-17T00:00:00"/>
    <s v="ORD-000796"/>
    <x v="0"/>
    <x v="41"/>
    <n v="2036.89"/>
    <s v="Central"/>
    <n v="3541.29"/>
    <n v="1504.4"/>
    <n v="20"/>
    <n v="4"/>
    <s v="January"/>
    <n v="2024"/>
    <x v="0"/>
    <x v="0"/>
  </r>
  <r>
    <d v="2025-08-10T00:00:00"/>
    <s v="ORD-000797"/>
    <x v="5"/>
    <x v="18"/>
    <n v="8350.1"/>
    <s v="West"/>
    <n v="13983.93"/>
    <n v="5633.83"/>
    <n v="0"/>
    <n v="5"/>
    <s v="August"/>
    <n v="2025"/>
    <x v="2"/>
    <x v="1"/>
  </r>
  <r>
    <d v="2024-07-08T00:00:00"/>
    <s v="ORD-000798"/>
    <x v="2"/>
    <x v="13"/>
    <n v="77.38"/>
    <s v="North"/>
    <n v="136.44"/>
    <n v="59.06"/>
    <n v="15"/>
    <n v="1"/>
    <s v="July"/>
    <n v="2024"/>
    <x v="0"/>
    <x v="0"/>
  </r>
  <r>
    <d v="2023-02-27T00:00:00"/>
    <s v="ORD-000799"/>
    <x v="1"/>
    <x v="19"/>
    <n v="2151.77"/>
    <s v="North"/>
    <n v="3517.46"/>
    <n v="1365.69"/>
    <n v="0"/>
    <n v="1"/>
    <s v="February"/>
    <n v="2023"/>
    <x v="2"/>
    <x v="1"/>
  </r>
  <r>
    <d v="2023-01-18T00:00:00"/>
    <s v="ORD-000800"/>
    <x v="0"/>
    <x v="6"/>
    <n v="3057.13"/>
    <s v="East"/>
    <n v="4468.9399999999996"/>
    <n v="1411.81"/>
    <n v="10"/>
    <n v="2"/>
    <s v="January"/>
    <n v="2023"/>
    <x v="1"/>
    <x v="1"/>
  </r>
  <r>
    <d v="2024-12-16T00:00:00"/>
    <s v="ORD-000801"/>
    <x v="5"/>
    <x v="20"/>
    <n v="2366.31"/>
    <s v="North"/>
    <n v="5571.06"/>
    <n v="3204.75"/>
    <n v="0"/>
    <n v="2"/>
    <s v="December"/>
    <n v="2024"/>
    <x v="2"/>
    <x v="1"/>
  </r>
  <r>
    <d v="2024-01-10T00:00:00"/>
    <s v="ORD-000802"/>
    <x v="2"/>
    <x v="35"/>
    <n v="297.7"/>
    <s v="West"/>
    <n v="689.89"/>
    <n v="392.19"/>
    <n v="0"/>
    <n v="4"/>
    <s v="January"/>
    <n v="2024"/>
    <x v="2"/>
    <x v="1"/>
  </r>
  <r>
    <d v="2025-11-06T00:00:00"/>
    <s v="ORD-000803"/>
    <x v="2"/>
    <x v="31"/>
    <n v="435.81"/>
    <s v="Central"/>
    <n v="734.63"/>
    <n v="298.82"/>
    <n v="5"/>
    <n v="1"/>
    <s v="November"/>
    <n v="2025"/>
    <x v="1"/>
    <x v="1"/>
  </r>
  <r>
    <d v="2025-10-24T00:00:00"/>
    <s v="ORD-000804"/>
    <x v="3"/>
    <x v="28"/>
    <n v="14126.4"/>
    <s v="Central"/>
    <n v="16720.41"/>
    <n v="2594.0100000000002"/>
    <n v="10"/>
    <n v="3"/>
    <s v="October"/>
    <n v="2025"/>
    <x v="1"/>
    <x v="1"/>
  </r>
  <r>
    <d v="2024-05-30T00:00:00"/>
    <s v="ORD-000805"/>
    <x v="0"/>
    <x v="4"/>
    <n v="465.03"/>
    <s v="West"/>
    <n v="619.54999999999995"/>
    <n v="154.52000000000001"/>
    <n v="20"/>
    <n v="1"/>
    <s v="May"/>
    <n v="2024"/>
    <x v="0"/>
    <x v="0"/>
  </r>
  <r>
    <d v="2024-07-14T00:00:00"/>
    <s v="ORD-000806"/>
    <x v="0"/>
    <x v="4"/>
    <n v="1840.01"/>
    <s v="East"/>
    <n v="3808.31"/>
    <n v="1968.3"/>
    <n v="10"/>
    <n v="1"/>
    <s v="July"/>
    <n v="2024"/>
    <x v="1"/>
    <x v="1"/>
  </r>
  <r>
    <d v="2025-06-06T00:00:00"/>
    <s v="ORD-000807"/>
    <x v="4"/>
    <x v="26"/>
    <n v="3450.65"/>
    <s v="South"/>
    <n v="5882.19"/>
    <n v="2431.54"/>
    <n v="0"/>
    <n v="1"/>
    <s v="June"/>
    <n v="2025"/>
    <x v="2"/>
    <x v="1"/>
  </r>
  <r>
    <d v="2024-12-26T00:00:00"/>
    <s v="ORD-000808"/>
    <x v="2"/>
    <x v="25"/>
    <n v="651.36"/>
    <s v="Central"/>
    <n v="1100.97"/>
    <n v="449.61"/>
    <n v="0"/>
    <n v="1"/>
    <s v="December"/>
    <n v="2024"/>
    <x v="2"/>
    <x v="1"/>
  </r>
  <r>
    <d v="2023-08-28T00:00:00"/>
    <s v="ORD-000809"/>
    <x v="0"/>
    <x v="4"/>
    <n v="401.63"/>
    <s v="East"/>
    <n v="533.16"/>
    <n v="131.53"/>
    <n v="20"/>
    <n v="2"/>
    <s v="August"/>
    <n v="2023"/>
    <x v="0"/>
    <x v="0"/>
  </r>
  <r>
    <d v="2024-09-27T00:00:00"/>
    <s v="ORD-000810"/>
    <x v="5"/>
    <x v="14"/>
    <n v="825.14"/>
    <s v="North"/>
    <n v="1401.29"/>
    <n v="576.15"/>
    <n v="5"/>
    <n v="3"/>
    <s v="September"/>
    <n v="2024"/>
    <x v="1"/>
    <x v="1"/>
  </r>
  <r>
    <d v="2025-09-19T00:00:00"/>
    <s v="ORD-000811"/>
    <x v="4"/>
    <x v="26"/>
    <n v="129030.66"/>
    <s v="Central"/>
    <n v="174286.44"/>
    <n v="45255.78"/>
    <n v="5"/>
    <n v="10"/>
    <s v="September"/>
    <n v="2025"/>
    <x v="1"/>
    <x v="1"/>
  </r>
  <r>
    <d v="2025-03-15T00:00:00"/>
    <s v="ORD-000812"/>
    <x v="0"/>
    <x v="0"/>
    <n v="253"/>
    <s v="Central"/>
    <n v="513.6"/>
    <n v="260.60000000000002"/>
    <n v="15"/>
    <n v="2"/>
    <s v="March"/>
    <n v="2025"/>
    <x v="0"/>
    <x v="0"/>
  </r>
  <r>
    <d v="2025-08-01T00:00:00"/>
    <s v="ORD-000813"/>
    <x v="4"/>
    <x v="40"/>
    <n v="19023.09"/>
    <s v="West"/>
    <n v="23586.9"/>
    <n v="4563.8100000000004"/>
    <n v="5"/>
    <n v="5"/>
    <s v="August"/>
    <n v="2025"/>
    <x v="1"/>
    <x v="1"/>
  </r>
  <r>
    <d v="2023-05-15T00:00:00"/>
    <s v="ORD-000814"/>
    <x v="2"/>
    <x v="13"/>
    <n v="1805.38"/>
    <s v="West"/>
    <n v="3065.1"/>
    <n v="1259.72"/>
    <n v="0"/>
    <n v="3"/>
    <s v="May"/>
    <n v="2023"/>
    <x v="2"/>
    <x v="1"/>
  </r>
  <r>
    <d v="2025-03-06T00:00:00"/>
    <s v="ORD-000815"/>
    <x v="1"/>
    <x v="23"/>
    <n v="968.74"/>
    <s v="East"/>
    <n v="1026.33"/>
    <n v="57.59"/>
    <n v="25"/>
    <n v="1"/>
    <s v="March"/>
    <n v="2025"/>
    <x v="0"/>
    <x v="2"/>
  </r>
  <r>
    <d v="2024-01-27T00:00:00"/>
    <s v="ORD-000816"/>
    <x v="3"/>
    <x v="32"/>
    <n v="15354.52"/>
    <s v="East"/>
    <n v="15815.16"/>
    <n v="460.64"/>
    <n v="17"/>
    <n v="5"/>
    <s v="January"/>
    <n v="2024"/>
    <x v="0"/>
    <x v="0"/>
  </r>
  <r>
    <d v="2024-01-08T00:00:00"/>
    <s v="ORD-000817"/>
    <x v="2"/>
    <x v="35"/>
    <n v="1500.11"/>
    <s v="East"/>
    <n v="2220.96"/>
    <n v="720.85"/>
    <n v="10"/>
    <n v="3"/>
    <s v="January"/>
    <n v="2024"/>
    <x v="1"/>
    <x v="1"/>
  </r>
  <r>
    <d v="2024-12-15T00:00:00"/>
    <s v="ORD-000818"/>
    <x v="5"/>
    <x v="27"/>
    <n v="430.12"/>
    <s v="South"/>
    <n v="522.53"/>
    <n v="92.41"/>
    <n v="30"/>
    <n v="1"/>
    <s v="December"/>
    <n v="2024"/>
    <x v="0"/>
    <x v="2"/>
  </r>
  <r>
    <d v="2025-01-23T00:00:00"/>
    <s v="ORD-000819"/>
    <x v="5"/>
    <x v="36"/>
    <n v="1262.92"/>
    <s v="South"/>
    <n v="2155.2600000000002"/>
    <n v="892.34"/>
    <n v="25"/>
    <n v="3"/>
    <s v="January"/>
    <n v="2025"/>
    <x v="0"/>
    <x v="2"/>
  </r>
  <r>
    <d v="2025-11-19T00:00:00"/>
    <s v="ORD-000820"/>
    <x v="5"/>
    <x v="27"/>
    <n v="2668.99"/>
    <s v="North"/>
    <n v="4098.1499999999996"/>
    <n v="1429.16"/>
    <n v="20"/>
    <n v="1"/>
    <s v="November"/>
    <n v="2025"/>
    <x v="0"/>
    <x v="0"/>
  </r>
  <r>
    <d v="2025-04-09T00:00:00"/>
    <s v="ORD-000821"/>
    <x v="3"/>
    <x v="15"/>
    <n v="2506.65"/>
    <s v="West"/>
    <n v="2653.95"/>
    <n v="147.30000000000001"/>
    <n v="10"/>
    <n v="2"/>
    <s v="April"/>
    <n v="2025"/>
    <x v="1"/>
    <x v="1"/>
  </r>
  <r>
    <d v="2024-11-22T00:00:00"/>
    <s v="ORD-000822"/>
    <x v="3"/>
    <x v="28"/>
    <n v="1131.8599999999999"/>
    <s v="South"/>
    <n v="1412.1"/>
    <n v="280.24"/>
    <n v="0"/>
    <n v="1"/>
    <s v="November"/>
    <n v="2024"/>
    <x v="2"/>
    <x v="1"/>
  </r>
  <r>
    <d v="2024-02-20T00:00:00"/>
    <s v="ORD-000823"/>
    <x v="5"/>
    <x v="14"/>
    <n v="1823.53"/>
    <s v="South"/>
    <n v="3101.61"/>
    <n v="1278.08"/>
    <n v="20"/>
    <n v="2"/>
    <s v="February"/>
    <n v="2024"/>
    <x v="0"/>
    <x v="0"/>
  </r>
  <r>
    <d v="2025-07-28T00:00:00"/>
    <s v="ORD-000824"/>
    <x v="3"/>
    <x v="3"/>
    <n v="96154.98"/>
    <s v="West"/>
    <n v="99039.63"/>
    <n v="2884.65"/>
    <n v="17"/>
    <n v="4"/>
    <s v="July"/>
    <n v="2025"/>
    <x v="0"/>
    <x v="0"/>
  </r>
  <r>
    <d v="2025-03-07T00:00:00"/>
    <s v="ORD-000825"/>
    <x v="3"/>
    <x v="37"/>
    <n v="2931.14"/>
    <s v="North"/>
    <n v="3385.08"/>
    <n v="453.94"/>
    <n v="10"/>
    <n v="2"/>
    <s v="March"/>
    <n v="2025"/>
    <x v="1"/>
    <x v="1"/>
  </r>
  <r>
    <d v="2023-12-17T00:00:00"/>
    <s v="ORD-000826"/>
    <x v="2"/>
    <x v="38"/>
    <n v="201.46"/>
    <s v="North"/>
    <n v="313"/>
    <n v="111.54"/>
    <n v="25"/>
    <n v="2"/>
    <s v="December"/>
    <n v="2023"/>
    <x v="0"/>
    <x v="2"/>
  </r>
  <r>
    <d v="2023-02-15T00:00:00"/>
    <s v="ORD-000827"/>
    <x v="1"/>
    <x v="9"/>
    <n v="1955.51"/>
    <s v="North"/>
    <n v="2664.93"/>
    <n v="709.42"/>
    <n v="15"/>
    <n v="2"/>
    <s v="February"/>
    <n v="2023"/>
    <x v="0"/>
    <x v="0"/>
  </r>
  <r>
    <d v="2025-12-16T00:00:00"/>
    <s v="ORD-000828"/>
    <x v="5"/>
    <x v="16"/>
    <n v="1095.24"/>
    <s v="West"/>
    <n v="1475.55"/>
    <n v="380.31"/>
    <n v="10"/>
    <n v="1"/>
    <s v="December"/>
    <n v="2025"/>
    <x v="1"/>
    <x v="1"/>
  </r>
  <r>
    <d v="2024-12-12T00:00:00"/>
    <s v="ORD-000829"/>
    <x v="2"/>
    <x v="35"/>
    <n v="348.1"/>
    <s v="East"/>
    <n v="577.65"/>
    <n v="229.55"/>
    <n v="10"/>
    <n v="2"/>
    <s v="December"/>
    <n v="2024"/>
    <x v="1"/>
    <x v="1"/>
  </r>
  <r>
    <d v="2023-03-31T00:00:00"/>
    <s v="ORD-000830"/>
    <x v="2"/>
    <x v="25"/>
    <n v="503.67"/>
    <s v="North"/>
    <n v="809.15"/>
    <n v="305.48"/>
    <n v="25"/>
    <n v="2"/>
    <s v="March"/>
    <n v="2023"/>
    <x v="0"/>
    <x v="2"/>
  </r>
  <r>
    <d v="2023-12-03T00:00:00"/>
    <s v="ORD-000831"/>
    <x v="4"/>
    <x v="7"/>
    <n v="7496.5"/>
    <s v="West"/>
    <n v="8933.9599999999991"/>
    <n v="1437.46"/>
    <n v="25"/>
    <n v="6"/>
    <s v="December"/>
    <n v="2023"/>
    <x v="0"/>
    <x v="2"/>
  </r>
  <r>
    <d v="2023-06-19T00:00:00"/>
    <s v="ORD-000832"/>
    <x v="2"/>
    <x v="10"/>
    <n v="783.96"/>
    <s v="South"/>
    <n v="1295.77"/>
    <n v="511.81"/>
    <n v="0"/>
    <n v="4"/>
    <s v="June"/>
    <n v="2023"/>
    <x v="2"/>
    <x v="1"/>
  </r>
  <r>
    <d v="2023-07-19T00:00:00"/>
    <s v="ORD-000833"/>
    <x v="5"/>
    <x v="18"/>
    <n v="9599.49"/>
    <s v="North"/>
    <n v="15697.54"/>
    <n v="6098.05"/>
    <n v="20"/>
    <n v="4"/>
    <s v="July"/>
    <n v="2023"/>
    <x v="0"/>
    <x v="0"/>
  </r>
  <r>
    <d v="2024-03-31T00:00:00"/>
    <s v="ORD-000834"/>
    <x v="3"/>
    <x v="3"/>
    <n v="38694.54"/>
    <s v="East"/>
    <n v="38888.35"/>
    <n v="193.81"/>
    <n v="18"/>
    <n v="4"/>
    <s v="March"/>
    <n v="2024"/>
    <x v="0"/>
    <x v="0"/>
  </r>
  <r>
    <d v="2024-10-16T00:00:00"/>
    <s v="ORD-000835"/>
    <x v="2"/>
    <x v="13"/>
    <n v="5202.4399999999996"/>
    <s v="North"/>
    <n v="8077.03"/>
    <n v="2874.59"/>
    <n v="10"/>
    <n v="6"/>
    <s v="October"/>
    <n v="2024"/>
    <x v="1"/>
    <x v="1"/>
  </r>
  <r>
    <d v="2024-06-07T00:00:00"/>
    <s v="ORD-000836"/>
    <x v="0"/>
    <x v="8"/>
    <n v="2340.34"/>
    <s v="East"/>
    <n v="5144.38"/>
    <n v="2804.04"/>
    <n v="10"/>
    <n v="3"/>
    <s v="June"/>
    <n v="2024"/>
    <x v="1"/>
    <x v="1"/>
  </r>
  <r>
    <d v="2025-01-09T00:00:00"/>
    <s v="ORD-000837"/>
    <x v="3"/>
    <x v="3"/>
    <n v="28589.95"/>
    <s v="East"/>
    <n v="37309.31"/>
    <n v="8719.36"/>
    <n v="0"/>
    <n v="3"/>
    <s v="January"/>
    <n v="2025"/>
    <x v="2"/>
    <x v="1"/>
  </r>
  <r>
    <d v="2023-12-21T00:00:00"/>
    <s v="ORD-000838"/>
    <x v="5"/>
    <x v="36"/>
    <n v="331.28"/>
    <s v="North"/>
    <n v="708.38"/>
    <n v="377.1"/>
    <n v="10"/>
    <n v="1"/>
    <s v="December"/>
    <n v="2023"/>
    <x v="1"/>
    <x v="1"/>
  </r>
  <r>
    <d v="2025-09-08T00:00:00"/>
    <s v="ORD-000839"/>
    <x v="0"/>
    <x v="21"/>
    <n v="10383.41"/>
    <s v="North"/>
    <n v="13056.81"/>
    <n v="2673.4"/>
    <n v="20"/>
    <n v="6"/>
    <s v="September"/>
    <n v="2025"/>
    <x v="0"/>
    <x v="0"/>
  </r>
  <r>
    <d v="2025-06-09T00:00:00"/>
    <s v="ORD-000840"/>
    <x v="0"/>
    <x v="0"/>
    <n v="4562.7"/>
    <s v="Central"/>
    <n v="9048.6"/>
    <n v="4485.8999999999996"/>
    <n v="10"/>
    <n v="3"/>
    <s v="June"/>
    <n v="2025"/>
    <x v="1"/>
    <x v="1"/>
  </r>
  <r>
    <d v="2023-09-28T00:00:00"/>
    <s v="ORD-000841"/>
    <x v="1"/>
    <x v="29"/>
    <n v="18795.82"/>
    <s v="North"/>
    <n v="25939.22"/>
    <n v="7143.4"/>
    <n v="0"/>
    <n v="2"/>
    <s v="September"/>
    <n v="2023"/>
    <x v="2"/>
    <x v="1"/>
  </r>
  <r>
    <d v="2025-02-09T00:00:00"/>
    <s v="ORD-000842"/>
    <x v="4"/>
    <x v="11"/>
    <n v="35094.35"/>
    <s v="Central"/>
    <n v="47043.43"/>
    <n v="11949.08"/>
    <n v="0"/>
    <n v="5"/>
    <s v="February"/>
    <n v="2025"/>
    <x v="2"/>
    <x v="1"/>
  </r>
  <r>
    <d v="2024-06-28T00:00:00"/>
    <s v="ORD-000843"/>
    <x v="3"/>
    <x v="32"/>
    <n v="2189.2600000000002"/>
    <s v="Central"/>
    <n v="2505.54"/>
    <n v="316.27999999999997"/>
    <n v="15"/>
    <n v="1"/>
    <s v="June"/>
    <n v="2024"/>
    <x v="0"/>
    <x v="0"/>
  </r>
  <r>
    <d v="2023-04-27T00:00:00"/>
    <s v="ORD-000844"/>
    <x v="5"/>
    <x v="16"/>
    <n v="435.21"/>
    <s v="Central"/>
    <n v="745.09"/>
    <n v="309.88"/>
    <n v="5"/>
    <n v="1"/>
    <s v="April"/>
    <n v="2023"/>
    <x v="1"/>
    <x v="1"/>
  </r>
  <r>
    <d v="2024-12-06T00:00:00"/>
    <s v="ORD-000845"/>
    <x v="0"/>
    <x v="41"/>
    <n v="1602.29"/>
    <s v="North"/>
    <n v="2811.38"/>
    <n v="1209.0899999999999"/>
    <n v="10"/>
    <n v="2"/>
    <s v="December"/>
    <n v="2024"/>
    <x v="1"/>
    <x v="1"/>
  </r>
  <r>
    <d v="2024-12-21T00:00:00"/>
    <s v="ORD-000846"/>
    <x v="2"/>
    <x v="13"/>
    <n v="153.30000000000001"/>
    <s v="North"/>
    <n v="298.37"/>
    <n v="145.07"/>
    <n v="15"/>
    <n v="1"/>
    <s v="December"/>
    <n v="2024"/>
    <x v="0"/>
    <x v="0"/>
  </r>
  <r>
    <d v="2023-10-29T00:00:00"/>
    <s v="ORD-000847"/>
    <x v="3"/>
    <x v="34"/>
    <n v="20516.82"/>
    <s v="West"/>
    <n v="26486.58"/>
    <n v="5969.76"/>
    <n v="0"/>
    <n v="2"/>
    <s v="October"/>
    <n v="2023"/>
    <x v="2"/>
    <x v="1"/>
  </r>
  <r>
    <d v="2025-01-30T00:00:00"/>
    <s v="ORD-000848"/>
    <x v="1"/>
    <x v="5"/>
    <n v="6639.13"/>
    <s v="North"/>
    <n v="10279.5"/>
    <n v="3640.37"/>
    <n v="5"/>
    <n v="1"/>
    <s v="January"/>
    <n v="2025"/>
    <x v="1"/>
    <x v="1"/>
  </r>
  <r>
    <d v="2025-04-09T00:00:00"/>
    <s v="ORD-000849"/>
    <x v="2"/>
    <x v="38"/>
    <n v="3456.99"/>
    <s v="North"/>
    <n v="8008.41"/>
    <n v="4551.42"/>
    <n v="0"/>
    <n v="5"/>
    <s v="April"/>
    <n v="2025"/>
    <x v="2"/>
    <x v="1"/>
  </r>
  <r>
    <d v="2025-06-02T00:00:00"/>
    <s v="ORD-000850"/>
    <x v="4"/>
    <x v="40"/>
    <n v="81953.759999999995"/>
    <s v="North"/>
    <n v="106991.01"/>
    <n v="25037.25"/>
    <n v="10"/>
    <n v="6"/>
    <s v="June"/>
    <n v="2025"/>
    <x v="1"/>
    <x v="1"/>
  </r>
  <r>
    <d v="2025-04-08T00:00:00"/>
    <s v="ORD-000851"/>
    <x v="0"/>
    <x v="4"/>
    <n v="7064.71"/>
    <s v="North"/>
    <n v="11365.5"/>
    <n v="4300.79"/>
    <n v="25"/>
    <n v="5"/>
    <s v="April"/>
    <n v="2025"/>
    <x v="0"/>
    <x v="2"/>
  </r>
  <r>
    <d v="2025-07-13T00:00:00"/>
    <s v="ORD-000852"/>
    <x v="5"/>
    <x v="16"/>
    <n v="259.05"/>
    <s v="Central"/>
    <n v="645.67999999999995"/>
    <n v="386.63"/>
    <n v="0"/>
    <n v="1"/>
    <s v="July"/>
    <n v="2025"/>
    <x v="2"/>
    <x v="1"/>
  </r>
  <r>
    <d v="2024-11-22T00:00:00"/>
    <s v="ORD-000853"/>
    <x v="5"/>
    <x v="16"/>
    <n v="666.3"/>
    <s v="South"/>
    <n v="1188.03"/>
    <n v="521.73"/>
    <n v="25"/>
    <n v="2"/>
    <s v="November"/>
    <n v="2024"/>
    <x v="0"/>
    <x v="2"/>
  </r>
  <r>
    <d v="2025-05-25T00:00:00"/>
    <s v="ORD-000854"/>
    <x v="4"/>
    <x v="26"/>
    <n v="47276.05"/>
    <s v="West"/>
    <n v="59955.41"/>
    <n v="12679.36"/>
    <n v="0"/>
    <n v="6"/>
    <s v="May"/>
    <n v="2025"/>
    <x v="2"/>
    <x v="1"/>
  </r>
  <r>
    <d v="2025-11-06T00:00:00"/>
    <s v="ORD-000855"/>
    <x v="3"/>
    <x v="22"/>
    <n v="64001.11"/>
    <s v="South"/>
    <n v="85765.13"/>
    <n v="21764.02"/>
    <n v="10"/>
    <n v="6"/>
    <s v="November"/>
    <n v="2025"/>
    <x v="1"/>
    <x v="1"/>
  </r>
  <r>
    <d v="2023-04-20T00:00:00"/>
    <s v="ORD-000856"/>
    <x v="4"/>
    <x v="42"/>
    <n v="2267.54"/>
    <s v="Central"/>
    <n v="3317.66"/>
    <n v="1050.1199999999999"/>
    <n v="15"/>
    <n v="1"/>
    <s v="April"/>
    <n v="2023"/>
    <x v="0"/>
    <x v="0"/>
  </r>
  <r>
    <d v="2025-11-08T00:00:00"/>
    <s v="ORD-000857"/>
    <x v="3"/>
    <x v="12"/>
    <n v="50269.13"/>
    <s v="South"/>
    <n v="60246.38"/>
    <n v="9977.25"/>
    <n v="0"/>
    <n v="5"/>
    <s v="November"/>
    <n v="2025"/>
    <x v="2"/>
    <x v="1"/>
  </r>
  <r>
    <d v="2023-06-29T00:00:00"/>
    <s v="ORD-000858"/>
    <x v="4"/>
    <x v="39"/>
    <n v="1078.1600000000001"/>
    <s v="South"/>
    <n v="1624.92"/>
    <n v="546.76"/>
    <n v="10"/>
    <n v="1"/>
    <s v="June"/>
    <n v="2023"/>
    <x v="1"/>
    <x v="1"/>
  </r>
  <r>
    <d v="2025-01-24T00:00:00"/>
    <s v="ORD-000859"/>
    <x v="4"/>
    <x v="30"/>
    <n v="19454.78"/>
    <s v="East"/>
    <n v="21533.17"/>
    <n v="2078.39"/>
    <n v="15"/>
    <n v="1"/>
    <s v="January"/>
    <n v="2025"/>
    <x v="0"/>
    <x v="0"/>
  </r>
  <r>
    <d v="2025-08-14T00:00:00"/>
    <s v="ORD-000860"/>
    <x v="2"/>
    <x v="31"/>
    <n v="273.77999999999997"/>
    <s v="West"/>
    <n v="440.54"/>
    <n v="166.76"/>
    <n v="20"/>
    <n v="1"/>
    <s v="August"/>
    <n v="2025"/>
    <x v="0"/>
    <x v="0"/>
  </r>
  <r>
    <d v="2023-03-01T00:00:00"/>
    <s v="ORD-000861"/>
    <x v="3"/>
    <x v="12"/>
    <n v="82396.75"/>
    <s v="South"/>
    <n v="95690.85"/>
    <n v="13294.1"/>
    <n v="20"/>
    <n v="6"/>
    <s v="March"/>
    <n v="2023"/>
    <x v="0"/>
    <x v="0"/>
  </r>
  <r>
    <d v="2024-05-25T00:00:00"/>
    <s v="ORD-000862"/>
    <x v="3"/>
    <x v="22"/>
    <n v="3644.48"/>
    <s v="North"/>
    <n v="4688.74"/>
    <n v="1044.26"/>
    <n v="5"/>
    <n v="1"/>
    <s v="May"/>
    <n v="2024"/>
    <x v="1"/>
    <x v="1"/>
  </r>
  <r>
    <d v="2025-07-09T00:00:00"/>
    <s v="ORD-000863"/>
    <x v="3"/>
    <x v="12"/>
    <n v="46203.31"/>
    <s v="North"/>
    <n v="47499.87"/>
    <n v="1296.56"/>
    <n v="20"/>
    <n v="5"/>
    <s v="July"/>
    <n v="2025"/>
    <x v="0"/>
    <x v="0"/>
  </r>
  <r>
    <d v="2025-09-14T00:00:00"/>
    <s v="ORD-000864"/>
    <x v="4"/>
    <x v="7"/>
    <n v="54956.47"/>
    <s v="East"/>
    <n v="60750.8"/>
    <n v="5794.33"/>
    <n v="15"/>
    <n v="3"/>
    <s v="September"/>
    <n v="2025"/>
    <x v="0"/>
    <x v="0"/>
  </r>
  <r>
    <d v="2024-01-05T00:00:00"/>
    <s v="ORD-000865"/>
    <x v="1"/>
    <x v="23"/>
    <n v="47809.56"/>
    <s v="West"/>
    <n v="63825.71"/>
    <n v="16016.15"/>
    <n v="0"/>
    <n v="4"/>
    <s v="January"/>
    <n v="2024"/>
    <x v="2"/>
    <x v="1"/>
  </r>
  <r>
    <d v="2023-11-06T00:00:00"/>
    <s v="ORD-000866"/>
    <x v="2"/>
    <x v="13"/>
    <n v="1643.47"/>
    <s v="South"/>
    <n v="2668.19"/>
    <n v="1024.72"/>
    <n v="10"/>
    <n v="2"/>
    <s v="November"/>
    <n v="2023"/>
    <x v="1"/>
    <x v="1"/>
  </r>
  <r>
    <d v="2023-09-30T00:00:00"/>
    <s v="ORD-000867"/>
    <x v="2"/>
    <x v="31"/>
    <n v="235.48"/>
    <s v="South"/>
    <n v="300.45"/>
    <n v="64.97"/>
    <n v="30"/>
    <n v="2"/>
    <s v="September"/>
    <n v="2023"/>
    <x v="0"/>
    <x v="2"/>
  </r>
  <r>
    <d v="2023-05-05T00:00:00"/>
    <s v="ORD-000868"/>
    <x v="1"/>
    <x v="5"/>
    <n v="10196.9"/>
    <s v="West"/>
    <n v="10502.81"/>
    <n v="305.91000000000003"/>
    <n v="24"/>
    <n v="3"/>
    <s v="May"/>
    <n v="2023"/>
    <x v="0"/>
    <x v="2"/>
  </r>
  <r>
    <d v="2024-10-18T00:00:00"/>
    <s v="ORD-000869"/>
    <x v="3"/>
    <x v="28"/>
    <n v="25170.99"/>
    <s v="South"/>
    <n v="30445.64"/>
    <n v="5274.65"/>
    <n v="10"/>
    <n v="2"/>
    <s v="October"/>
    <n v="2024"/>
    <x v="1"/>
    <x v="1"/>
  </r>
  <r>
    <d v="2025-01-02T00:00:00"/>
    <s v="ORD-000870"/>
    <x v="4"/>
    <x v="26"/>
    <n v="4204.5600000000004"/>
    <s v="West"/>
    <n v="5932.78"/>
    <n v="1728.22"/>
    <n v="5"/>
    <n v="2"/>
    <s v="January"/>
    <n v="2025"/>
    <x v="1"/>
    <x v="1"/>
  </r>
  <r>
    <d v="2024-07-17T00:00:00"/>
    <s v="ORD-000871"/>
    <x v="1"/>
    <x v="9"/>
    <n v="1141.42"/>
    <s v="East"/>
    <n v="1429.99"/>
    <n v="288.57"/>
    <n v="10"/>
    <n v="1"/>
    <s v="July"/>
    <n v="2024"/>
    <x v="1"/>
    <x v="1"/>
  </r>
  <r>
    <d v="2025-11-18T00:00:00"/>
    <s v="ORD-000872"/>
    <x v="5"/>
    <x v="18"/>
    <n v="1609.4"/>
    <s v="South"/>
    <n v="2954.09"/>
    <n v="1344.69"/>
    <n v="0"/>
    <n v="5"/>
    <s v="November"/>
    <n v="2025"/>
    <x v="2"/>
    <x v="1"/>
  </r>
  <r>
    <d v="2023-09-22T00:00:00"/>
    <s v="ORD-000873"/>
    <x v="5"/>
    <x v="27"/>
    <n v="8967.83"/>
    <s v="North"/>
    <n v="17563.689999999999"/>
    <n v="8595.86"/>
    <n v="10"/>
    <n v="8"/>
    <s v="September"/>
    <n v="2023"/>
    <x v="1"/>
    <x v="1"/>
  </r>
  <r>
    <d v="2024-10-23T00:00:00"/>
    <s v="ORD-000874"/>
    <x v="4"/>
    <x v="26"/>
    <n v="42478.47"/>
    <s v="South"/>
    <n v="65654.320000000007"/>
    <n v="23175.85"/>
    <n v="10"/>
    <n v="8"/>
    <s v="October"/>
    <n v="2024"/>
    <x v="1"/>
    <x v="1"/>
  </r>
  <r>
    <d v="2023-09-16T00:00:00"/>
    <s v="ORD-000875"/>
    <x v="5"/>
    <x v="16"/>
    <n v="1173.08"/>
    <s v="South"/>
    <n v="1880.64"/>
    <n v="707.56"/>
    <n v="15"/>
    <n v="1"/>
    <s v="September"/>
    <n v="2023"/>
    <x v="0"/>
    <x v="0"/>
  </r>
  <r>
    <d v="2023-01-22T00:00:00"/>
    <s v="ORD-000876"/>
    <x v="5"/>
    <x v="27"/>
    <n v="2281.7199999999998"/>
    <s v="West"/>
    <n v="3201.64"/>
    <n v="919.92"/>
    <n v="10"/>
    <n v="3"/>
    <s v="January"/>
    <n v="2023"/>
    <x v="1"/>
    <x v="1"/>
  </r>
  <r>
    <d v="2023-06-10T00:00:00"/>
    <s v="ORD-000877"/>
    <x v="1"/>
    <x v="1"/>
    <n v="6226.29"/>
    <s v="South"/>
    <n v="7098.65"/>
    <n v="872.36"/>
    <n v="15"/>
    <n v="4"/>
    <s v="June"/>
    <n v="2023"/>
    <x v="0"/>
    <x v="0"/>
  </r>
  <r>
    <d v="2024-09-18T00:00:00"/>
    <s v="ORD-000878"/>
    <x v="3"/>
    <x v="28"/>
    <n v="9300.86"/>
    <s v="North"/>
    <n v="12082.35"/>
    <n v="2781.49"/>
    <n v="10"/>
    <n v="6"/>
    <s v="September"/>
    <n v="2024"/>
    <x v="1"/>
    <x v="1"/>
  </r>
  <r>
    <d v="2025-10-31T00:00:00"/>
    <s v="ORD-000879"/>
    <x v="3"/>
    <x v="22"/>
    <n v="25038.68"/>
    <s v="East"/>
    <n v="25789.84"/>
    <n v="751.16"/>
    <n v="17"/>
    <n v="2"/>
    <s v="October"/>
    <n v="2025"/>
    <x v="0"/>
    <x v="0"/>
  </r>
  <r>
    <d v="2025-04-21T00:00:00"/>
    <s v="ORD-000880"/>
    <x v="4"/>
    <x v="42"/>
    <n v="1385.87"/>
    <s v="North"/>
    <n v="1566.31"/>
    <n v="180.44"/>
    <n v="20"/>
    <n v="1"/>
    <s v="April"/>
    <n v="2025"/>
    <x v="0"/>
    <x v="0"/>
  </r>
  <r>
    <d v="2025-08-14T00:00:00"/>
    <s v="ORD-000881"/>
    <x v="4"/>
    <x v="42"/>
    <n v="2378.0500000000002"/>
    <s v="South"/>
    <n v="3464.23"/>
    <n v="1086.18"/>
    <n v="0"/>
    <n v="1"/>
    <s v="August"/>
    <n v="2025"/>
    <x v="2"/>
    <x v="1"/>
  </r>
  <r>
    <d v="2025-02-03T00:00:00"/>
    <s v="ORD-000882"/>
    <x v="2"/>
    <x v="10"/>
    <n v="1276.23"/>
    <s v="West"/>
    <n v="2527.4499999999998"/>
    <n v="1251.22"/>
    <n v="0"/>
    <n v="3"/>
    <s v="February"/>
    <n v="2025"/>
    <x v="2"/>
    <x v="1"/>
  </r>
  <r>
    <d v="2024-02-25T00:00:00"/>
    <s v="ORD-000883"/>
    <x v="5"/>
    <x v="33"/>
    <n v="595.72"/>
    <s v="North"/>
    <n v="1172.1199999999999"/>
    <n v="576.4"/>
    <n v="15"/>
    <n v="2"/>
    <s v="February"/>
    <n v="2024"/>
    <x v="0"/>
    <x v="0"/>
  </r>
  <r>
    <d v="2025-01-14T00:00:00"/>
    <s v="ORD-000884"/>
    <x v="3"/>
    <x v="37"/>
    <n v="9131.3799999999992"/>
    <s v="West"/>
    <n v="10998.68"/>
    <n v="1867.3"/>
    <n v="15"/>
    <n v="3"/>
    <s v="January"/>
    <n v="2025"/>
    <x v="0"/>
    <x v="0"/>
  </r>
  <r>
    <d v="2025-04-18T00:00:00"/>
    <s v="ORD-000885"/>
    <x v="4"/>
    <x v="11"/>
    <n v="50392.32"/>
    <s v="West"/>
    <n v="69297.88"/>
    <n v="18905.560000000001"/>
    <n v="10"/>
    <n v="3"/>
    <s v="April"/>
    <n v="2025"/>
    <x v="1"/>
    <x v="1"/>
  </r>
  <r>
    <d v="2024-12-29T00:00:00"/>
    <s v="ORD-000886"/>
    <x v="4"/>
    <x v="11"/>
    <n v="2111.62"/>
    <s v="West"/>
    <n v="2440.69"/>
    <n v="329.07"/>
    <n v="15"/>
    <n v="1"/>
    <s v="December"/>
    <n v="2024"/>
    <x v="0"/>
    <x v="0"/>
  </r>
  <r>
    <d v="2023-08-12T00:00:00"/>
    <s v="ORD-000887"/>
    <x v="3"/>
    <x v="15"/>
    <n v="77420.42"/>
    <s v="South"/>
    <n v="116811.62"/>
    <n v="39391.199999999997"/>
    <n v="0"/>
    <n v="5"/>
    <s v="August"/>
    <n v="2023"/>
    <x v="2"/>
    <x v="1"/>
  </r>
  <r>
    <d v="2024-11-01T00:00:00"/>
    <s v="ORD-000888"/>
    <x v="2"/>
    <x v="10"/>
    <n v="1749.44"/>
    <s v="North"/>
    <n v="2977.4"/>
    <n v="1227.96"/>
    <n v="10"/>
    <n v="5"/>
    <s v="November"/>
    <n v="2024"/>
    <x v="1"/>
    <x v="1"/>
  </r>
  <r>
    <d v="2025-06-11T00:00:00"/>
    <s v="ORD-000889"/>
    <x v="4"/>
    <x v="11"/>
    <n v="13799.06"/>
    <s v="North"/>
    <n v="21191.51"/>
    <n v="7392.45"/>
    <n v="10"/>
    <n v="1"/>
    <s v="June"/>
    <n v="2025"/>
    <x v="1"/>
    <x v="1"/>
  </r>
  <r>
    <d v="2023-11-19T00:00:00"/>
    <s v="ORD-000890"/>
    <x v="2"/>
    <x v="2"/>
    <n v="804.98"/>
    <s v="South"/>
    <n v="1140.7"/>
    <n v="335.72"/>
    <n v="15"/>
    <n v="4"/>
    <s v="November"/>
    <n v="2023"/>
    <x v="0"/>
    <x v="0"/>
  </r>
  <r>
    <d v="2023-04-19T00:00:00"/>
    <s v="ORD-000891"/>
    <x v="5"/>
    <x v="18"/>
    <n v="461.2"/>
    <s v="South"/>
    <n v="970.45"/>
    <n v="509.25"/>
    <n v="5"/>
    <n v="2"/>
    <s v="April"/>
    <n v="2023"/>
    <x v="1"/>
    <x v="1"/>
  </r>
  <r>
    <d v="2023-05-01T00:00:00"/>
    <s v="ORD-000892"/>
    <x v="0"/>
    <x v="6"/>
    <n v="955.71"/>
    <s v="East"/>
    <n v="1606.24"/>
    <n v="650.53"/>
    <n v="5"/>
    <n v="4"/>
    <s v="May"/>
    <n v="2023"/>
    <x v="1"/>
    <x v="1"/>
  </r>
  <r>
    <d v="2023-08-27T00:00:00"/>
    <s v="ORD-000893"/>
    <x v="2"/>
    <x v="31"/>
    <n v="4388.95"/>
    <s v="West"/>
    <n v="6364.76"/>
    <n v="1975.81"/>
    <n v="0"/>
    <n v="6"/>
    <s v="August"/>
    <n v="2023"/>
    <x v="2"/>
    <x v="1"/>
  </r>
  <r>
    <d v="2025-02-03T00:00:00"/>
    <s v="ORD-000894"/>
    <x v="5"/>
    <x v="33"/>
    <n v="4495.57"/>
    <s v="Central"/>
    <n v="7256.7"/>
    <n v="2761.13"/>
    <n v="15"/>
    <n v="2"/>
    <s v="February"/>
    <n v="2025"/>
    <x v="0"/>
    <x v="0"/>
  </r>
  <r>
    <d v="2024-04-11T00:00:00"/>
    <s v="ORD-000895"/>
    <x v="5"/>
    <x v="33"/>
    <n v="1484.05"/>
    <s v="West"/>
    <n v="2528.2399999999998"/>
    <n v="1044.19"/>
    <n v="5"/>
    <n v="2"/>
    <s v="April"/>
    <n v="2024"/>
    <x v="1"/>
    <x v="1"/>
  </r>
  <r>
    <d v="2023-01-21T00:00:00"/>
    <s v="ORD-000896"/>
    <x v="3"/>
    <x v="37"/>
    <n v="32423.84"/>
    <s v="West"/>
    <n v="44282.18"/>
    <n v="11858.34"/>
    <n v="5"/>
    <n v="2"/>
    <s v="January"/>
    <n v="2023"/>
    <x v="1"/>
    <x v="1"/>
  </r>
  <r>
    <d v="2023-09-23T00:00:00"/>
    <s v="ORD-000897"/>
    <x v="3"/>
    <x v="37"/>
    <n v="5816.45"/>
    <s v="West"/>
    <n v="7382.07"/>
    <n v="1565.62"/>
    <n v="10"/>
    <n v="4"/>
    <s v="September"/>
    <n v="2023"/>
    <x v="1"/>
    <x v="1"/>
  </r>
  <r>
    <d v="2023-03-25T00:00:00"/>
    <s v="ORD-000898"/>
    <x v="5"/>
    <x v="33"/>
    <n v="573.05999999999995"/>
    <s v="West"/>
    <n v="912.99"/>
    <n v="339.93"/>
    <n v="20"/>
    <n v="1"/>
    <s v="March"/>
    <n v="2023"/>
    <x v="0"/>
    <x v="0"/>
  </r>
  <r>
    <d v="2023-03-13T00:00:00"/>
    <s v="ORD-000899"/>
    <x v="2"/>
    <x v="31"/>
    <n v="1068.22"/>
    <s v="Central"/>
    <n v="1247.8699999999999"/>
    <n v="179.65"/>
    <n v="25"/>
    <n v="4"/>
    <s v="March"/>
    <n v="2023"/>
    <x v="0"/>
    <x v="2"/>
  </r>
  <r>
    <d v="2023-12-18T00:00:00"/>
    <s v="ORD-000900"/>
    <x v="2"/>
    <x v="13"/>
    <n v="3010.68"/>
    <s v="North"/>
    <n v="5394.97"/>
    <n v="2384.29"/>
    <n v="15"/>
    <n v="4"/>
    <s v="December"/>
    <n v="2023"/>
    <x v="0"/>
    <x v="0"/>
  </r>
  <r>
    <d v="2025-02-01T00:00:00"/>
    <s v="ORD-000901"/>
    <x v="3"/>
    <x v="28"/>
    <n v="5865.76"/>
    <s v="West"/>
    <n v="6568.04"/>
    <n v="702.28"/>
    <n v="25"/>
    <n v="3"/>
    <s v="February"/>
    <n v="2025"/>
    <x v="0"/>
    <x v="2"/>
  </r>
  <r>
    <d v="2025-09-22T00:00:00"/>
    <s v="ORD-000902"/>
    <x v="3"/>
    <x v="3"/>
    <n v="27409.7"/>
    <s v="East"/>
    <n v="28231.99"/>
    <n v="822.29"/>
    <n v="25"/>
    <n v="3"/>
    <s v="September"/>
    <n v="2025"/>
    <x v="0"/>
    <x v="2"/>
  </r>
  <r>
    <d v="2025-04-28T00:00:00"/>
    <s v="ORD-000903"/>
    <x v="2"/>
    <x v="38"/>
    <n v="1989.43"/>
    <s v="South"/>
    <n v="3354.74"/>
    <n v="1365.31"/>
    <n v="0"/>
    <n v="6"/>
    <s v="April"/>
    <n v="2025"/>
    <x v="2"/>
    <x v="1"/>
  </r>
  <r>
    <d v="2025-10-21T00:00:00"/>
    <s v="ORD-000904"/>
    <x v="2"/>
    <x v="38"/>
    <n v="863.17"/>
    <s v="South"/>
    <n v="1081.68"/>
    <n v="218.51"/>
    <n v="20"/>
    <n v="2"/>
    <s v="October"/>
    <n v="2025"/>
    <x v="0"/>
    <x v="0"/>
  </r>
  <r>
    <d v="2023-09-02T00:00:00"/>
    <s v="ORD-000905"/>
    <x v="3"/>
    <x v="32"/>
    <n v="83117.539999999994"/>
    <s v="South"/>
    <n v="93219.48"/>
    <n v="10101.94"/>
    <n v="10"/>
    <n v="5"/>
    <s v="September"/>
    <n v="2023"/>
    <x v="1"/>
    <x v="1"/>
  </r>
  <r>
    <d v="2024-06-13T00:00:00"/>
    <s v="ORD-000906"/>
    <x v="0"/>
    <x v="41"/>
    <n v="270.13"/>
    <s v="North"/>
    <n v="562.76"/>
    <n v="292.63"/>
    <n v="5"/>
    <n v="1"/>
    <s v="June"/>
    <n v="2024"/>
    <x v="1"/>
    <x v="1"/>
  </r>
  <r>
    <d v="2025-10-31T00:00:00"/>
    <s v="ORD-000907"/>
    <x v="4"/>
    <x v="30"/>
    <n v="23952.52"/>
    <s v="South"/>
    <n v="33388.76"/>
    <n v="9436.24"/>
    <n v="15"/>
    <n v="3"/>
    <s v="October"/>
    <n v="2025"/>
    <x v="0"/>
    <x v="0"/>
  </r>
  <r>
    <d v="2025-10-05T00:00:00"/>
    <s v="ORD-000908"/>
    <x v="3"/>
    <x v="22"/>
    <n v="17391.18"/>
    <s v="West"/>
    <n v="17434.240000000002"/>
    <n v="43.06"/>
    <n v="14"/>
    <n v="1"/>
    <s v="October"/>
    <n v="2025"/>
    <x v="0"/>
    <x v="0"/>
  </r>
  <r>
    <d v="2023-05-11T00:00:00"/>
    <s v="ORD-000909"/>
    <x v="4"/>
    <x v="7"/>
    <n v="14048.31"/>
    <s v="South"/>
    <n v="21918"/>
    <n v="7869.69"/>
    <n v="5"/>
    <n v="4"/>
    <s v="May"/>
    <n v="2023"/>
    <x v="1"/>
    <x v="1"/>
  </r>
  <r>
    <d v="2024-04-30T00:00:00"/>
    <s v="ORD-000910"/>
    <x v="0"/>
    <x v="4"/>
    <n v="846.47"/>
    <s v="Central"/>
    <n v="1169.3"/>
    <n v="322.83"/>
    <n v="30"/>
    <n v="3"/>
    <s v="April"/>
    <n v="2024"/>
    <x v="0"/>
    <x v="2"/>
  </r>
  <r>
    <d v="2024-06-13T00:00:00"/>
    <s v="ORD-000911"/>
    <x v="4"/>
    <x v="30"/>
    <n v="152993.38"/>
    <s v="South"/>
    <n v="236875.56"/>
    <n v="83882.179999999993"/>
    <n v="5"/>
    <n v="10"/>
    <s v="June"/>
    <n v="2024"/>
    <x v="1"/>
    <x v="1"/>
  </r>
  <r>
    <d v="2024-06-05T00:00:00"/>
    <s v="ORD-000912"/>
    <x v="4"/>
    <x v="26"/>
    <n v="22166.87"/>
    <s v="North"/>
    <n v="22831.88"/>
    <n v="665.01"/>
    <n v="23"/>
    <n v="4"/>
    <s v="June"/>
    <n v="2024"/>
    <x v="0"/>
    <x v="2"/>
  </r>
  <r>
    <d v="2025-12-23T00:00:00"/>
    <s v="ORD-000913"/>
    <x v="2"/>
    <x v="13"/>
    <n v="382.91"/>
    <s v="West"/>
    <n v="626.94000000000005"/>
    <n v="244.03"/>
    <n v="30"/>
    <n v="3"/>
    <s v="December"/>
    <n v="2025"/>
    <x v="0"/>
    <x v="2"/>
  </r>
  <r>
    <d v="2025-01-10T00:00:00"/>
    <s v="ORD-000914"/>
    <x v="2"/>
    <x v="35"/>
    <n v="816.54"/>
    <s v="North"/>
    <n v="1216.57"/>
    <n v="400.03"/>
    <n v="10"/>
    <n v="4"/>
    <s v="January"/>
    <n v="2025"/>
    <x v="1"/>
    <x v="1"/>
  </r>
  <r>
    <d v="2023-07-20T00:00:00"/>
    <s v="ORD-000915"/>
    <x v="0"/>
    <x v="17"/>
    <n v="12553.01"/>
    <s v="East"/>
    <n v="21066.15"/>
    <n v="8513.14"/>
    <n v="0"/>
    <n v="8"/>
    <s v="July"/>
    <n v="2023"/>
    <x v="2"/>
    <x v="1"/>
  </r>
  <r>
    <d v="2023-06-20T00:00:00"/>
    <s v="ORD-000916"/>
    <x v="1"/>
    <x v="23"/>
    <n v="1169.69"/>
    <s v="West"/>
    <n v="1399.73"/>
    <n v="230.04"/>
    <n v="10"/>
    <n v="1"/>
    <s v="June"/>
    <n v="2023"/>
    <x v="1"/>
    <x v="1"/>
  </r>
  <r>
    <d v="2025-08-20T00:00:00"/>
    <s v="ORD-000917"/>
    <x v="0"/>
    <x v="6"/>
    <n v="517.35"/>
    <s v="South"/>
    <n v="864.13"/>
    <n v="346.78"/>
    <n v="5"/>
    <n v="2"/>
    <s v="August"/>
    <n v="2025"/>
    <x v="1"/>
    <x v="1"/>
  </r>
  <r>
    <d v="2024-04-11T00:00:00"/>
    <s v="ORD-000918"/>
    <x v="2"/>
    <x v="10"/>
    <n v="63.54"/>
    <s v="Central"/>
    <n v="88.2"/>
    <n v="24.66"/>
    <n v="15"/>
    <n v="1"/>
    <s v="April"/>
    <n v="2024"/>
    <x v="0"/>
    <x v="0"/>
  </r>
  <r>
    <d v="2024-12-18T00:00:00"/>
    <s v="ORD-000919"/>
    <x v="0"/>
    <x v="4"/>
    <n v="1421.1"/>
    <s v="North"/>
    <n v="3727.89"/>
    <n v="2306.79"/>
    <n v="0"/>
    <n v="1"/>
    <s v="December"/>
    <n v="2024"/>
    <x v="2"/>
    <x v="1"/>
  </r>
  <r>
    <d v="2023-02-07T00:00:00"/>
    <s v="ORD-000920"/>
    <x v="1"/>
    <x v="19"/>
    <n v="3107.87"/>
    <s v="Central"/>
    <n v="3121.25"/>
    <n v="13.38"/>
    <n v="20"/>
    <n v="3"/>
    <s v="February"/>
    <n v="2023"/>
    <x v="0"/>
    <x v="0"/>
  </r>
  <r>
    <d v="2024-03-22T00:00:00"/>
    <s v="ORD-000921"/>
    <x v="5"/>
    <x v="18"/>
    <n v="4566.3999999999996"/>
    <s v="Central"/>
    <n v="7247.85"/>
    <n v="2681.45"/>
    <n v="25"/>
    <n v="2"/>
    <s v="March"/>
    <n v="2024"/>
    <x v="0"/>
    <x v="2"/>
  </r>
  <r>
    <d v="2023-09-25T00:00:00"/>
    <s v="ORD-000922"/>
    <x v="5"/>
    <x v="20"/>
    <n v="3029.59"/>
    <s v="South"/>
    <n v="4820.96"/>
    <n v="1791.37"/>
    <n v="0"/>
    <n v="4"/>
    <s v="September"/>
    <n v="2023"/>
    <x v="2"/>
    <x v="1"/>
  </r>
  <r>
    <d v="2024-11-27T00:00:00"/>
    <s v="ORD-000923"/>
    <x v="5"/>
    <x v="20"/>
    <n v="2951.89"/>
    <s v="North"/>
    <n v="4537.84"/>
    <n v="1585.95"/>
    <n v="5"/>
    <n v="1"/>
    <s v="November"/>
    <n v="2024"/>
    <x v="1"/>
    <x v="1"/>
  </r>
  <r>
    <d v="2023-03-02T00:00:00"/>
    <s v="ORD-000924"/>
    <x v="0"/>
    <x v="4"/>
    <n v="260.93"/>
    <s v="West"/>
    <n v="501.08"/>
    <n v="240.15"/>
    <n v="25"/>
    <n v="2"/>
    <s v="March"/>
    <n v="2023"/>
    <x v="0"/>
    <x v="2"/>
  </r>
  <r>
    <d v="2024-05-15T00:00:00"/>
    <s v="ORD-000925"/>
    <x v="5"/>
    <x v="36"/>
    <n v="4302.8100000000004"/>
    <s v="West"/>
    <n v="8552.9599999999991"/>
    <n v="4250.1499999999996"/>
    <n v="0"/>
    <n v="2"/>
    <s v="May"/>
    <n v="2024"/>
    <x v="2"/>
    <x v="1"/>
  </r>
  <r>
    <d v="2024-01-15T00:00:00"/>
    <s v="ORD-000926"/>
    <x v="5"/>
    <x v="27"/>
    <n v="613.12"/>
    <s v="Central"/>
    <n v="1330.09"/>
    <n v="716.97"/>
    <n v="0"/>
    <n v="2"/>
    <s v="January"/>
    <n v="2024"/>
    <x v="2"/>
    <x v="1"/>
  </r>
  <r>
    <d v="2025-09-22T00:00:00"/>
    <s v="ORD-000927"/>
    <x v="1"/>
    <x v="29"/>
    <n v="15529.21"/>
    <s v="East"/>
    <n v="17953.48"/>
    <n v="2424.27"/>
    <n v="10"/>
    <n v="10"/>
    <s v="September"/>
    <n v="2025"/>
    <x v="1"/>
    <x v="1"/>
  </r>
  <r>
    <d v="2024-08-24T00:00:00"/>
    <s v="ORD-000928"/>
    <x v="5"/>
    <x v="18"/>
    <n v="2175.7800000000002"/>
    <s v="West"/>
    <n v="3614.51"/>
    <n v="1438.73"/>
    <n v="25"/>
    <n v="3"/>
    <s v="August"/>
    <n v="2024"/>
    <x v="0"/>
    <x v="2"/>
  </r>
  <r>
    <d v="2024-12-04T00:00:00"/>
    <s v="ORD-000929"/>
    <x v="3"/>
    <x v="12"/>
    <n v="10656.21"/>
    <s v="North"/>
    <n v="15211.6"/>
    <n v="4555.3900000000003"/>
    <n v="0"/>
    <n v="2"/>
    <s v="December"/>
    <n v="2024"/>
    <x v="2"/>
    <x v="1"/>
  </r>
  <r>
    <d v="2025-08-22T00:00:00"/>
    <s v="ORD-000930"/>
    <x v="2"/>
    <x v="35"/>
    <n v="1146.3599999999999"/>
    <s v="East"/>
    <n v="1677.8"/>
    <n v="531.44000000000005"/>
    <n v="5"/>
    <n v="6"/>
    <s v="August"/>
    <n v="2025"/>
    <x v="1"/>
    <x v="1"/>
  </r>
  <r>
    <d v="2025-08-05T00:00:00"/>
    <s v="ORD-000931"/>
    <x v="5"/>
    <x v="14"/>
    <n v="2324.1999999999998"/>
    <s v="East"/>
    <n v="4532.67"/>
    <n v="2208.4699999999998"/>
    <n v="0"/>
    <n v="3"/>
    <s v="August"/>
    <n v="2025"/>
    <x v="2"/>
    <x v="1"/>
  </r>
  <r>
    <d v="2023-09-15T00:00:00"/>
    <s v="ORD-000932"/>
    <x v="5"/>
    <x v="18"/>
    <n v="3240.34"/>
    <s v="Central"/>
    <n v="5231.66"/>
    <n v="1991.32"/>
    <n v="10"/>
    <n v="4"/>
    <s v="September"/>
    <n v="2023"/>
    <x v="1"/>
    <x v="1"/>
  </r>
  <r>
    <d v="2025-03-11T00:00:00"/>
    <s v="ORD-000933"/>
    <x v="4"/>
    <x v="7"/>
    <n v="9696.61"/>
    <s v="West"/>
    <n v="11334.12"/>
    <n v="1637.51"/>
    <n v="20"/>
    <n v="2"/>
    <s v="March"/>
    <n v="2025"/>
    <x v="0"/>
    <x v="0"/>
  </r>
  <r>
    <d v="2023-08-21T00:00:00"/>
    <s v="ORD-000934"/>
    <x v="2"/>
    <x v="2"/>
    <n v="197.83"/>
    <s v="West"/>
    <n v="343.49"/>
    <n v="145.66"/>
    <n v="10"/>
    <n v="2"/>
    <s v="August"/>
    <n v="2023"/>
    <x v="1"/>
    <x v="1"/>
  </r>
  <r>
    <d v="2025-03-14T00:00:00"/>
    <s v="ORD-000935"/>
    <x v="2"/>
    <x v="31"/>
    <n v="787.23"/>
    <s v="West"/>
    <n v="1208.79"/>
    <n v="421.56"/>
    <n v="15"/>
    <n v="3"/>
    <s v="March"/>
    <n v="2025"/>
    <x v="0"/>
    <x v="0"/>
  </r>
  <r>
    <d v="2024-07-18T00:00:00"/>
    <s v="ORD-000936"/>
    <x v="3"/>
    <x v="15"/>
    <n v="5446.26"/>
    <s v="West"/>
    <n v="6229.1"/>
    <n v="782.84"/>
    <n v="5"/>
    <n v="1"/>
    <s v="July"/>
    <n v="2024"/>
    <x v="1"/>
    <x v="1"/>
  </r>
  <r>
    <d v="2024-08-20T00:00:00"/>
    <s v="ORD-000937"/>
    <x v="5"/>
    <x v="16"/>
    <n v="10845.63"/>
    <s v="East"/>
    <n v="20031.54"/>
    <n v="9185.91"/>
    <n v="15"/>
    <n v="5"/>
    <s v="August"/>
    <n v="2024"/>
    <x v="0"/>
    <x v="0"/>
  </r>
  <r>
    <d v="2024-08-26T00:00:00"/>
    <s v="ORD-000938"/>
    <x v="3"/>
    <x v="34"/>
    <n v="1189.68"/>
    <s v="West"/>
    <n v="1646.01"/>
    <n v="456.33"/>
    <n v="5"/>
    <n v="1"/>
    <s v="August"/>
    <n v="2024"/>
    <x v="1"/>
    <x v="1"/>
  </r>
  <r>
    <d v="2024-10-28T00:00:00"/>
    <s v="ORD-000939"/>
    <x v="5"/>
    <x v="16"/>
    <n v="572.66"/>
    <s v="East"/>
    <n v="818.13"/>
    <n v="245.47"/>
    <n v="10"/>
    <n v="1"/>
    <s v="October"/>
    <n v="2024"/>
    <x v="1"/>
    <x v="1"/>
  </r>
  <r>
    <d v="2024-04-09T00:00:00"/>
    <s v="ORD-000940"/>
    <x v="2"/>
    <x v="35"/>
    <n v="517.55999999999995"/>
    <s v="Central"/>
    <n v="1010.56"/>
    <n v="493"/>
    <n v="0"/>
    <n v="3"/>
    <s v="April"/>
    <n v="2024"/>
    <x v="2"/>
    <x v="1"/>
  </r>
  <r>
    <d v="2025-08-29T00:00:00"/>
    <s v="ORD-000941"/>
    <x v="3"/>
    <x v="12"/>
    <n v="40856.89"/>
    <s v="West"/>
    <n v="44810.95"/>
    <n v="3954.06"/>
    <n v="15"/>
    <n v="4"/>
    <s v="August"/>
    <n v="2025"/>
    <x v="0"/>
    <x v="0"/>
  </r>
  <r>
    <d v="2025-08-07T00:00:00"/>
    <s v="ORD-000942"/>
    <x v="2"/>
    <x v="38"/>
    <n v="703.29"/>
    <s v="Central"/>
    <n v="1134.0899999999999"/>
    <n v="430.8"/>
    <n v="15"/>
    <n v="2"/>
    <s v="August"/>
    <n v="2025"/>
    <x v="0"/>
    <x v="0"/>
  </r>
  <r>
    <d v="2025-01-08T00:00:00"/>
    <s v="ORD-000943"/>
    <x v="2"/>
    <x v="38"/>
    <n v="1717.93"/>
    <s v="South"/>
    <n v="1876.2"/>
    <n v="158.27000000000001"/>
    <n v="25"/>
    <n v="3"/>
    <s v="January"/>
    <n v="2025"/>
    <x v="0"/>
    <x v="2"/>
  </r>
  <r>
    <d v="2025-05-31T00:00:00"/>
    <s v="ORD-000944"/>
    <x v="2"/>
    <x v="38"/>
    <n v="2949.02"/>
    <s v="Central"/>
    <n v="4322.59"/>
    <n v="1373.57"/>
    <n v="25"/>
    <n v="6"/>
    <s v="May"/>
    <n v="2025"/>
    <x v="0"/>
    <x v="2"/>
  </r>
  <r>
    <d v="2025-05-15T00:00:00"/>
    <s v="ORD-000945"/>
    <x v="5"/>
    <x v="20"/>
    <n v="401.23"/>
    <s v="North"/>
    <n v="496.69"/>
    <n v="95.46"/>
    <n v="20"/>
    <n v="1"/>
    <s v="May"/>
    <n v="2025"/>
    <x v="0"/>
    <x v="0"/>
  </r>
  <r>
    <d v="2024-11-01T00:00:00"/>
    <s v="ORD-000946"/>
    <x v="5"/>
    <x v="18"/>
    <n v="962.56"/>
    <s v="North"/>
    <n v="1322.78"/>
    <n v="360.22"/>
    <n v="15"/>
    <n v="2"/>
    <s v="November"/>
    <n v="2024"/>
    <x v="0"/>
    <x v="0"/>
  </r>
  <r>
    <d v="2023-03-18T00:00:00"/>
    <s v="ORD-000947"/>
    <x v="5"/>
    <x v="18"/>
    <n v="648.67999999999995"/>
    <s v="South"/>
    <n v="1340.04"/>
    <n v="691.36"/>
    <n v="10"/>
    <n v="1"/>
    <s v="March"/>
    <n v="2023"/>
    <x v="1"/>
    <x v="1"/>
  </r>
  <r>
    <d v="2025-04-16T00:00:00"/>
    <s v="ORD-000948"/>
    <x v="3"/>
    <x v="3"/>
    <n v="3536.42"/>
    <s v="South"/>
    <n v="4553.37"/>
    <n v="1016.95"/>
    <n v="0"/>
    <n v="1"/>
    <s v="April"/>
    <n v="2025"/>
    <x v="2"/>
    <x v="1"/>
  </r>
  <r>
    <d v="2025-02-26T00:00:00"/>
    <s v="ORD-000949"/>
    <x v="3"/>
    <x v="37"/>
    <n v="4748.84"/>
    <s v="Central"/>
    <n v="5848.84"/>
    <n v="1100"/>
    <n v="0"/>
    <n v="3"/>
    <s v="February"/>
    <n v="2025"/>
    <x v="2"/>
    <x v="1"/>
  </r>
  <r>
    <d v="2023-08-01T00:00:00"/>
    <s v="ORD-000950"/>
    <x v="1"/>
    <x v="5"/>
    <n v="4644.46"/>
    <s v="South"/>
    <n v="5920.4"/>
    <n v="1275.94"/>
    <n v="10"/>
    <n v="1"/>
    <s v="August"/>
    <n v="2023"/>
    <x v="1"/>
    <x v="1"/>
  </r>
  <r>
    <d v="2024-01-31T00:00:00"/>
    <s v="ORD-000951"/>
    <x v="1"/>
    <x v="5"/>
    <n v="5216.88"/>
    <s v="South"/>
    <n v="5897.06"/>
    <n v="680.18"/>
    <n v="10"/>
    <n v="2"/>
    <s v="January"/>
    <n v="2024"/>
    <x v="1"/>
    <x v="1"/>
  </r>
  <r>
    <d v="2023-05-18T00:00:00"/>
    <s v="ORD-000952"/>
    <x v="0"/>
    <x v="0"/>
    <n v="9006.4599999999991"/>
    <s v="Central"/>
    <n v="13528.82"/>
    <n v="4522.3599999999997"/>
    <n v="5"/>
    <n v="5"/>
    <s v="May"/>
    <n v="2023"/>
    <x v="1"/>
    <x v="1"/>
  </r>
  <r>
    <d v="2025-07-16T00:00:00"/>
    <s v="ORD-000953"/>
    <x v="0"/>
    <x v="41"/>
    <n v="346.99"/>
    <s v="West"/>
    <n v="711.68"/>
    <n v="364.69"/>
    <n v="20"/>
    <n v="2"/>
    <s v="July"/>
    <n v="2025"/>
    <x v="0"/>
    <x v="0"/>
  </r>
  <r>
    <d v="2023-08-07T00:00:00"/>
    <s v="ORD-000954"/>
    <x v="0"/>
    <x v="6"/>
    <n v="2833.94"/>
    <s v="West"/>
    <n v="4459.33"/>
    <n v="1625.39"/>
    <n v="15"/>
    <n v="10"/>
    <s v="August"/>
    <n v="2023"/>
    <x v="0"/>
    <x v="0"/>
  </r>
  <r>
    <d v="2025-02-20T00:00:00"/>
    <s v="ORD-000955"/>
    <x v="2"/>
    <x v="2"/>
    <n v="512.76"/>
    <s v="West"/>
    <n v="1185.6199999999999"/>
    <n v="672.86"/>
    <n v="0"/>
    <n v="2"/>
    <s v="February"/>
    <n v="2025"/>
    <x v="2"/>
    <x v="1"/>
  </r>
  <r>
    <d v="2024-01-27T00:00:00"/>
    <s v="ORD-000956"/>
    <x v="2"/>
    <x v="10"/>
    <n v="56.14"/>
    <s v="South"/>
    <n v="116.17"/>
    <n v="60.03"/>
    <n v="10"/>
    <n v="1"/>
    <s v="January"/>
    <n v="2024"/>
    <x v="1"/>
    <x v="1"/>
  </r>
  <r>
    <d v="2025-02-11T00:00:00"/>
    <s v="ORD-000957"/>
    <x v="5"/>
    <x v="14"/>
    <n v="592.07000000000005"/>
    <s v="North"/>
    <n v="972.29"/>
    <n v="380.22"/>
    <n v="10"/>
    <n v="2"/>
    <s v="February"/>
    <n v="2025"/>
    <x v="1"/>
    <x v="1"/>
  </r>
  <r>
    <d v="2025-03-02T00:00:00"/>
    <s v="ORD-000958"/>
    <x v="0"/>
    <x v="0"/>
    <n v="3197.11"/>
    <s v="North"/>
    <n v="5199.9399999999996"/>
    <n v="2002.83"/>
    <n v="5"/>
    <n v="2"/>
    <s v="March"/>
    <n v="2025"/>
    <x v="1"/>
    <x v="1"/>
  </r>
  <r>
    <d v="2024-10-07T00:00:00"/>
    <s v="ORD-000959"/>
    <x v="1"/>
    <x v="9"/>
    <n v="2993.43"/>
    <s v="East"/>
    <n v="3259.35"/>
    <n v="265.92"/>
    <n v="15"/>
    <n v="2"/>
    <s v="October"/>
    <n v="2024"/>
    <x v="0"/>
    <x v="0"/>
  </r>
  <r>
    <d v="2025-10-22T00:00:00"/>
    <s v="ORD-000960"/>
    <x v="2"/>
    <x v="13"/>
    <n v="5451.21"/>
    <s v="South"/>
    <n v="7774.89"/>
    <n v="2323.6799999999998"/>
    <n v="10"/>
    <n v="8"/>
    <s v="October"/>
    <n v="2025"/>
    <x v="1"/>
    <x v="1"/>
  </r>
  <r>
    <d v="2025-02-17T00:00:00"/>
    <s v="ORD-000961"/>
    <x v="3"/>
    <x v="37"/>
    <n v="41590.559999999998"/>
    <s v="East"/>
    <n v="44941.67"/>
    <n v="3351.11"/>
    <n v="15"/>
    <n v="6"/>
    <s v="February"/>
    <n v="2025"/>
    <x v="0"/>
    <x v="0"/>
  </r>
  <r>
    <d v="2024-09-06T00:00:00"/>
    <s v="ORD-000962"/>
    <x v="0"/>
    <x v="0"/>
    <n v="164.94"/>
    <s v="South"/>
    <n v="397.71"/>
    <n v="232.77"/>
    <n v="5"/>
    <n v="1"/>
    <s v="September"/>
    <n v="2024"/>
    <x v="1"/>
    <x v="1"/>
  </r>
  <r>
    <d v="2025-02-06T00:00:00"/>
    <s v="ORD-000963"/>
    <x v="5"/>
    <x v="20"/>
    <n v="1874.69"/>
    <s v="North"/>
    <n v="3415.25"/>
    <n v="1540.56"/>
    <n v="15"/>
    <n v="1"/>
    <s v="February"/>
    <n v="2025"/>
    <x v="0"/>
    <x v="0"/>
  </r>
  <r>
    <d v="2025-12-12T00:00:00"/>
    <s v="ORD-000964"/>
    <x v="0"/>
    <x v="4"/>
    <n v="5475.14"/>
    <s v="East"/>
    <n v="8851.7800000000007"/>
    <n v="3376.64"/>
    <n v="10"/>
    <n v="3"/>
    <s v="December"/>
    <n v="2025"/>
    <x v="1"/>
    <x v="1"/>
  </r>
  <r>
    <d v="2025-05-11T00:00:00"/>
    <s v="ORD-000965"/>
    <x v="5"/>
    <x v="14"/>
    <n v="2198.84"/>
    <s v="Central"/>
    <n v="3964.25"/>
    <n v="1765.41"/>
    <n v="20"/>
    <n v="1"/>
    <s v="May"/>
    <n v="2025"/>
    <x v="0"/>
    <x v="0"/>
  </r>
  <r>
    <d v="2024-09-01T00:00:00"/>
    <s v="ORD-000966"/>
    <x v="5"/>
    <x v="14"/>
    <n v="3039.21"/>
    <s v="West"/>
    <n v="6907.72"/>
    <n v="3868.51"/>
    <n v="5"/>
    <n v="3"/>
    <s v="September"/>
    <n v="2024"/>
    <x v="1"/>
    <x v="1"/>
  </r>
  <r>
    <d v="2023-02-05T00:00:00"/>
    <s v="ORD-000967"/>
    <x v="3"/>
    <x v="15"/>
    <n v="1826.45"/>
    <s v="East"/>
    <n v="2613.37"/>
    <n v="786.92"/>
    <n v="0"/>
    <n v="1"/>
    <s v="February"/>
    <n v="2023"/>
    <x v="2"/>
    <x v="1"/>
  </r>
  <r>
    <d v="2023-12-01T00:00:00"/>
    <s v="ORD-000968"/>
    <x v="0"/>
    <x v="0"/>
    <n v="1070.01"/>
    <s v="East"/>
    <n v="1787.64"/>
    <n v="717.63"/>
    <n v="5"/>
    <n v="1"/>
    <s v="December"/>
    <n v="2023"/>
    <x v="1"/>
    <x v="1"/>
  </r>
  <r>
    <d v="2023-02-19T00:00:00"/>
    <s v="ORD-000969"/>
    <x v="5"/>
    <x v="14"/>
    <n v="1971.3"/>
    <s v="East"/>
    <n v="4217.34"/>
    <n v="2246.04"/>
    <n v="5"/>
    <n v="1"/>
    <s v="February"/>
    <n v="2023"/>
    <x v="1"/>
    <x v="1"/>
  </r>
  <r>
    <d v="2024-06-30T00:00:00"/>
    <s v="ORD-000970"/>
    <x v="1"/>
    <x v="5"/>
    <n v="4286.28"/>
    <s v="Central"/>
    <n v="4482.21"/>
    <n v="195.93"/>
    <n v="20"/>
    <n v="4"/>
    <s v="June"/>
    <n v="2024"/>
    <x v="0"/>
    <x v="0"/>
  </r>
  <r>
    <d v="2025-03-10T00:00:00"/>
    <s v="ORD-000971"/>
    <x v="3"/>
    <x v="34"/>
    <n v="1473.83"/>
    <s v="South"/>
    <n v="2046.57"/>
    <n v="572.74"/>
    <n v="0"/>
    <n v="1"/>
    <s v="March"/>
    <n v="2025"/>
    <x v="2"/>
    <x v="1"/>
  </r>
  <r>
    <d v="2023-06-18T00:00:00"/>
    <s v="ORD-000972"/>
    <x v="5"/>
    <x v="33"/>
    <n v="571.26"/>
    <s v="West"/>
    <n v="974.03"/>
    <n v="402.77"/>
    <n v="0"/>
    <n v="1"/>
    <s v="June"/>
    <n v="2023"/>
    <x v="2"/>
    <x v="1"/>
  </r>
  <r>
    <d v="2025-02-12T00:00:00"/>
    <s v="ORD-000973"/>
    <x v="5"/>
    <x v="16"/>
    <n v="5629.4"/>
    <s v="Central"/>
    <n v="12063.9"/>
    <n v="6434.5"/>
    <n v="0"/>
    <n v="6"/>
    <s v="February"/>
    <n v="2025"/>
    <x v="2"/>
    <x v="1"/>
  </r>
  <r>
    <d v="2023-05-08T00:00:00"/>
    <s v="ORD-000974"/>
    <x v="5"/>
    <x v="33"/>
    <n v="459.67"/>
    <s v="North"/>
    <n v="677.51"/>
    <n v="217.84"/>
    <n v="5"/>
    <n v="1"/>
    <s v="May"/>
    <n v="2023"/>
    <x v="1"/>
    <x v="1"/>
  </r>
  <r>
    <d v="2024-11-02T00:00:00"/>
    <s v="ORD-000975"/>
    <x v="3"/>
    <x v="3"/>
    <n v="822.59"/>
    <s v="North"/>
    <n v="1130.03"/>
    <n v="307.44"/>
    <n v="5"/>
    <n v="1"/>
    <s v="November"/>
    <n v="2024"/>
    <x v="1"/>
    <x v="1"/>
  </r>
  <r>
    <d v="2025-01-14T00:00:00"/>
    <s v="ORD-000976"/>
    <x v="3"/>
    <x v="28"/>
    <n v="7766.06"/>
    <s v="North"/>
    <n v="10451.89"/>
    <n v="2685.83"/>
    <n v="0"/>
    <n v="2"/>
    <s v="January"/>
    <n v="2025"/>
    <x v="2"/>
    <x v="1"/>
  </r>
  <r>
    <d v="2024-08-12T00:00:00"/>
    <s v="ORD-000977"/>
    <x v="2"/>
    <x v="13"/>
    <n v="3214.48"/>
    <s v="South"/>
    <n v="5063.55"/>
    <n v="1849.07"/>
    <n v="10"/>
    <n v="8"/>
    <s v="August"/>
    <n v="2024"/>
    <x v="1"/>
    <x v="1"/>
  </r>
  <r>
    <d v="2023-12-05T00:00:00"/>
    <s v="ORD-000978"/>
    <x v="2"/>
    <x v="31"/>
    <n v="1248.68"/>
    <s v="Central"/>
    <n v="1752.27"/>
    <n v="503.59"/>
    <n v="10"/>
    <n v="2"/>
    <s v="December"/>
    <n v="2023"/>
    <x v="1"/>
    <x v="1"/>
  </r>
  <r>
    <d v="2023-08-17T00:00:00"/>
    <s v="ORD-000979"/>
    <x v="1"/>
    <x v="9"/>
    <n v="14188.51"/>
    <s v="Central"/>
    <n v="15539.9"/>
    <n v="1351.39"/>
    <n v="15"/>
    <n v="4"/>
    <s v="August"/>
    <n v="2023"/>
    <x v="0"/>
    <x v="0"/>
  </r>
  <r>
    <d v="2023-10-28T00:00:00"/>
    <s v="ORD-000980"/>
    <x v="4"/>
    <x v="42"/>
    <n v="10549.04"/>
    <s v="Central"/>
    <n v="13622.64"/>
    <n v="3073.6"/>
    <n v="20"/>
    <n v="3"/>
    <s v="October"/>
    <n v="2023"/>
    <x v="0"/>
    <x v="0"/>
  </r>
  <r>
    <d v="2025-02-14T00:00:00"/>
    <s v="ORD-000981"/>
    <x v="4"/>
    <x v="30"/>
    <n v="2320.75"/>
    <s v="North"/>
    <n v="2820.86"/>
    <n v="500.11"/>
    <n v="5"/>
    <n v="1"/>
    <s v="February"/>
    <n v="2025"/>
    <x v="1"/>
    <x v="1"/>
  </r>
  <r>
    <d v="2024-04-02T00:00:00"/>
    <s v="ORD-000982"/>
    <x v="2"/>
    <x v="31"/>
    <n v="398.9"/>
    <s v="East"/>
    <n v="760.55"/>
    <n v="361.65"/>
    <n v="0"/>
    <n v="5"/>
    <s v="April"/>
    <n v="2024"/>
    <x v="2"/>
    <x v="1"/>
  </r>
  <r>
    <d v="2025-11-06T00:00:00"/>
    <s v="ORD-000983"/>
    <x v="5"/>
    <x v="14"/>
    <n v="2060.9499999999998"/>
    <s v="North"/>
    <n v="3760.58"/>
    <n v="1699.63"/>
    <n v="20"/>
    <n v="1"/>
    <s v="November"/>
    <n v="2025"/>
    <x v="0"/>
    <x v="0"/>
  </r>
  <r>
    <d v="2024-01-24T00:00:00"/>
    <s v="ORD-000984"/>
    <x v="4"/>
    <x v="30"/>
    <n v="30466.68"/>
    <s v="East"/>
    <n v="31599"/>
    <n v="1132.32"/>
    <n v="20"/>
    <n v="6"/>
    <s v="January"/>
    <n v="2024"/>
    <x v="0"/>
    <x v="0"/>
  </r>
  <r>
    <d v="2023-07-19T00:00:00"/>
    <s v="ORD-000985"/>
    <x v="5"/>
    <x v="27"/>
    <n v="3983.59"/>
    <s v="South"/>
    <n v="8697.92"/>
    <n v="4714.33"/>
    <n v="0"/>
    <n v="4"/>
    <s v="July"/>
    <n v="2023"/>
    <x v="2"/>
    <x v="1"/>
  </r>
  <r>
    <d v="2025-08-26T00:00:00"/>
    <s v="ORD-000986"/>
    <x v="0"/>
    <x v="6"/>
    <n v="2696.1"/>
    <s v="East"/>
    <n v="4560.88"/>
    <n v="1864.78"/>
    <n v="5"/>
    <n v="2"/>
    <s v="August"/>
    <n v="2025"/>
    <x v="1"/>
    <x v="1"/>
  </r>
  <r>
    <d v="2025-10-14T00:00:00"/>
    <s v="ORD-000987"/>
    <x v="5"/>
    <x v="14"/>
    <n v="6520"/>
    <s v="East"/>
    <n v="7909.88"/>
    <n v="1389.88"/>
    <n v="20"/>
    <n v="2"/>
    <s v="October"/>
    <n v="2025"/>
    <x v="0"/>
    <x v="0"/>
  </r>
  <r>
    <d v="2023-07-25T00:00:00"/>
    <s v="ORD-000988"/>
    <x v="4"/>
    <x v="30"/>
    <n v="21983.91"/>
    <s v="West"/>
    <n v="23076.13"/>
    <n v="1092.22"/>
    <n v="30"/>
    <n v="4"/>
    <s v="July"/>
    <n v="2023"/>
    <x v="0"/>
    <x v="2"/>
  </r>
  <r>
    <d v="2023-07-08T00:00:00"/>
    <s v="ORD-000989"/>
    <x v="3"/>
    <x v="32"/>
    <n v="7393.89"/>
    <s v="West"/>
    <n v="9652.15"/>
    <n v="2258.2600000000002"/>
    <n v="5"/>
    <n v="6"/>
    <s v="July"/>
    <n v="2023"/>
    <x v="1"/>
    <x v="1"/>
  </r>
  <r>
    <d v="2023-12-02T00:00:00"/>
    <s v="ORD-000990"/>
    <x v="5"/>
    <x v="33"/>
    <n v="1528.46"/>
    <s v="North"/>
    <n v="2184.91"/>
    <n v="656.45"/>
    <n v="15"/>
    <n v="5"/>
    <s v="December"/>
    <n v="2023"/>
    <x v="0"/>
    <x v="0"/>
  </r>
  <r>
    <d v="2023-03-29T00:00:00"/>
    <s v="ORD-000991"/>
    <x v="3"/>
    <x v="3"/>
    <n v="4777.75"/>
    <s v="South"/>
    <n v="6180.94"/>
    <n v="1403.19"/>
    <n v="5"/>
    <n v="1"/>
    <s v="March"/>
    <n v="2023"/>
    <x v="1"/>
    <x v="1"/>
  </r>
  <r>
    <d v="2024-03-17T00:00:00"/>
    <s v="ORD-000992"/>
    <x v="2"/>
    <x v="10"/>
    <n v="3994.55"/>
    <s v="Central"/>
    <n v="8476.6299999999992"/>
    <n v="4482.08"/>
    <n v="0"/>
    <n v="5"/>
    <s v="March"/>
    <n v="2024"/>
    <x v="2"/>
    <x v="1"/>
  </r>
  <r>
    <d v="2023-11-20T00:00:00"/>
    <s v="ORD-000993"/>
    <x v="5"/>
    <x v="20"/>
    <n v="2500.52"/>
    <s v="North"/>
    <n v="3705.86"/>
    <n v="1205.3399999999999"/>
    <n v="5"/>
    <n v="2"/>
    <s v="November"/>
    <n v="2023"/>
    <x v="1"/>
    <x v="1"/>
  </r>
  <r>
    <d v="2024-08-29T00:00:00"/>
    <s v="ORD-000994"/>
    <x v="5"/>
    <x v="14"/>
    <n v="4260.6499999999996"/>
    <s v="South"/>
    <n v="6608.28"/>
    <n v="2347.63"/>
    <n v="20"/>
    <n v="4"/>
    <s v="August"/>
    <n v="2024"/>
    <x v="0"/>
    <x v="0"/>
  </r>
  <r>
    <d v="2025-09-19T00:00:00"/>
    <s v="ORD-000995"/>
    <x v="1"/>
    <x v="29"/>
    <n v="8462.84"/>
    <s v="South"/>
    <n v="13539.86"/>
    <n v="5077.0200000000004"/>
    <n v="0"/>
    <n v="3"/>
    <s v="September"/>
    <n v="2025"/>
    <x v="2"/>
    <x v="1"/>
  </r>
  <r>
    <d v="2024-06-01T00:00:00"/>
    <s v="ORD-000996"/>
    <x v="3"/>
    <x v="32"/>
    <n v="3575.21"/>
    <s v="Central"/>
    <n v="4180.47"/>
    <n v="605.26"/>
    <n v="5"/>
    <n v="2"/>
    <s v="June"/>
    <n v="2024"/>
    <x v="1"/>
    <x v="1"/>
  </r>
  <r>
    <d v="2024-09-15T00:00:00"/>
    <s v="ORD-000997"/>
    <x v="4"/>
    <x v="30"/>
    <n v="2690.55"/>
    <s v="North"/>
    <n v="3830.11"/>
    <n v="1139.56"/>
    <n v="10"/>
    <n v="2"/>
    <s v="September"/>
    <n v="2024"/>
    <x v="1"/>
    <x v="1"/>
  </r>
  <r>
    <d v="2025-10-29T00:00:00"/>
    <s v="ORD-000998"/>
    <x v="3"/>
    <x v="37"/>
    <n v="11782.72"/>
    <s v="Central"/>
    <n v="17629.849999999999"/>
    <n v="5847.13"/>
    <n v="0"/>
    <n v="2"/>
    <s v="October"/>
    <n v="2025"/>
    <x v="2"/>
    <x v="1"/>
  </r>
  <r>
    <d v="2025-10-18T00:00:00"/>
    <s v="ORD-000999"/>
    <x v="2"/>
    <x v="13"/>
    <n v="1000.95"/>
    <s v="East"/>
    <n v="1294.3800000000001"/>
    <n v="293.43"/>
    <n v="15"/>
    <n v="2"/>
    <s v="October"/>
    <n v="2025"/>
    <x v="0"/>
    <x v="0"/>
  </r>
  <r>
    <d v="2024-07-17T00:00:00"/>
    <s v="ORD-001000"/>
    <x v="4"/>
    <x v="30"/>
    <n v="2665.19"/>
    <s v="West"/>
    <n v="4123.84"/>
    <n v="1458.65"/>
    <n v="5"/>
    <n v="1"/>
    <s v="July"/>
    <n v="2024"/>
    <x v="1"/>
    <x v="1"/>
  </r>
  <r>
    <d v="2023-10-07T00:00:00"/>
    <s v="ORD-001001"/>
    <x v="3"/>
    <x v="3"/>
    <n v="11867.25"/>
    <s v="South"/>
    <n v="12737.51"/>
    <n v="870.26"/>
    <n v="20"/>
    <n v="3"/>
    <s v="October"/>
    <n v="2023"/>
    <x v="0"/>
    <x v="0"/>
  </r>
  <r>
    <d v="2024-03-10T00:00:00"/>
    <s v="ORD-001002"/>
    <x v="2"/>
    <x v="25"/>
    <n v="188.68"/>
    <s v="North"/>
    <n v="246.62"/>
    <n v="57.94"/>
    <n v="25"/>
    <n v="1"/>
    <s v="March"/>
    <n v="2024"/>
    <x v="0"/>
    <x v="2"/>
  </r>
  <r>
    <d v="2025-01-04T00:00:00"/>
    <s v="ORD-001003"/>
    <x v="5"/>
    <x v="18"/>
    <n v="1227.72"/>
    <s v="South"/>
    <n v="2726.33"/>
    <n v="1498.61"/>
    <n v="5"/>
    <n v="2"/>
    <s v="January"/>
    <n v="2025"/>
    <x v="1"/>
    <x v="1"/>
  </r>
  <r>
    <d v="2024-03-28T00:00:00"/>
    <s v="ORD-001004"/>
    <x v="4"/>
    <x v="26"/>
    <n v="3188.74"/>
    <s v="South"/>
    <n v="4486.97"/>
    <n v="1298.23"/>
    <n v="5"/>
    <n v="1"/>
    <s v="March"/>
    <n v="2024"/>
    <x v="1"/>
    <x v="1"/>
  </r>
  <r>
    <d v="2024-03-12T00:00:00"/>
    <s v="ORD-001005"/>
    <x v="4"/>
    <x v="7"/>
    <n v="25488.06"/>
    <s v="South"/>
    <n v="31294.78"/>
    <n v="5806.72"/>
    <n v="20"/>
    <n v="6"/>
    <s v="March"/>
    <n v="2024"/>
    <x v="0"/>
    <x v="0"/>
  </r>
  <r>
    <d v="2024-09-07T00:00:00"/>
    <s v="ORD-001006"/>
    <x v="0"/>
    <x v="0"/>
    <n v="1900.23"/>
    <s v="East"/>
    <n v="3604.87"/>
    <n v="1704.64"/>
    <n v="5"/>
    <n v="3"/>
    <s v="September"/>
    <n v="2024"/>
    <x v="1"/>
    <x v="1"/>
  </r>
  <r>
    <d v="2023-12-01T00:00:00"/>
    <s v="ORD-001007"/>
    <x v="5"/>
    <x v="27"/>
    <n v="845.42"/>
    <s v="North"/>
    <n v="1376.38"/>
    <n v="530.96"/>
    <n v="5"/>
    <n v="2"/>
    <s v="December"/>
    <n v="2023"/>
    <x v="1"/>
    <x v="1"/>
  </r>
  <r>
    <d v="2023-08-24T00:00:00"/>
    <s v="ORD-001008"/>
    <x v="2"/>
    <x v="13"/>
    <n v="1777.58"/>
    <s v="East"/>
    <n v="2268.4"/>
    <n v="490.82"/>
    <n v="25"/>
    <n v="2"/>
    <s v="August"/>
    <n v="2023"/>
    <x v="0"/>
    <x v="2"/>
  </r>
  <r>
    <d v="2023-09-27T00:00:00"/>
    <s v="ORD-001009"/>
    <x v="3"/>
    <x v="12"/>
    <n v="1796.98"/>
    <s v="West"/>
    <n v="1946.7"/>
    <n v="149.72"/>
    <n v="20"/>
    <n v="2"/>
    <s v="September"/>
    <n v="2023"/>
    <x v="0"/>
    <x v="0"/>
  </r>
  <r>
    <d v="2025-07-30T00:00:00"/>
    <s v="ORD-001010"/>
    <x v="5"/>
    <x v="14"/>
    <n v="4531.3"/>
    <s v="North"/>
    <n v="9209"/>
    <n v="4677.7"/>
    <n v="10"/>
    <n v="3"/>
    <s v="July"/>
    <n v="2025"/>
    <x v="1"/>
    <x v="1"/>
  </r>
  <r>
    <d v="2023-12-19T00:00:00"/>
    <s v="ORD-001011"/>
    <x v="0"/>
    <x v="0"/>
    <n v="617.26"/>
    <s v="Central"/>
    <n v="913.62"/>
    <n v="296.36"/>
    <n v="10"/>
    <n v="2"/>
    <s v="December"/>
    <n v="2023"/>
    <x v="1"/>
    <x v="1"/>
  </r>
  <r>
    <d v="2024-10-07T00:00:00"/>
    <s v="ORD-001012"/>
    <x v="0"/>
    <x v="4"/>
    <n v="918.92"/>
    <s v="East"/>
    <n v="2029.68"/>
    <n v="1110.76"/>
    <n v="15"/>
    <n v="6"/>
    <s v="October"/>
    <n v="2024"/>
    <x v="0"/>
    <x v="0"/>
  </r>
  <r>
    <d v="2025-12-26T00:00:00"/>
    <s v="ORD-001013"/>
    <x v="0"/>
    <x v="41"/>
    <n v="2827.22"/>
    <s v="South"/>
    <n v="4082.06"/>
    <n v="1254.8399999999999"/>
    <n v="10"/>
    <n v="2"/>
    <s v="December"/>
    <n v="2025"/>
    <x v="1"/>
    <x v="1"/>
  </r>
  <r>
    <d v="2023-09-15T00:00:00"/>
    <s v="ORD-001014"/>
    <x v="1"/>
    <x v="1"/>
    <n v="3623.94"/>
    <s v="North"/>
    <n v="3772.8"/>
    <n v="148.86000000000001"/>
    <n v="20"/>
    <n v="1"/>
    <s v="September"/>
    <n v="2023"/>
    <x v="0"/>
    <x v="0"/>
  </r>
  <r>
    <d v="2024-10-26T00:00:00"/>
    <s v="ORD-001015"/>
    <x v="5"/>
    <x v="20"/>
    <n v="2380.9699999999998"/>
    <s v="West"/>
    <n v="3174.74"/>
    <n v="793.77"/>
    <n v="20"/>
    <n v="2"/>
    <s v="October"/>
    <n v="2024"/>
    <x v="0"/>
    <x v="0"/>
  </r>
  <r>
    <d v="2023-05-25T00:00:00"/>
    <s v="ORD-001016"/>
    <x v="5"/>
    <x v="18"/>
    <n v="448.67"/>
    <s v="Central"/>
    <n v="882.38"/>
    <n v="433.71"/>
    <n v="5"/>
    <n v="1"/>
    <s v="May"/>
    <n v="2023"/>
    <x v="1"/>
    <x v="1"/>
  </r>
  <r>
    <d v="2023-04-05T00:00:00"/>
    <s v="ORD-001017"/>
    <x v="2"/>
    <x v="38"/>
    <n v="265.23"/>
    <s v="East"/>
    <n v="353.81"/>
    <n v="88.58"/>
    <n v="10"/>
    <n v="1"/>
    <s v="April"/>
    <n v="2023"/>
    <x v="1"/>
    <x v="1"/>
  </r>
  <r>
    <d v="2024-06-14T00:00:00"/>
    <s v="ORD-001018"/>
    <x v="5"/>
    <x v="14"/>
    <n v="1326.32"/>
    <s v="North"/>
    <n v="1835.22"/>
    <n v="508.9"/>
    <n v="10"/>
    <n v="1"/>
    <s v="June"/>
    <n v="2024"/>
    <x v="1"/>
    <x v="1"/>
  </r>
  <r>
    <d v="2023-03-30T00:00:00"/>
    <s v="ORD-001019"/>
    <x v="1"/>
    <x v="23"/>
    <n v="3353.86"/>
    <s v="South"/>
    <n v="3643.48"/>
    <n v="289.62"/>
    <n v="20"/>
    <n v="2"/>
    <s v="March"/>
    <n v="2023"/>
    <x v="0"/>
    <x v="0"/>
  </r>
  <r>
    <d v="2023-02-25T00:00:00"/>
    <s v="ORD-001020"/>
    <x v="1"/>
    <x v="19"/>
    <n v="1132.45"/>
    <s v="West"/>
    <n v="1446"/>
    <n v="313.55"/>
    <n v="10"/>
    <n v="1"/>
    <s v="February"/>
    <n v="2023"/>
    <x v="1"/>
    <x v="1"/>
  </r>
  <r>
    <d v="2025-04-13T00:00:00"/>
    <s v="ORD-001021"/>
    <x v="1"/>
    <x v="23"/>
    <n v="4949.01"/>
    <s v="North"/>
    <n v="5384.02"/>
    <n v="435.01"/>
    <n v="20"/>
    <n v="2"/>
    <s v="April"/>
    <n v="2025"/>
    <x v="0"/>
    <x v="0"/>
  </r>
  <r>
    <d v="2025-10-21T00:00:00"/>
    <s v="ORD-001022"/>
    <x v="0"/>
    <x v="6"/>
    <n v="381.98"/>
    <s v="West"/>
    <n v="430.6"/>
    <n v="48.62"/>
    <n v="30"/>
    <n v="1"/>
    <s v="October"/>
    <n v="2025"/>
    <x v="0"/>
    <x v="2"/>
  </r>
  <r>
    <d v="2024-09-19T00:00:00"/>
    <s v="ORD-001023"/>
    <x v="3"/>
    <x v="15"/>
    <n v="62039.38"/>
    <s v="West"/>
    <n v="75379.100000000006"/>
    <n v="13339.72"/>
    <n v="15"/>
    <n v="10"/>
    <s v="September"/>
    <n v="2024"/>
    <x v="0"/>
    <x v="0"/>
  </r>
  <r>
    <d v="2025-10-24T00:00:00"/>
    <s v="ORD-001024"/>
    <x v="0"/>
    <x v="8"/>
    <n v="1338.63"/>
    <s v="South"/>
    <n v="1760.94"/>
    <n v="422.31"/>
    <n v="15"/>
    <n v="8"/>
    <s v="October"/>
    <n v="2025"/>
    <x v="0"/>
    <x v="0"/>
  </r>
  <r>
    <d v="2023-09-16T00:00:00"/>
    <s v="ORD-001025"/>
    <x v="4"/>
    <x v="26"/>
    <n v="18804.849999999999"/>
    <s v="Central"/>
    <n v="24104.5"/>
    <n v="5299.65"/>
    <n v="10"/>
    <n v="1"/>
    <s v="September"/>
    <n v="2023"/>
    <x v="1"/>
    <x v="1"/>
  </r>
  <r>
    <d v="2023-02-10T00:00:00"/>
    <s v="ORD-001026"/>
    <x v="4"/>
    <x v="26"/>
    <n v="11504.1"/>
    <s v="West"/>
    <n v="13832.48"/>
    <n v="2328.38"/>
    <n v="15"/>
    <n v="2"/>
    <s v="February"/>
    <n v="2023"/>
    <x v="0"/>
    <x v="0"/>
  </r>
  <r>
    <d v="2023-09-15T00:00:00"/>
    <s v="ORD-001027"/>
    <x v="1"/>
    <x v="5"/>
    <n v="12836.92"/>
    <s v="South"/>
    <n v="18631.919999999998"/>
    <n v="5795"/>
    <n v="10"/>
    <n v="2"/>
    <s v="September"/>
    <n v="2023"/>
    <x v="1"/>
    <x v="1"/>
  </r>
  <r>
    <d v="2024-10-30T00:00:00"/>
    <s v="ORD-001028"/>
    <x v="2"/>
    <x v="38"/>
    <n v="578.35"/>
    <s v="North"/>
    <n v="1051.67"/>
    <n v="473.32"/>
    <n v="0"/>
    <n v="1"/>
    <s v="October"/>
    <n v="2024"/>
    <x v="2"/>
    <x v="1"/>
  </r>
  <r>
    <d v="2023-03-31T00:00:00"/>
    <s v="ORD-001029"/>
    <x v="1"/>
    <x v="1"/>
    <n v="11590.43"/>
    <s v="North"/>
    <n v="14596.35"/>
    <n v="3005.92"/>
    <n v="0"/>
    <n v="1"/>
    <s v="March"/>
    <n v="2023"/>
    <x v="2"/>
    <x v="1"/>
  </r>
  <r>
    <d v="2023-08-23T00:00:00"/>
    <s v="ORD-001030"/>
    <x v="0"/>
    <x v="21"/>
    <n v="522.57000000000005"/>
    <s v="Central"/>
    <n v="980.25"/>
    <n v="457.68"/>
    <n v="15"/>
    <n v="2"/>
    <s v="August"/>
    <n v="2023"/>
    <x v="0"/>
    <x v="0"/>
  </r>
  <r>
    <d v="2023-06-22T00:00:00"/>
    <s v="ORD-001031"/>
    <x v="3"/>
    <x v="28"/>
    <n v="3957.64"/>
    <s v="West"/>
    <n v="4345.7299999999996"/>
    <n v="388.09"/>
    <n v="10"/>
    <n v="1"/>
    <s v="June"/>
    <n v="2023"/>
    <x v="1"/>
    <x v="1"/>
  </r>
  <r>
    <d v="2024-11-19T00:00:00"/>
    <s v="ORD-001032"/>
    <x v="2"/>
    <x v="2"/>
    <n v="105.51"/>
    <s v="West"/>
    <n v="184.77"/>
    <n v="79.260000000000005"/>
    <n v="5"/>
    <n v="1"/>
    <s v="November"/>
    <n v="2024"/>
    <x v="1"/>
    <x v="1"/>
  </r>
  <r>
    <d v="2023-01-21T00:00:00"/>
    <s v="ORD-001033"/>
    <x v="1"/>
    <x v="9"/>
    <n v="7953.3"/>
    <s v="East"/>
    <n v="10567.7"/>
    <n v="2614.4"/>
    <n v="5"/>
    <n v="3"/>
    <s v="January"/>
    <n v="2023"/>
    <x v="1"/>
    <x v="1"/>
  </r>
  <r>
    <d v="2024-08-20T00:00:00"/>
    <s v="ORD-001034"/>
    <x v="5"/>
    <x v="36"/>
    <n v="2975.2"/>
    <s v="North"/>
    <n v="4276.32"/>
    <n v="1301.1199999999999"/>
    <n v="5"/>
    <n v="1"/>
    <s v="August"/>
    <n v="2024"/>
    <x v="1"/>
    <x v="1"/>
  </r>
  <r>
    <d v="2023-11-03T00:00:00"/>
    <s v="ORD-001035"/>
    <x v="1"/>
    <x v="29"/>
    <n v="9724.1299999999992"/>
    <s v="North"/>
    <n v="11735.6"/>
    <n v="2011.47"/>
    <n v="5"/>
    <n v="1"/>
    <s v="November"/>
    <n v="2023"/>
    <x v="1"/>
    <x v="1"/>
  </r>
  <r>
    <d v="2024-10-02T00:00:00"/>
    <s v="ORD-001036"/>
    <x v="3"/>
    <x v="3"/>
    <n v="8578.15"/>
    <s v="West"/>
    <n v="9170.16"/>
    <n v="592.01"/>
    <n v="25"/>
    <n v="1"/>
    <s v="October"/>
    <n v="2024"/>
    <x v="0"/>
    <x v="2"/>
  </r>
  <r>
    <d v="2025-05-04T00:00:00"/>
    <s v="ORD-001037"/>
    <x v="0"/>
    <x v="21"/>
    <n v="1004.86"/>
    <s v="East"/>
    <n v="1949.97"/>
    <n v="945.11"/>
    <n v="15"/>
    <n v="6"/>
    <s v="May"/>
    <n v="2025"/>
    <x v="0"/>
    <x v="0"/>
  </r>
  <r>
    <d v="2023-08-06T00:00:00"/>
    <s v="ORD-001038"/>
    <x v="0"/>
    <x v="17"/>
    <n v="345.99"/>
    <s v="South"/>
    <n v="577.32000000000005"/>
    <n v="231.33"/>
    <n v="0"/>
    <n v="1"/>
    <s v="August"/>
    <n v="2023"/>
    <x v="2"/>
    <x v="1"/>
  </r>
  <r>
    <d v="2025-10-10T00:00:00"/>
    <s v="ORD-001039"/>
    <x v="4"/>
    <x v="30"/>
    <n v="25889.53"/>
    <s v="East"/>
    <n v="39693.980000000003"/>
    <n v="13804.45"/>
    <n v="10"/>
    <n v="2"/>
    <s v="October"/>
    <n v="2025"/>
    <x v="1"/>
    <x v="1"/>
  </r>
  <r>
    <d v="2023-03-13T00:00:00"/>
    <s v="ORD-001040"/>
    <x v="0"/>
    <x v="6"/>
    <n v="2332.4499999999998"/>
    <s v="North"/>
    <n v="3238.36"/>
    <n v="905.91"/>
    <n v="15"/>
    <n v="4"/>
    <s v="March"/>
    <n v="2023"/>
    <x v="0"/>
    <x v="0"/>
  </r>
  <r>
    <d v="2024-05-14T00:00:00"/>
    <s v="ORD-001041"/>
    <x v="5"/>
    <x v="14"/>
    <n v="5842.54"/>
    <s v="East"/>
    <n v="8660.31"/>
    <n v="2817.77"/>
    <n v="15"/>
    <n v="2"/>
    <s v="May"/>
    <n v="2024"/>
    <x v="0"/>
    <x v="0"/>
  </r>
  <r>
    <d v="2023-01-08T00:00:00"/>
    <s v="ORD-001042"/>
    <x v="0"/>
    <x v="4"/>
    <n v="4765.09"/>
    <s v="West"/>
    <n v="8053.71"/>
    <n v="3288.62"/>
    <n v="10"/>
    <n v="5"/>
    <s v="January"/>
    <n v="2023"/>
    <x v="1"/>
    <x v="1"/>
  </r>
  <r>
    <d v="2023-11-25T00:00:00"/>
    <s v="ORD-001043"/>
    <x v="4"/>
    <x v="11"/>
    <n v="4170.7299999999996"/>
    <s v="North"/>
    <n v="6244.24"/>
    <n v="2073.5100000000002"/>
    <n v="5"/>
    <n v="1"/>
    <s v="November"/>
    <n v="2023"/>
    <x v="1"/>
    <x v="1"/>
  </r>
  <r>
    <d v="2024-10-25T00:00:00"/>
    <s v="ORD-001044"/>
    <x v="0"/>
    <x v="8"/>
    <n v="5263.92"/>
    <s v="West"/>
    <n v="10980.86"/>
    <n v="5716.94"/>
    <n v="5"/>
    <n v="4"/>
    <s v="October"/>
    <n v="2024"/>
    <x v="1"/>
    <x v="1"/>
  </r>
  <r>
    <d v="2024-09-22T00:00:00"/>
    <s v="ORD-001045"/>
    <x v="1"/>
    <x v="23"/>
    <n v="14576.42"/>
    <s v="South"/>
    <n v="14662.52"/>
    <n v="86.1"/>
    <n v="25"/>
    <n v="4"/>
    <s v="September"/>
    <n v="2024"/>
    <x v="0"/>
    <x v="2"/>
  </r>
  <r>
    <d v="2024-09-17T00:00:00"/>
    <s v="ORD-001046"/>
    <x v="4"/>
    <x v="7"/>
    <n v="56299.31"/>
    <s v="North"/>
    <n v="70022.52"/>
    <n v="13723.21"/>
    <n v="10"/>
    <n v="3"/>
    <s v="September"/>
    <n v="2024"/>
    <x v="1"/>
    <x v="1"/>
  </r>
  <r>
    <d v="2024-09-20T00:00:00"/>
    <s v="ORD-001047"/>
    <x v="2"/>
    <x v="38"/>
    <n v="2447.19"/>
    <s v="West"/>
    <n v="4081.57"/>
    <n v="1634.38"/>
    <n v="0"/>
    <n v="3"/>
    <s v="September"/>
    <n v="2024"/>
    <x v="2"/>
    <x v="1"/>
  </r>
  <r>
    <d v="2024-06-12T00:00:00"/>
    <s v="ORD-001048"/>
    <x v="3"/>
    <x v="28"/>
    <n v="4820.33"/>
    <s v="West"/>
    <n v="5564.7"/>
    <n v="744.37"/>
    <n v="10"/>
    <n v="6"/>
    <s v="June"/>
    <n v="2024"/>
    <x v="1"/>
    <x v="1"/>
  </r>
  <r>
    <d v="2025-06-02T00:00:00"/>
    <s v="ORD-001049"/>
    <x v="4"/>
    <x v="39"/>
    <n v="7555.87"/>
    <s v="South"/>
    <n v="12329.9"/>
    <n v="4774.03"/>
    <n v="5"/>
    <n v="1"/>
    <s v="June"/>
    <n v="2025"/>
    <x v="1"/>
    <x v="1"/>
  </r>
  <r>
    <d v="2024-08-24T00:00:00"/>
    <s v="ORD-001050"/>
    <x v="0"/>
    <x v="8"/>
    <n v="8279.93"/>
    <s v="South"/>
    <n v="14611.19"/>
    <n v="6331.26"/>
    <n v="25"/>
    <n v="5"/>
    <s v="August"/>
    <n v="2024"/>
    <x v="0"/>
    <x v="2"/>
  </r>
  <r>
    <d v="2024-04-09T00:00:00"/>
    <s v="ORD-001051"/>
    <x v="4"/>
    <x v="40"/>
    <n v="7771.8"/>
    <s v="North"/>
    <n v="12478.68"/>
    <n v="4706.88"/>
    <n v="0"/>
    <n v="2"/>
    <s v="April"/>
    <n v="2024"/>
    <x v="2"/>
    <x v="1"/>
  </r>
  <r>
    <d v="2025-03-28T00:00:00"/>
    <s v="ORD-001052"/>
    <x v="5"/>
    <x v="20"/>
    <n v="1437.89"/>
    <s v="North"/>
    <n v="3091.7"/>
    <n v="1653.81"/>
    <n v="10"/>
    <n v="4"/>
    <s v="March"/>
    <n v="2025"/>
    <x v="1"/>
    <x v="1"/>
  </r>
  <r>
    <d v="2025-04-16T00:00:00"/>
    <s v="ORD-001053"/>
    <x v="3"/>
    <x v="22"/>
    <n v="10793.98"/>
    <s v="East"/>
    <n v="14162.2"/>
    <n v="3368.22"/>
    <n v="10"/>
    <n v="3"/>
    <s v="April"/>
    <n v="2025"/>
    <x v="1"/>
    <x v="1"/>
  </r>
  <r>
    <d v="2023-12-18T00:00:00"/>
    <s v="ORD-001054"/>
    <x v="1"/>
    <x v="5"/>
    <n v="15861.38"/>
    <s v="East"/>
    <n v="18291.43"/>
    <n v="2430.0500000000002"/>
    <n v="15"/>
    <n v="3"/>
    <s v="December"/>
    <n v="2023"/>
    <x v="0"/>
    <x v="0"/>
  </r>
  <r>
    <d v="2023-01-25T00:00:00"/>
    <s v="ORD-001055"/>
    <x v="5"/>
    <x v="20"/>
    <n v="608.69000000000005"/>
    <s v="Central"/>
    <n v="1447.74"/>
    <n v="839.05"/>
    <n v="0"/>
    <n v="1"/>
    <s v="January"/>
    <n v="2023"/>
    <x v="2"/>
    <x v="1"/>
  </r>
  <r>
    <d v="2024-08-22T00:00:00"/>
    <s v="ORD-001056"/>
    <x v="3"/>
    <x v="28"/>
    <n v="20041.689999999999"/>
    <s v="North"/>
    <n v="21602.25"/>
    <n v="1560.56"/>
    <n v="15"/>
    <n v="3"/>
    <s v="August"/>
    <n v="2024"/>
    <x v="0"/>
    <x v="0"/>
  </r>
  <r>
    <d v="2024-08-10T00:00:00"/>
    <s v="ORD-001057"/>
    <x v="2"/>
    <x v="13"/>
    <n v="1533.26"/>
    <s v="North"/>
    <n v="2406.66"/>
    <n v="873.4"/>
    <n v="0"/>
    <n v="3"/>
    <s v="August"/>
    <n v="2024"/>
    <x v="2"/>
    <x v="1"/>
  </r>
  <r>
    <d v="2023-12-30T00:00:00"/>
    <s v="ORD-001058"/>
    <x v="3"/>
    <x v="28"/>
    <n v="39302.75"/>
    <s v="Central"/>
    <n v="43368.09"/>
    <n v="4065.34"/>
    <n v="25"/>
    <n v="2"/>
    <s v="December"/>
    <n v="2023"/>
    <x v="0"/>
    <x v="2"/>
  </r>
  <r>
    <d v="2024-11-20T00:00:00"/>
    <s v="ORD-001059"/>
    <x v="1"/>
    <x v="29"/>
    <n v="1240.96"/>
    <s v="South"/>
    <n v="1489.26"/>
    <n v="248.3"/>
    <n v="5"/>
    <n v="1"/>
    <s v="November"/>
    <n v="2024"/>
    <x v="1"/>
    <x v="1"/>
  </r>
  <r>
    <d v="2023-11-05T00:00:00"/>
    <s v="ORD-001060"/>
    <x v="0"/>
    <x v="17"/>
    <n v="3203.24"/>
    <s v="Central"/>
    <n v="7052.91"/>
    <n v="3849.67"/>
    <n v="5"/>
    <n v="6"/>
    <s v="November"/>
    <n v="2023"/>
    <x v="1"/>
    <x v="1"/>
  </r>
  <r>
    <d v="2025-12-08T00:00:00"/>
    <s v="ORD-001061"/>
    <x v="5"/>
    <x v="18"/>
    <n v="415.02"/>
    <s v="Central"/>
    <n v="745.66"/>
    <n v="330.64"/>
    <n v="5"/>
    <n v="1"/>
    <s v="December"/>
    <n v="2025"/>
    <x v="1"/>
    <x v="1"/>
  </r>
  <r>
    <d v="2024-05-15T00:00:00"/>
    <s v="ORD-001062"/>
    <x v="0"/>
    <x v="4"/>
    <n v="2441.75"/>
    <s v="East"/>
    <n v="4084.46"/>
    <n v="1642.71"/>
    <n v="20"/>
    <n v="1"/>
    <s v="May"/>
    <n v="2024"/>
    <x v="0"/>
    <x v="0"/>
  </r>
  <r>
    <d v="2023-04-12T00:00:00"/>
    <s v="ORD-001063"/>
    <x v="0"/>
    <x v="4"/>
    <n v="1322.45"/>
    <s v="East"/>
    <n v="1804.82"/>
    <n v="482.37"/>
    <n v="20"/>
    <n v="5"/>
    <s v="April"/>
    <n v="2023"/>
    <x v="0"/>
    <x v="0"/>
  </r>
  <r>
    <d v="2023-10-15T00:00:00"/>
    <s v="ORD-001064"/>
    <x v="3"/>
    <x v="37"/>
    <n v="1388.45"/>
    <s v="East"/>
    <n v="1835.51"/>
    <n v="447.06"/>
    <n v="10"/>
    <n v="2"/>
    <s v="October"/>
    <n v="2023"/>
    <x v="1"/>
    <x v="1"/>
  </r>
  <r>
    <d v="2023-07-17T00:00:00"/>
    <s v="ORD-001065"/>
    <x v="5"/>
    <x v="14"/>
    <n v="1311.99"/>
    <s v="West"/>
    <n v="1929.76"/>
    <n v="617.77"/>
    <n v="0"/>
    <n v="3"/>
    <s v="July"/>
    <n v="2023"/>
    <x v="2"/>
    <x v="1"/>
  </r>
  <r>
    <d v="2024-07-16T00:00:00"/>
    <s v="ORD-001066"/>
    <x v="3"/>
    <x v="3"/>
    <n v="2417.9499999999998"/>
    <s v="East"/>
    <n v="2785.64"/>
    <n v="367.69"/>
    <n v="5"/>
    <n v="3"/>
    <s v="July"/>
    <n v="2024"/>
    <x v="1"/>
    <x v="1"/>
  </r>
  <r>
    <d v="2024-04-29T00:00:00"/>
    <s v="ORD-001067"/>
    <x v="1"/>
    <x v="23"/>
    <n v="1587.68"/>
    <s v="Central"/>
    <n v="2407.8200000000002"/>
    <n v="820.14"/>
    <n v="0"/>
    <n v="2"/>
    <s v="April"/>
    <n v="2024"/>
    <x v="2"/>
    <x v="1"/>
  </r>
  <r>
    <d v="2025-01-09T00:00:00"/>
    <s v="ORD-001068"/>
    <x v="1"/>
    <x v="19"/>
    <n v="15143.28"/>
    <s v="West"/>
    <n v="20081.73"/>
    <n v="4938.45"/>
    <n v="10"/>
    <n v="3"/>
    <s v="January"/>
    <n v="2025"/>
    <x v="1"/>
    <x v="1"/>
  </r>
  <r>
    <d v="2023-06-13T00:00:00"/>
    <s v="ORD-001069"/>
    <x v="3"/>
    <x v="22"/>
    <n v="4488.7"/>
    <s v="North"/>
    <n v="5253.67"/>
    <n v="764.97"/>
    <n v="10"/>
    <n v="1"/>
    <s v="June"/>
    <n v="2023"/>
    <x v="1"/>
    <x v="1"/>
  </r>
  <r>
    <d v="2024-10-27T00:00:00"/>
    <s v="ORD-001070"/>
    <x v="3"/>
    <x v="37"/>
    <n v="101026.65"/>
    <s v="South"/>
    <n v="126397.54"/>
    <n v="25370.89"/>
    <n v="10"/>
    <n v="5"/>
    <s v="October"/>
    <n v="2024"/>
    <x v="1"/>
    <x v="1"/>
  </r>
  <r>
    <d v="2025-06-22T00:00:00"/>
    <s v="ORD-001071"/>
    <x v="2"/>
    <x v="35"/>
    <n v="1408.97"/>
    <s v="East"/>
    <n v="2182.77"/>
    <n v="773.8"/>
    <n v="0"/>
    <n v="3"/>
    <s v="June"/>
    <n v="2025"/>
    <x v="2"/>
    <x v="1"/>
  </r>
  <r>
    <d v="2023-01-18T00:00:00"/>
    <s v="ORD-001072"/>
    <x v="3"/>
    <x v="15"/>
    <n v="2477.02"/>
    <s v="East"/>
    <n v="2793.29"/>
    <n v="316.27"/>
    <n v="15"/>
    <n v="2"/>
    <s v="January"/>
    <n v="2023"/>
    <x v="0"/>
    <x v="0"/>
  </r>
  <r>
    <d v="2025-03-10T00:00:00"/>
    <s v="ORD-001073"/>
    <x v="3"/>
    <x v="22"/>
    <n v="55714.77"/>
    <s v="South"/>
    <n v="59596.1"/>
    <n v="3881.33"/>
    <n v="25"/>
    <n v="8"/>
    <s v="March"/>
    <n v="2025"/>
    <x v="0"/>
    <x v="2"/>
  </r>
  <r>
    <d v="2024-05-14T00:00:00"/>
    <s v="ORD-001074"/>
    <x v="5"/>
    <x v="27"/>
    <n v="1621.4"/>
    <s v="South"/>
    <n v="1912.22"/>
    <n v="290.82"/>
    <n v="20"/>
    <n v="1"/>
    <s v="May"/>
    <n v="2024"/>
    <x v="0"/>
    <x v="0"/>
  </r>
  <r>
    <d v="2023-04-09T00:00:00"/>
    <s v="ORD-001075"/>
    <x v="2"/>
    <x v="38"/>
    <n v="796.08"/>
    <s v="North"/>
    <n v="1152.04"/>
    <n v="355.96"/>
    <n v="10"/>
    <n v="3"/>
    <s v="April"/>
    <n v="2023"/>
    <x v="1"/>
    <x v="1"/>
  </r>
  <r>
    <d v="2024-10-06T00:00:00"/>
    <s v="ORD-001076"/>
    <x v="4"/>
    <x v="39"/>
    <n v="13285.27"/>
    <s v="North"/>
    <n v="16586.18"/>
    <n v="3300.91"/>
    <n v="20"/>
    <n v="1"/>
    <s v="October"/>
    <n v="2024"/>
    <x v="0"/>
    <x v="0"/>
  </r>
  <r>
    <d v="2024-02-10T00:00:00"/>
    <s v="ORD-001077"/>
    <x v="5"/>
    <x v="18"/>
    <n v="2769.34"/>
    <s v="North"/>
    <n v="3932.47"/>
    <n v="1163.1300000000001"/>
    <n v="10"/>
    <n v="5"/>
    <s v="February"/>
    <n v="2024"/>
    <x v="1"/>
    <x v="1"/>
  </r>
  <r>
    <d v="2024-11-13T00:00:00"/>
    <s v="ORD-001078"/>
    <x v="4"/>
    <x v="26"/>
    <n v="7179.87"/>
    <s v="Central"/>
    <n v="9892.85"/>
    <n v="2712.98"/>
    <n v="20"/>
    <n v="2"/>
    <s v="November"/>
    <n v="2024"/>
    <x v="0"/>
    <x v="0"/>
  </r>
  <r>
    <d v="2023-08-06T00:00:00"/>
    <s v="ORD-001079"/>
    <x v="4"/>
    <x v="42"/>
    <n v="7399.68"/>
    <s v="East"/>
    <n v="9834.2900000000009"/>
    <n v="2434.61"/>
    <n v="20"/>
    <n v="2"/>
    <s v="August"/>
    <n v="2023"/>
    <x v="0"/>
    <x v="0"/>
  </r>
  <r>
    <d v="2023-05-14T00:00:00"/>
    <s v="ORD-001080"/>
    <x v="5"/>
    <x v="27"/>
    <n v="657.38"/>
    <s v="Central"/>
    <n v="1129.68"/>
    <n v="472.3"/>
    <n v="25"/>
    <n v="2"/>
    <s v="May"/>
    <n v="2023"/>
    <x v="0"/>
    <x v="2"/>
  </r>
  <r>
    <d v="2024-12-15T00:00:00"/>
    <s v="ORD-001081"/>
    <x v="1"/>
    <x v="23"/>
    <n v="27951.58"/>
    <s v="East"/>
    <n v="35722.97"/>
    <n v="7771.39"/>
    <n v="0"/>
    <n v="2"/>
    <s v="December"/>
    <n v="2024"/>
    <x v="2"/>
    <x v="1"/>
  </r>
  <r>
    <d v="2023-02-18T00:00:00"/>
    <s v="ORD-001082"/>
    <x v="2"/>
    <x v="13"/>
    <n v="191.63"/>
    <s v="Central"/>
    <n v="384.26"/>
    <n v="192.63"/>
    <n v="5"/>
    <n v="5"/>
    <s v="February"/>
    <n v="2023"/>
    <x v="1"/>
    <x v="1"/>
  </r>
  <r>
    <d v="2024-07-18T00:00:00"/>
    <s v="ORD-001083"/>
    <x v="5"/>
    <x v="14"/>
    <n v="5916.5"/>
    <s v="West"/>
    <n v="7049.92"/>
    <n v="1133.42"/>
    <n v="20"/>
    <n v="2"/>
    <s v="July"/>
    <n v="2024"/>
    <x v="0"/>
    <x v="0"/>
  </r>
  <r>
    <d v="2024-09-19T00:00:00"/>
    <s v="ORD-001084"/>
    <x v="4"/>
    <x v="42"/>
    <n v="14061.94"/>
    <s v="North"/>
    <n v="14082.14"/>
    <n v="20.2"/>
    <n v="22"/>
    <n v="1"/>
    <s v="September"/>
    <n v="2024"/>
    <x v="0"/>
    <x v="2"/>
  </r>
  <r>
    <d v="2024-01-21T00:00:00"/>
    <s v="ORD-001085"/>
    <x v="1"/>
    <x v="19"/>
    <n v="821.83"/>
    <s v="North"/>
    <n v="1190.06"/>
    <n v="368.23"/>
    <n v="10"/>
    <n v="1"/>
    <s v="January"/>
    <n v="2024"/>
    <x v="1"/>
    <x v="1"/>
  </r>
  <r>
    <d v="2025-08-05T00:00:00"/>
    <s v="ORD-001086"/>
    <x v="5"/>
    <x v="14"/>
    <n v="4733.21"/>
    <s v="West"/>
    <n v="6999.9"/>
    <n v="2266.69"/>
    <n v="5"/>
    <n v="2"/>
    <s v="August"/>
    <n v="2025"/>
    <x v="1"/>
    <x v="1"/>
  </r>
  <r>
    <d v="2024-12-06T00:00:00"/>
    <s v="ORD-001087"/>
    <x v="5"/>
    <x v="27"/>
    <n v="2810.24"/>
    <s v="North"/>
    <n v="3973.77"/>
    <n v="1163.53"/>
    <n v="25"/>
    <n v="3"/>
    <s v="December"/>
    <n v="2024"/>
    <x v="0"/>
    <x v="2"/>
  </r>
  <r>
    <d v="2024-03-21T00:00:00"/>
    <s v="ORD-001088"/>
    <x v="2"/>
    <x v="35"/>
    <n v="710.53"/>
    <s v="North"/>
    <n v="1497.67"/>
    <n v="787.14"/>
    <n v="10"/>
    <n v="2"/>
    <s v="March"/>
    <n v="2024"/>
    <x v="1"/>
    <x v="1"/>
  </r>
  <r>
    <d v="2024-07-13T00:00:00"/>
    <s v="ORD-001089"/>
    <x v="1"/>
    <x v="1"/>
    <n v="3853.6"/>
    <s v="North"/>
    <n v="5375.39"/>
    <n v="1521.79"/>
    <n v="5"/>
    <n v="4"/>
    <s v="July"/>
    <n v="2024"/>
    <x v="1"/>
    <x v="1"/>
  </r>
  <r>
    <d v="2025-06-24T00:00:00"/>
    <s v="ORD-001090"/>
    <x v="0"/>
    <x v="0"/>
    <n v="453.74"/>
    <s v="West"/>
    <n v="728.37"/>
    <n v="274.63"/>
    <n v="20"/>
    <n v="1"/>
    <s v="June"/>
    <n v="2025"/>
    <x v="0"/>
    <x v="0"/>
  </r>
  <r>
    <d v="2025-07-14T00:00:00"/>
    <s v="ORD-001091"/>
    <x v="3"/>
    <x v="22"/>
    <n v="51669.71"/>
    <s v="South"/>
    <n v="62385.5"/>
    <n v="10715.79"/>
    <n v="0"/>
    <n v="2"/>
    <s v="July"/>
    <n v="2025"/>
    <x v="2"/>
    <x v="1"/>
  </r>
  <r>
    <d v="2023-09-09T00:00:00"/>
    <s v="ORD-001092"/>
    <x v="3"/>
    <x v="34"/>
    <n v="3585.65"/>
    <s v="North"/>
    <n v="5390.99"/>
    <n v="1805.34"/>
    <n v="0"/>
    <n v="2"/>
    <s v="September"/>
    <n v="2023"/>
    <x v="2"/>
    <x v="1"/>
  </r>
  <r>
    <d v="2024-06-16T00:00:00"/>
    <s v="ORD-001093"/>
    <x v="2"/>
    <x v="13"/>
    <n v="235.06"/>
    <s v="South"/>
    <n v="360.75"/>
    <n v="125.69"/>
    <n v="10"/>
    <n v="2"/>
    <s v="June"/>
    <n v="2024"/>
    <x v="1"/>
    <x v="1"/>
  </r>
  <r>
    <d v="2024-06-25T00:00:00"/>
    <s v="ORD-001094"/>
    <x v="2"/>
    <x v="25"/>
    <n v="124.3"/>
    <s v="North"/>
    <n v="124.52"/>
    <n v="0.22"/>
    <n v="30"/>
    <n v="2"/>
    <s v="June"/>
    <n v="2024"/>
    <x v="0"/>
    <x v="2"/>
  </r>
  <r>
    <d v="2024-07-08T00:00:00"/>
    <s v="ORD-001095"/>
    <x v="1"/>
    <x v="24"/>
    <n v="5128.83"/>
    <s v="North"/>
    <n v="5551.64"/>
    <n v="422.81"/>
    <n v="15"/>
    <n v="1"/>
    <s v="July"/>
    <n v="2024"/>
    <x v="0"/>
    <x v="0"/>
  </r>
  <r>
    <d v="2023-03-07T00:00:00"/>
    <s v="ORD-001096"/>
    <x v="4"/>
    <x v="42"/>
    <n v="40714.29"/>
    <s v="West"/>
    <n v="60970.7"/>
    <n v="20256.41"/>
    <n v="10"/>
    <n v="6"/>
    <s v="March"/>
    <n v="2023"/>
    <x v="1"/>
    <x v="1"/>
  </r>
  <r>
    <d v="2023-07-16T00:00:00"/>
    <s v="ORD-001097"/>
    <x v="3"/>
    <x v="15"/>
    <n v="19531.419999999998"/>
    <s v="South"/>
    <n v="27801.599999999999"/>
    <n v="8270.18"/>
    <n v="0"/>
    <n v="4"/>
    <s v="July"/>
    <n v="2023"/>
    <x v="2"/>
    <x v="1"/>
  </r>
  <r>
    <d v="2025-02-14T00:00:00"/>
    <s v="ORD-001098"/>
    <x v="2"/>
    <x v="10"/>
    <n v="285.83"/>
    <s v="West"/>
    <n v="383.21"/>
    <n v="97.38"/>
    <n v="10"/>
    <n v="1"/>
    <s v="February"/>
    <n v="2025"/>
    <x v="1"/>
    <x v="1"/>
  </r>
  <r>
    <d v="2023-03-18T00:00:00"/>
    <s v="ORD-001099"/>
    <x v="5"/>
    <x v="33"/>
    <n v="6842.36"/>
    <s v="Central"/>
    <n v="8668.14"/>
    <n v="1825.78"/>
    <n v="15"/>
    <n v="2"/>
    <s v="March"/>
    <n v="2023"/>
    <x v="0"/>
    <x v="0"/>
  </r>
  <r>
    <d v="2024-05-19T00:00:00"/>
    <s v="ORD-001100"/>
    <x v="1"/>
    <x v="23"/>
    <n v="8080"/>
    <s v="North"/>
    <n v="10076.4"/>
    <n v="1996.4"/>
    <n v="20"/>
    <n v="3"/>
    <s v="May"/>
    <n v="2024"/>
    <x v="0"/>
    <x v="0"/>
  </r>
  <r>
    <d v="2025-06-29T00:00:00"/>
    <s v="ORD-001101"/>
    <x v="1"/>
    <x v="29"/>
    <n v="26575.09"/>
    <s v="Central"/>
    <n v="27778.28"/>
    <n v="1203.19"/>
    <n v="20"/>
    <n v="3"/>
    <s v="June"/>
    <n v="2025"/>
    <x v="0"/>
    <x v="0"/>
  </r>
  <r>
    <d v="2025-10-25T00:00:00"/>
    <s v="ORD-001102"/>
    <x v="0"/>
    <x v="6"/>
    <n v="1088.1300000000001"/>
    <s v="West"/>
    <n v="1759.98"/>
    <n v="671.85"/>
    <n v="5"/>
    <n v="2"/>
    <s v="October"/>
    <n v="2025"/>
    <x v="1"/>
    <x v="1"/>
  </r>
  <r>
    <d v="2024-07-23T00:00:00"/>
    <s v="ORD-001103"/>
    <x v="4"/>
    <x v="11"/>
    <n v="2726.98"/>
    <s v="Central"/>
    <n v="3059.61"/>
    <n v="332.63"/>
    <n v="15"/>
    <n v="1"/>
    <s v="July"/>
    <n v="2024"/>
    <x v="0"/>
    <x v="0"/>
  </r>
  <r>
    <d v="2024-03-14T00:00:00"/>
    <s v="ORD-001104"/>
    <x v="2"/>
    <x v="2"/>
    <n v="772.03"/>
    <s v="Central"/>
    <n v="1241.5999999999999"/>
    <n v="469.57"/>
    <n v="5"/>
    <n v="4"/>
    <s v="March"/>
    <n v="2024"/>
    <x v="1"/>
    <x v="1"/>
  </r>
  <r>
    <d v="2024-02-07T00:00:00"/>
    <s v="ORD-001105"/>
    <x v="5"/>
    <x v="18"/>
    <n v="1852.39"/>
    <s v="East"/>
    <n v="2682.79"/>
    <n v="830.4"/>
    <n v="10"/>
    <n v="1"/>
    <s v="February"/>
    <n v="2024"/>
    <x v="1"/>
    <x v="1"/>
  </r>
  <r>
    <d v="2025-03-12T00:00:00"/>
    <s v="ORD-001106"/>
    <x v="1"/>
    <x v="1"/>
    <n v="1340.25"/>
    <s v="West"/>
    <n v="1591.41"/>
    <n v="251.16"/>
    <n v="15"/>
    <n v="1"/>
    <s v="March"/>
    <n v="2025"/>
    <x v="0"/>
    <x v="0"/>
  </r>
  <r>
    <d v="2024-02-23T00:00:00"/>
    <s v="ORD-001107"/>
    <x v="3"/>
    <x v="12"/>
    <n v="33733.199999999997"/>
    <s v="South"/>
    <n v="41187.379999999997"/>
    <n v="7454.18"/>
    <n v="15"/>
    <n v="8"/>
    <s v="February"/>
    <n v="2024"/>
    <x v="0"/>
    <x v="0"/>
  </r>
  <r>
    <d v="2024-07-03T00:00:00"/>
    <s v="ORD-001108"/>
    <x v="0"/>
    <x v="17"/>
    <n v="3805.87"/>
    <s v="Central"/>
    <n v="7496.3"/>
    <n v="3690.43"/>
    <n v="20"/>
    <n v="5"/>
    <s v="July"/>
    <n v="2024"/>
    <x v="0"/>
    <x v="0"/>
  </r>
  <r>
    <d v="2025-08-26T00:00:00"/>
    <s v="ORD-001109"/>
    <x v="4"/>
    <x v="30"/>
    <n v="11967.28"/>
    <s v="North"/>
    <n v="15997.93"/>
    <n v="4030.65"/>
    <n v="5"/>
    <n v="1"/>
    <s v="August"/>
    <n v="2025"/>
    <x v="1"/>
    <x v="1"/>
  </r>
  <r>
    <d v="2024-09-20T00:00:00"/>
    <s v="ORD-001110"/>
    <x v="0"/>
    <x v="0"/>
    <n v="2622.76"/>
    <s v="South"/>
    <n v="6295.87"/>
    <n v="3673.11"/>
    <n v="5"/>
    <n v="6"/>
    <s v="September"/>
    <n v="2024"/>
    <x v="1"/>
    <x v="1"/>
  </r>
  <r>
    <d v="2024-01-07T00:00:00"/>
    <s v="ORD-001111"/>
    <x v="3"/>
    <x v="32"/>
    <n v="767.41"/>
    <s v="East"/>
    <n v="934.08"/>
    <n v="166.67"/>
    <n v="10"/>
    <n v="1"/>
    <s v="January"/>
    <n v="2024"/>
    <x v="1"/>
    <x v="1"/>
  </r>
  <r>
    <d v="2025-07-19T00:00:00"/>
    <s v="ORD-001112"/>
    <x v="4"/>
    <x v="42"/>
    <n v="4529.4399999999996"/>
    <s v="West"/>
    <n v="5742.42"/>
    <n v="1212.98"/>
    <n v="10"/>
    <n v="2"/>
    <s v="July"/>
    <n v="2025"/>
    <x v="1"/>
    <x v="1"/>
  </r>
  <r>
    <d v="2023-03-08T00:00:00"/>
    <s v="ORD-001113"/>
    <x v="1"/>
    <x v="5"/>
    <n v="15662.56"/>
    <s v="North"/>
    <n v="20360.21"/>
    <n v="4697.6499999999996"/>
    <n v="0"/>
    <n v="3"/>
    <s v="March"/>
    <n v="2023"/>
    <x v="2"/>
    <x v="1"/>
  </r>
  <r>
    <d v="2025-07-19T00:00:00"/>
    <s v="ORD-001114"/>
    <x v="1"/>
    <x v="24"/>
    <n v="15300.56"/>
    <s v="South"/>
    <n v="15352.89"/>
    <n v="52.33"/>
    <n v="22"/>
    <n v="3"/>
    <s v="July"/>
    <n v="2025"/>
    <x v="0"/>
    <x v="2"/>
  </r>
  <r>
    <d v="2025-04-19T00:00:00"/>
    <s v="ORD-001115"/>
    <x v="5"/>
    <x v="16"/>
    <n v="3121.89"/>
    <s v="South"/>
    <n v="4224.8100000000004"/>
    <n v="1102.92"/>
    <n v="15"/>
    <n v="6"/>
    <s v="April"/>
    <n v="2025"/>
    <x v="0"/>
    <x v="0"/>
  </r>
  <r>
    <d v="2024-09-20T00:00:00"/>
    <s v="ORD-001116"/>
    <x v="2"/>
    <x v="2"/>
    <n v="413.87"/>
    <s v="South"/>
    <n v="450.96"/>
    <n v="37.090000000000003"/>
    <n v="25"/>
    <n v="3"/>
    <s v="September"/>
    <n v="2024"/>
    <x v="0"/>
    <x v="2"/>
  </r>
  <r>
    <d v="2023-04-10T00:00:00"/>
    <s v="ORD-001117"/>
    <x v="4"/>
    <x v="7"/>
    <n v="13556.59"/>
    <s v="East"/>
    <n v="21344.71"/>
    <n v="7788.12"/>
    <n v="5"/>
    <n v="2"/>
    <s v="April"/>
    <n v="2023"/>
    <x v="1"/>
    <x v="1"/>
  </r>
  <r>
    <d v="2025-08-18T00:00:00"/>
    <s v="ORD-001118"/>
    <x v="5"/>
    <x v="33"/>
    <n v="4178.8999999999996"/>
    <s v="West"/>
    <n v="8468.99"/>
    <n v="4290.09"/>
    <n v="10"/>
    <n v="5"/>
    <s v="August"/>
    <n v="2025"/>
    <x v="1"/>
    <x v="1"/>
  </r>
  <r>
    <d v="2024-06-05T00:00:00"/>
    <s v="ORD-001119"/>
    <x v="1"/>
    <x v="9"/>
    <n v="5363.48"/>
    <s v="South"/>
    <n v="5961.89"/>
    <n v="598.41"/>
    <n v="15"/>
    <n v="2"/>
    <s v="June"/>
    <n v="2024"/>
    <x v="0"/>
    <x v="0"/>
  </r>
  <r>
    <d v="2023-03-10T00:00:00"/>
    <s v="ORD-001120"/>
    <x v="4"/>
    <x v="42"/>
    <n v="6496.03"/>
    <s v="South"/>
    <n v="8938.7099999999991"/>
    <n v="2442.6799999999998"/>
    <n v="10"/>
    <n v="1"/>
    <s v="March"/>
    <n v="2023"/>
    <x v="1"/>
    <x v="1"/>
  </r>
  <r>
    <d v="2025-08-09T00:00:00"/>
    <s v="ORD-001121"/>
    <x v="2"/>
    <x v="31"/>
    <n v="148.13999999999999"/>
    <s v="South"/>
    <n v="209.08"/>
    <n v="60.94"/>
    <n v="15"/>
    <n v="1"/>
    <s v="August"/>
    <n v="2025"/>
    <x v="0"/>
    <x v="0"/>
  </r>
  <r>
    <d v="2024-09-26T00:00:00"/>
    <s v="ORD-001122"/>
    <x v="3"/>
    <x v="28"/>
    <n v="2340.92"/>
    <s v="West"/>
    <n v="3111.45"/>
    <n v="770.53"/>
    <n v="0"/>
    <n v="3"/>
    <s v="September"/>
    <n v="2024"/>
    <x v="2"/>
    <x v="1"/>
  </r>
  <r>
    <d v="2025-10-19T00:00:00"/>
    <s v="ORD-001123"/>
    <x v="5"/>
    <x v="27"/>
    <n v="3309.62"/>
    <s v="South"/>
    <n v="6492.3"/>
    <n v="3182.68"/>
    <n v="15"/>
    <n v="2"/>
    <s v="October"/>
    <n v="2025"/>
    <x v="0"/>
    <x v="0"/>
  </r>
  <r>
    <d v="2024-02-10T00:00:00"/>
    <s v="ORD-001124"/>
    <x v="5"/>
    <x v="14"/>
    <n v="944.83"/>
    <s v="North"/>
    <n v="1559.66"/>
    <n v="614.83000000000004"/>
    <n v="10"/>
    <n v="2"/>
    <s v="February"/>
    <n v="2024"/>
    <x v="1"/>
    <x v="1"/>
  </r>
  <r>
    <d v="2024-02-27T00:00:00"/>
    <s v="ORD-001125"/>
    <x v="0"/>
    <x v="8"/>
    <n v="206.84"/>
    <s v="East"/>
    <n v="382.69"/>
    <n v="175.85"/>
    <n v="20"/>
    <n v="1"/>
    <s v="February"/>
    <n v="2024"/>
    <x v="0"/>
    <x v="0"/>
  </r>
  <r>
    <d v="2025-11-14T00:00:00"/>
    <s v="ORD-001126"/>
    <x v="2"/>
    <x v="10"/>
    <n v="178.77"/>
    <s v="West"/>
    <n v="259.8"/>
    <n v="81.03"/>
    <n v="5"/>
    <n v="1"/>
    <s v="November"/>
    <n v="2025"/>
    <x v="1"/>
    <x v="1"/>
  </r>
  <r>
    <d v="2025-11-13T00:00:00"/>
    <s v="ORD-001127"/>
    <x v="2"/>
    <x v="13"/>
    <n v="1630.8"/>
    <s v="South"/>
    <n v="2626.4"/>
    <n v="995.6"/>
    <n v="10"/>
    <n v="2"/>
    <s v="November"/>
    <n v="2025"/>
    <x v="1"/>
    <x v="1"/>
  </r>
  <r>
    <d v="2025-11-27T00:00:00"/>
    <s v="ORD-001128"/>
    <x v="3"/>
    <x v="32"/>
    <n v="5639.4"/>
    <s v="East"/>
    <n v="5643.47"/>
    <n v="4.07"/>
    <n v="20"/>
    <n v="3"/>
    <s v="November"/>
    <n v="2025"/>
    <x v="0"/>
    <x v="0"/>
  </r>
  <r>
    <d v="2025-11-26T00:00:00"/>
    <s v="ORD-001129"/>
    <x v="4"/>
    <x v="7"/>
    <n v="12273.36"/>
    <s v="South"/>
    <n v="14648.49"/>
    <n v="2375.13"/>
    <n v="20"/>
    <n v="2"/>
    <s v="November"/>
    <n v="2025"/>
    <x v="0"/>
    <x v="0"/>
  </r>
  <r>
    <d v="2024-07-25T00:00:00"/>
    <s v="ORD-001130"/>
    <x v="3"/>
    <x v="12"/>
    <n v="3155.02"/>
    <s v="West"/>
    <n v="4082.07"/>
    <n v="927.05"/>
    <n v="10"/>
    <n v="2"/>
    <s v="July"/>
    <n v="2024"/>
    <x v="1"/>
    <x v="1"/>
  </r>
  <r>
    <d v="2024-10-24T00:00:00"/>
    <s v="ORD-001131"/>
    <x v="1"/>
    <x v="5"/>
    <n v="8680.66"/>
    <s v="Central"/>
    <n v="10732.35"/>
    <n v="2051.69"/>
    <n v="15"/>
    <n v="2"/>
    <s v="October"/>
    <n v="2024"/>
    <x v="0"/>
    <x v="0"/>
  </r>
  <r>
    <d v="2023-11-13T00:00:00"/>
    <s v="ORD-001132"/>
    <x v="3"/>
    <x v="28"/>
    <n v="3018.03"/>
    <s v="Central"/>
    <n v="3118.71"/>
    <n v="100.68"/>
    <n v="20"/>
    <n v="3"/>
    <s v="November"/>
    <n v="2023"/>
    <x v="0"/>
    <x v="0"/>
  </r>
  <r>
    <d v="2023-11-09T00:00:00"/>
    <s v="ORD-001133"/>
    <x v="1"/>
    <x v="9"/>
    <n v="7800.93"/>
    <s v="South"/>
    <n v="11142.22"/>
    <n v="3341.29"/>
    <n v="5"/>
    <n v="2"/>
    <s v="November"/>
    <n v="2023"/>
    <x v="1"/>
    <x v="1"/>
  </r>
  <r>
    <d v="2025-03-12T00:00:00"/>
    <s v="ORD-001134"/>
    <x v="5"/>
    <x v="14"/>
    <n v="383.06"/>
    <s v="West"/>
    <n v="566.95000000000005"/>
    <n v="183.89"/>
    <n v="0"/>
    <n v="1"/>
    <s v="March"/>
    <n v="2025"/>
    <x v="2"/>
    <x v="1"/>
  </r>
  <r>
    <d v="2023-12-31T00:00:00"/>
    <s v="ORD-001135"/>
    <x v="0"/>
    <x v="41"/>
    <n v="3350.34"/>
    <s v="West"/>
    <n v="6961.81"/>
    <n v="3611.47"/>
    <n v="10"/>
    <n v="3"/>
    <s v="December"/>
    <n v="2023"/>
    <x v="1"/>
    <x v="1"/>
  </r>
  <r>
    <d v="2023-04-13T00:00:00"/>
    <s v="ORD-001136"/>
    <x v="5"/>
    <x v="14"/>
    <n v="3545.04"/>
    <s v="East"/>
    <n v="6485.23"/>
    <n v="2940.19"/>
    <n v="10"/>
    <n v="3"/>
    <s v="April"/>
    <n v="2023"/>
    <x v="1"/>
    <x v="1"/>
  </r>
  <r>
    <d v="2024-01-17T00:00:00"/>
    <s v="ORD-001137"/>
    <x v="1"/>
    <x v="23"/>
    <n v="24259.34"/>
    <s v="Central"/>
    <n v="30563.73"/>
    <n v="6304.39"/>
    <n v="10"/>
    <n v="3"/>
    <s v="January"/>
    <n v="2024"/>
    <x v="1"/>
    <x v="1"/>
  </r>
  <r>
    <d v="2024-02-02T00:00:00"/>
    <s v="ORD-001138"/>
    <x v="2"/>
    <x v="38"/>
    <n v="1222.95"/>
    <s v="West"/>
    <n v="1600.17"/>
    <n v="377.22"/>
    <n v="10"/>
    <n v="1"/>
    <s v="February"/>
    <n v="2024"/>
    <x v="1"/>
    <x v="1"/>
  </r>
  <r>
    <d v="2024-02-10T00:00:00"/>
    <s v="ORD-001139"/>
    <x v="2"/>
    <x v="31"/>
    <n v="712.86"/>
    <s v="South"/>
    <n v="783.02"/>
    <n v="70.16"/>
    <n v="25"/>
    <n v="1"/>
    <s v="February"/>
    <n v="2024"/>
    <x v="0"/>
    <x v="2"/>
  </r>
  <r>
    <d v="2024-12-04T00:00:00"/>
    <s v="ORD-001140"/>
    <x v="1"/>
    <x v="9"/>
    <n v="1541.44"/>
    <s v="South"/>
    <n v="2247.9499999999998"/>
    <n v="706.51"/>
    <n v="10"/>
    <n v="1"/>
    <s v="December"/>
    <n v="2024"/>
    <x v="1"/>
    <x v="1"/>
  </r>
  <r>
    <d v="2023-07-10T00:00:00"/>
    <s v="ORD-001141"/>
    <x v="1"/>
    <x v="5"/>
    <n v="12356.77"/>
    <s v="East"/>
    <n v="15346.67"/>
    <n v="2989.9"/>
    <n v="10"/>
    <n v="5"/>
    <s v="July"/>
    <n v="2023"/>
    <x v="1"/>
    <x v="1"/>
  </r>
  <r>
    <d v="2025-11-28T00:00:00"/>
    <s v="ORD-001142"/>
    <x v="1"/>
    <x v="5"/>
    <n v="1251.81"/>
    <s v="North"/>
    <n v="1449.29"/>
    <n v="197.48"/>
    <n v="25"/>
    <n v="1"/>
    <s v="November"/>
    <n v="2025"/>
    <x v="0"/>
    <x v="2"/>
  </r>
  <r>
    <d v="2023-08-05T00:00:00"/>
    <s v="ORD-001143"/>
    <x v="2"/>
    <x v="10"/>
    <n v="1585.65"/>
    <s v="West"/>
    <n v="3388.68"/>
    <n v="1803.03"/>
    <n v="10"/>
    <n v="4"/>
    <s v="August"/>
    <n v="2023"/>
    <x v="1"/>
    <x v="1"/>
  </r>
  <r>
    <d v="2023-07-13T00:00:00"/>
    <s v="ORD-001144"/>
    <x v="3"/>
    <x v="15"/>
    <n v="209282.72"/>
    <s v="East"/>
    <n v="240077.67"/>
    <n v="30794.95"/>
    <n v="10"/>
    <n v="10"/>
    <s v="July"/>
    <n v="2023"/>
    <x v="1"/>
    <x v="1"/>
  </r>
  <r>
    <d v="2023-01-06T00:00:00"/>
    <s v="ORD-001145"/>
    <x v="1"/>
    <x v="19"/>
    <n v="2096.63"/>
    <s v="Central"/>
    <n v="2886"/>
    <n v="789.37"/>
    <n v="15"/>
    <n v="2"/>
    <s v="January"/>
    <n v="2023"/>
    <x v="0"/>
    <x v="0"/>
  </r>
  <r>
    <d v="2023-06-01T00:00:00"/>
    <s v="ORD-001146"/>
    <x v="4"/>
    <x v="42"/>
    <n v="39512.17"/>
    <s v="South"/>
    <n v="52088.7"/>
    <n v="12576.53"/>
    <n v="10"/>
    <n v="8"/>
    <s v="June"/>
    <n v="2023"/>
    <x v="1"/>
    <x v="1"/>
  </r>
  <r>
    <d v="2023-03-16T00:00:00"/>
    <s v="ORD-001147"/>
    <x v="2"/>
    <x v="38"/>
    <n v="1777.62"/>
    <s v="South"/>
    <n v="2168.4699999999998"/>
    <n v="390.85"/>
    <n v="25"/>
    <n v="8"/>
    <s v="March"/>
    <n v="2023"/>
    <x v="0"/>
    <x v="2"/>
  </r>
  <r>
    <d v="2025-10-05T00:00:00"/>
    <s v="ORD-001148"/>
    <x v="4"/>
    <x v="11"/>
    <n v="11917.71"/>
    <s v="West"/>
    <n v="19178.16"/>
    <n v="7260.45"/>
    <n v="0"/>
    <n v="1"/>
    <s v="October"/>
    <n v="2025"/>
    <x v="2"/>
    <x v="1"/>
  </r>
  <r>
    <d v="2024-09-05T00:00:00"/>
    <s v="ORD-001149"/>
    <x v="3"/>
    <x v="32"/>
    <n v="25153.200000000001"/>
    <s v="Central"/>
    <n v="29354.09"/>
    <n v="4200.8900000000003"/>
    <n v="20"/>
    <n v="2"/>
    <s v="September"/>
    <n v="2024"/>
    <x v="0"/>
    <x v="0"/>
  </r>
  <r>
    <d v="2023-11-25T00:00:00"/>
    <s v="ORD-001150"/>
    <x v="1"/>
    <x v="1"/>
    <n v="999.11"/>
    <s v="West"/>
    <n v="1207.3399999999999"/>
    <n v="208.23"/>
    <n v="20"/>
    <n v="1"/>
    <s v="November"/>
    <n v="2023"/>
    <x v="0"/>
    <x v="0"/>
  </r>
  <r>
    <d v="2023-06-08T00:00:00"/>
    <s v="ORD-001151"/>
    <x v="0"/>
    <x v="0"/>
    <n v="617.53"/>
    <s v="East"/>
    <n v="876.92"/>
    <n v="259.39"/>
    <n v="10"/>
    <n v="1"/>
    <s v="June"/>
    <n v="2023"/>
    <x v="1"/>
    <x v="1"/>
  </r>
  <r>
    <d v="2025-06-22T00:00:00"/>
    <s v="ORD-001152"/>
    <x v="5"/>
    <x v="27"/>
    <n v="6243.44"/>
    <s v="South"/>
    <n v="10885.97"/>
    <n v="4642.53"/>
    <n v="10"/>
    <n v="3"/>
    <s v="June"/>
    <n v="2025"/>
    <x v="1"/>
    <x v="1"/>
  </r>
  <r>
    <d v="2025-04-07T00:00:00"/>
    <s v="ORD-001153"/>
    <x v="3"/>
    <x v="37"/>
    <n v="63683.46"/>
    <s v="Central"/>
    <n v="70451.75"/>
    <n v="6768.29"/>
    <n v="20"/>
    <n v="4"/>
    <s v="April"/>
    <n v="2025"/>
    <x v="0"/>
    <x v="0"/>
  </r>
  <r>
    <d v="2024-10-12T00:00:00"/>
    <s v="ORD-001154"/>
    <x v="1"/>
    <x v="29"/>
    <n v="10498.85"/>
    <s v="Central"/>
    <n v="14026.91"/>
    <n v="3528.06"/>
    <n v="5"/>
    <n v="3"/>
    <s v="October"/>
    <n v="2024"/>
    <x v="1"/>
    <x v="1"/>
  </r>
  <r>
    <d v="2025-04-19T00:00:00"/>
    <s v="ORD-001155"/>
    <x v="3"/>
    <x v="12"/>
    <n v="1003.97"/>
    <s v="South"/>
    <n v="1181.8800000000001"/>
    <n v="177.91"/>
    <n v="20"/>
    <n v="1"/>
    <s v="April"/>
    <n v="2025"/>
    <x v="0"/>
    <x v="0"/>
  </r>
  <r>
    <d v="2023-04-28T00:00:00"/>
    <s v="ORD-001156"/>
    <x v="1"/>
    <x v="5"/>
    <n v="19080.84"/>
    <s v="North"/>
    <n v="21657.8"/>
    <n v="2576.96"/>
    <n v="10"/>
    <n v="6"/>
    <s v="April"/>
    <n v="2023"/>
    <x v="1"/>
    <x v="1"/>
  </r>
  <r>
    <d v="2023-06-20T00:00:00"/>
    <s v="ORD-001157"/>
    <x v="2"/>
    <x v="31"/>
    <n v="69.5"/>
    <s v="North"/>
    <n v="147.84"/>
    <n v="78.34"/>
    <n v="0"/>
    <n v="1"/>
    <s v="June"/>
    <n v="2023"/>
    <x v="2"/>
    <x v="1"/>
  </r>
  <r>
    <d v="2023-12-31T00:00:00"/>
    <s v="ORD-001158"/>
    <x v="3"/>
    <x v="22"/>
    <n v="658.37"/>
    <s v="North"/>
    <n v="822.1"/>
    <n v="163.72999999999999"/>
    <n v="15"/>
    <n v="1"/>
    <s v="December"/>
    <n v="2023"/>
    <x v="0"/>
    <x v="0"/>
  </r>
  <r>
    <d v="2024-12-27T00:00:00"/>
    <s v="ORD-001159"/>
    <x v="0"/>
    <x v="21"/>
    <n v="895.06"/>
    <s v="West"/>
    <n v="1722.49"/>
    <n v="827.43"/>
    <n v="15"/>
    <n v="4"/>
    <s v="December"/>
    <n v="2024"/>
    <x v="0"/>
    <x v="0"/>
  </r>
  <r>
    <d v="2023-01-14T00:00:00"/>
    <s v="ORD-001160"/>
    <x v="1"/>
    <x v="9"/>
    <n v="4366.6000000000004"/>
    <s v="North"/>
    <n v="7050.98"/>
    <n v="2684.38"/>
    <n v="0"/>
    <n v="2"/>
    <s v="January"/>
    <n v="2023"/>
    <x v="2"/>
    <x v="1"/>
  </r>
  <r>
    <d v="2024-05-22T00:00:00"/>
    <s v="ORD-001161"/>
    <x v="5"/>
    <x v="36"/>
    <n v="1062.4000000000001"/>
    <s v="North"/>
    <n v="1828.21"/>
    <n v="765.81"/>
    <n v="20"/>
    <n v="5"/>
    <s v="May"/>
    <n v="2024"/>
    <x v="0"/>
    <x v="0"/>
  </r>
  <r>
    <d v="2024-09-24T00:00:00"/>
    <s v="ORD-001162"/>
    <x v="2"/>
    <x v="38"/>
    <n v="85.57"/>
    <s v="Central"/>
    <n v="148.86000000000001"/>
    <n v="63.29"/>
    <n v="20"/>
    <n v="1"/>
    <s v="September"/>
    <n v="2024"/>
    <x v="0"/>
    <x v="0"/>
  </r>
  <r>
    <d v="2025-04-09T00:00:00"/>
    <s v="ORD-001163"/>
    <x v="0"/>
    <x v="8"/>
    <n v="21225.64"/>
    <s v="North"/>
    <n v="29801.98"/>
    <n v="8576.34"/>
    <n v="20"/>
    <n v="8"/>
    <s v="April"/>
    <n v="2025"/>
    <x v="0"/>
    <x v="0"/>
  </r>
  <r>
    <d v="2025-04-11T00:00:00"/>
    <s v="ORD-001164"/>
    <x v="5"/>
    <x v="27"/>
    <n v="1692.68"/>
    <s v="West"/>
    <n v="2914.38"/>
    <n v="1221.7"/>
    <n v="15"/>
    <n v="2"/>
    <s v="April"/>
    <n v="2025"/>
    <x v="0"/>
    <x v="0"/>
  </r>
  <r>
    <d v="2024-08-07T00:00:00"/>
    <s v="ORD-001165"/>
    <x v="3"/>
    <x v="34"/>
    <n v="2591.4499999999998"/>
    <s v="South"/>
    <n v="3067.53"/>
    <n v="476.08"/>
    <n v="0"/>
    <n v="2"/>
    <s v="August"/>
    <n v="2024"/>
    <x v="2"/>
    <x v="1"/>
  </r>
  <r>
    <d v="2024-06-23T00:00:00"/>
    <s v="ORD-001166"/>
    <x v="3"/>
    <x v="32"/>
    <n v="23081.3"/>
    <s v="West"/>
    <n v="28365.67"/>
    <n v="5284.37"/>
    <n v="5"/>
    <n v="5"/>
    <s v="June"/>
    <n v="2024"/>
    <x v="1"/>
    <x v="1"/>
  </r>
  <r>
    <d v="2024-02-07T00:00:00"/>
    <s v="ORD-001167"/>
    <x v="3"/>
    <x v="15"/>
    <n v="2695.99"/>
    <s v="South"/>
    <n v="3248.46"/>
    <n v="552.47"/>
    <n v="20"/>
    <n v="2"/>
    <s v="February"/>
    <n v="2024"/>
    <x v="0"/>
    <x v="0"/>
  </r>
  <r>
    <d v="2025-01-22T00:00:00"/>
    <s v="ORD-001168"/>
    <x v="1"/>
    <x v="29"/>
    <n v="8504.5"/>
    <s v="North"/>
    <n v="9016.4599999999991"/>
    <n v="511.96"/>
    <n v="15"/>
    <n v="1"/>
    <s v="January"/>
    <n v="2025"/>
    <x v="0"/>
    <x v="0"/>
  </r>
  <r>
    <d v="2023-06-02T00:00:00"/>
    <s v="ORD-001169"/>
    <x v="4"/>
    <x v="30"/>
    <n v="39607.129999999997"/>
    <s v="West"/>
    <n v="50331.16"/>
    <n v="10724.03"/>
    <n v="0"/>
    <n v="8"/>
    <s v="June"/>
    <n v="2023"/>
    <x v="2"/>
    <x v="1"/>
  </r>
  <r>
    <d v="2023-04-10T00:00:00"/>
    <s v="ORD-001170"/>
    <x v="3"/>
    <x v="34"/>
    <n v="11678.63"/>
    <s v="West"/>
    <n v="14559.9"/>
    <n v="2881.27"/>
    <n v="10"/>
    <n v="4"/>
    <s v="April"/>
    <n v="2023"/>
    <x v="1"/>
    <x v="1"/>
  </r>
  <r>
    <d v="2025-07-18T00:00:00"/>
    <s v="ORD-001171"/>
    <x v="0"/>
    <x v="17"/>
    <n v="2575.62"/>
    <s v="Central"/>
    <n v="4718.8"/>
    <n v="2143.1799999999998"/>
    <n v="0"/>
    <n v="2"/>
    <s v="July"/>
    <n v="2025"/>
    <x v="2"/>
    <x v="1"/>
  </r>
  <r>
    <d v="2023-07-31T00:00:00"/>
    <s v="ORD-001172"/>
    <x v="1"/>
    <x v="1"/>
    <n v="7165.21"/>
    <s v="East"/>
    <n v="9977.08"/>
    <n v="2811.87"/>
    <n v="5"/>
    <n v="8"/>
    <s v="July"/>
    <n v="2023"/>
    <x v="1"/>
    <x v="1"/>
  </r>
  <r>
    <d v="2025-04-09T00:00:00"/>
    <s v="ORD-001173"/>
    <x v="2"/>
    <x v="31"/>
    <n v="745.05"/>
    <s v="Central"/>
    <n v="1301.5899999999999"/>
    <n v="556.54"/>
    <n v="10"/>
    <n v="2"/>
    <s v="April"/>
    <n v="2025"/>
    <x v="1"/>
    <x v="1"/>
  </r>
  <r>
    <d v="2024-06-21T00:00:00"/>
    <s v="ORD-001174"/>
    <x v="4"/>
    <x v="7"/>
    <n v="19408.240000000002"/>
    <s v="South"/>
    <n v="26902.5"/>
    <n v="7494.26"/>
    <n v="0"/>
    <n v="1"/>
    <s v="June"/>
    <n v="2024"/>
    <x v="2"/>
    <x v="1"/>
  </r>
  <r>
    <d v="2024-11-14T00:00:00"/>
    <s v="ORD-001175"/>
    <x v="2"/>
    <x v="38"/>
    <n v="1324.94"/>
    <s v="West"/>
    <n v="1786.43"/>
    <n v="461.49"/>
    <n v="10"/>
    <n v="3"/>
    <s v="November"/>
    <n v="2024"/>
    <x v="1"/>
    <x v="1"/>
  </r>
  <r>
    <d v="2024-02-08T00:00:00"/>
    <s v="ORD-001176"/>
    <x v="0"/>
    <x v="41"/>
    <n v="345.24"/>
    <s v="Central"/>
    <n v="558.53"/>
    <n v="213.29"/>
    <n v="15"/>
    <n v="2"/>
    <s v="February"/>
    <n v="2024"/>
    <x v="0"/>
    <x v="0"/>
  </r>
  <r>
    <d v="2023-08-30T00:00:00"/>
    <s v="ORD-001177"/>
    <x v="3"/>
    <x v="37"/>
    <n v="5078.43"/>
    <s v="North"/>
    <n v="6765.01"/>
    <n v="1686.58"/>
    <n v="0"/>
    <n v="1"/>
    <s v="August"/>
    <n v="2023"/>
    <x v="2"/>
    <x v="1"/>
  </r>
  <r>
    <d v="2024-08-03T00:00:00"/>
    <s v="ORD-001178"/>
    <x v="2"/>
    <x v="31"/>
    <n v="747.43"/>
    <s v="North"/>
    <n v="1061.32"/>
    <n v="313.89"/>
    <n v="20"/>
    <n v="3"/>
    <s v="August"/>
    <n v="2024"/>
    <x v="0"/>
    <x v="0"/>
  </r>
  <r>
    <d v="2025-11-03T00:00:00"/>
    <s v="ORD-001179"/>
    <x v="4"/>
    <x v="40"/>
    <n v="31957.27"/>
    <s v="East"/>
    <n v="42644.79"/>
    <n v="10687.52"/>
    <n v="10"/>
    <n v="4"/>
    <s v="November"/>
    <n v="2025"/>
    <x v="1"/>
    <x v="1"/>
  </r>
  <r>
    <d v="2023-02-10T00:00:00"/>
    <s v="ORD-001180"/>
    <x v="3"/>
    <x v="32"/>
    <n v="6123.78"/>
    <s v="West"/>
    <n v="8515.66"/>
    <n v="2391.88"/>
    <n v="5"/>
    <n v="2"/>
    <s v="February"/>
    <n v="2023"/>
    <x v="1"/>
    <x v="1"/>
  </r>
  <r>
    <d v="2023-02-17T00:00:00"/>
    <s v="ORD-001181"/>
    <x v="3"/>
    <x v="15"/>
    <n v="74378.3"/>
    <s v="North"/>
    <n v="75837.679999999993"/>
    <n v="1459.38"/>
    <n v="15"/>
    <n v="4"/>
    <s v="February"/>
    <n v="2023"/>
    <x v="0"/>
    <x v="0"/>
  </r>
  <r>
    <d v="2023-06-11T00:00:00"/>
    <s v="ORD-001182"/>
    <x v="3"/>
    <x v="15"/>
    <n v="1563.74"/>
    <s v="Central"/>
    <n v="1833.89"/>
    <n v="270.14999999999998"/>
    <n v="20"/>
    <n v="2"/>
    <s v="June"/>
    <n v="2023"/>
    <x v="0"/>
    <x v="0"/>
  </r>
  <r>
    <d v="2023-02-14T00:00:00"/>
    <s v="ORD-001183"/>
    <x v="1"/>
    <x v="19"/>
    <n v="7241.71"/>
    <s v="Central"/>
    <n v="8611.9599999999991"/>
    <n v="1370.25"/>
    <n v="25"/>
    <n v="5"/>
    <s v="February"/>
    <n v="2023"/>
    <x v="0"/>
    <x v="2"/>
  </r>
  <r>
    <d v="2025-10-06T00:00:00"/>
    <s v="ORD-001184"/>
    <x v="1"/>
    <x v="19"/>
    <n v="6796.49"/>
    <s v="North"/>
    <n v="8914.99"/>
    <n v="2118.5"/>
    <n v="15"/>
    <n v="4"/>
    <s v="October"/>
    <n v="2025"/>
    <x v="0"/>
    <x v="0"/>
  </r>
  <r>
    <d v="2023-07-08T00:00:00"/>
    <s v="ORD-001185"/>
    <x v="0"/>
    <x v="21"/>
    <n v="492.24"/>
    <s v="East"/>
    <n v="775.11"/>
    <n v="282.87"/>
    <n v="0"/>
    <n v="2"/>
    <s v="July"/>
    <n v="2023"/>
    <x v="2"/>
    <x v="1"/>
  </r>
  <r>
    <d v="2024-02-26T00:00:00"/>
    <s v="ORD-001186"/>
    <x v="5"/>
    <x v="20"/>
    <n v="2482.84"/>
    <s v="North"/>
    <n v="5320.08"/>
    <n v="2837.24"/>
    <n v="10"/>
    <n v="2"/>
    <s v="February"/>
    <n v="2024"/>
    <x v="1"/>
    <x v="1"/>
  </r>
  <r>
    <d v="2025-05-31T00:00:00"/>
    <s v="ORD-001187"/>
    <x v="1"/>
    <x v="23"/>
    <n v="35606.71"/>
    <s v="West"/>
    <n v="36634.03"/>
    <n v="1027.32"/>
    <n v="20"/>
    <n v="5"/>
    <s v="May"/>
    <n v="2025"/>
    <x v="0"/>
    <x v="0"/>
  </r>
  <r>
    <d v="2025-09-07T00:00:00"/>
    <s v="ORD-001188"/>
    <x v="3"/>
    <x v="28"/>
    <n v="2824.86"/>
    <s v="West"/>
    <n v="3805.8"/>
    <n v="980.94"/>
    <n v="0"/>
    <n v="4"/>
    <s v="September"/>
    <n v="2025"/>
    <x v="2"/>
    <x v="1"/>
  </r>
  <r>
    <d v="2024-09-07T00:00:00"/>
    <s v="ORD-001189"/>
    <x v="0"/>
    <x v="17"/>
    <n v="3210.34"/>
    <s v="West"/>
    <n v="5100.8"/>
    <n v="1890.46"/>
    <n v="15"/>
    <n v="4"/>
    <s v="September"/>
    <n v="2024"/>
    <x v="0"/>
    <x v="0"/>
  </r>
  <r>
    <d v="2023-09-28T00:00:00"/>
    <s v="ORD-001190"/>
    <x v="3"/>
    <x v="34"/>
    <n v="1002.15"/>
    <s v="West"/>
    <n v="1093.25"/>
    <n v="91.1"/>
    <n v="15"/>
    <n v="1"/>
    <s v="September"/>
    <n v="2023"/>
    <x v="0"/>
    <x v="0"/>
  </r>
  <r>
    <d v="2025-08-07T00:00:00"/>
    <s v="ORD-001191"/>
    <x v="2"/>
    <x v="31"/>
    <n v="97.82"/>
    <s v="West"/>
    <n v="161.15"/>
    <n v="63.33"/>
    <n v="0"/>
    <n v="2"/>
    <s v="August"/>
    <n v="2025"/>
    <x v="2"/>
    <x v="1"/>
  </r>
  <r>
    <d v="2023-02-12T00:00:00"/>
    <s v="ORD-001192"/>
    <x v="5"/>
    <x v="20"/>
    <n v="1289.3599999999999"/>
    <s v="North"/>
    <n v="1696.12"/>
    <n v="406.76"/>
    <n v="30"/>
    <n v="1"/>
    <s v="February"/>
    <n v="2023"/>
    <x v="0"/>
    <x v="2"/>
  </r>
  <r>
    <d v="2024-02-06T00:00:00"/>
    <s v="ORD-001193"/>
    <x v="3"/>
    <x v="32"/>
    <n v="38563.480000000003"/>
    <s v="South"/>
    <n v="40349.370000000003"/>
    <n v="1785.89"/>
    <n v="20"/>
    <n v="2"/>
    <s v="February"/>
    <n v="2024"/>
    <x v="0"/>
    <x v="0"/>
  </r>
  <r>
    <d v="2024-07-03T00:00:00"/>
    <s v="ORD-001194"/>
    <x v="4"/>
    <x v="40"/>
    <n v="39511.870000000003"/>
    <s v="South"/>
    <n v="56058.07"/>
    <n v="16546.2"/>
    <n v="0"/>
    <n v="4"/>
    <s v="July"/>
    <n v="2024"/>
    <x v="2"/>
    <x v="1"/>
  </r>
  <r>
    <d v="2025-03-09T00:00:00"/>
    <s v="ORD-001195"/>
    <x v="1"/>
    <x v="9"/>
    <n v="26704.03"/>
    <s v="Central"/>
    <n v="32003.48"/>
    <n v="5299.45"/>
    <n v="15"/>
    <n v="8"/>
    <s v="March"/>
    <n v="2025"/>
    <x v="0"/>
    <x v="0"/>
  </r>
  <r>
    <d v="2023-10-15T00:00:00"/>
    <s v="ORD-001196"/>
    <x v="3"/>
    <x v="34"/>
    <n v="72790.75"/>
    <s v="South"/>
    <n v="99105.600000000006"/>
    <n v="26314.85"/>
    <n v="10"/>
    <n v="6"/>
    <s v="October"/>
    <n v="2023"/>
    <x v="1"/>
    <x v="1"/>
  </r>
  <r>
    <d v="2024-05-29T00:00:00"/>
    <s v="ORD-001197"/>
    <x v="3"/>
    <x v="37"/>
    <n v="14095.73"/>
    <s v="East"/>
    <n v="14190.73"/>
    <n v="95"/>
    <n v="26"/>
    <n v="3"/>
    <s v="May"/>
    <n v="2024"/>
    <x v="0"/>
    <x v="2"/>
  </r>
  <r>
    <d v="2025-12-14T00:00:00"/>
    <s v="ORD-001198"/>
    <x v="2"/>
    <x v="35"/>
    <n v="1895.38"/>
    <s v="Central"/>
    <n v="2242.5700000000002"/>
    <n v="347.19"/>
    <n v="30"/>
    <n v="3"/>
    <s v="December"/>
    <n v="2025"/>
    <x v="0"/>
    <x v="2"/>
  </r>
  <r>
    <d v="2025-07-21T00:00:00"/>
    <s v="ORD-001199"/>
    <x v="2"/>
    <x v="2"/>
    <n v="248.56"/>
    <s v="South"/>
    <n v="368.72"/>
    <n v="120.16"/>
    <n v="0"/>
    <n v="1"/>
    <s v="July"/>
    <n v="2025"/>
    <x v="2"/>
    <x v="1"/>
  </r>
  <r>
    <d v="2023-05-29T00:00:00"/>
    <s v="ORD-001200"/>
    <x v="0"/>
    <x v="8"/>
    <n v="263.66000000000003"/>
    <s v="West"/>
    <n v="510.18"/>
    <n v="246.52"/>
    <n v="15"/>
    <n v="1"/>
    <s v="May"/>
    <n v="2023"/>
    <x v="0"/>
    <x v="0"/>
  </r>
  <r>
    <d v="2025-03-03T00:00:00"/>
    <s v="ORD-001201"/>
    <x v="2"/>
    <x v="35"/>
    <n v="3856.02"/>
    <s v="West"/>
    <n v="5206.4799999999996"/>
    <n v="1350.46"/>
    <n v="15"/>
    <n v="8"/>
    <s v="March"/>
    <n v="2025"/>
    <x v="0"/>
    <x v="0"/>
  </r>
  <r>
    <d v="2023-08-20T00:00:00"/>
    <s v="ORD-001202"/>
    <x v="5"/>
    <x v="33"/>
    <n v="4361.58"/>
    <s v="North"/>
    <n v="8232.81"/>
    <n v="3871.23"/>
    <n v="0"/>
    <n v="4"/>
    <s v="August"/>
    <n v="2023"/>
    <x v="2"/>
    <x v="1"/>
  </r>
  <r>
    <d v="2023-05-31T00:00:00"/>
    <s v="ORD-001203"/>
    <x v="1"/>
    <x v="9"/>
    <n v="1084.6199999999999"/>
    <s v="North"/>
    <n v="1331.14"/>
    <n v="246.52"/>
    <n v="10"/>
    <n v="1"/>
    <s v="May"/>
    <n v="2023"/>
    <x v="1"/>
    <x v="1"/>
  </r>
  <r>
    <d v="2025-09-19T00:00:00"/>
    <s v="ORD-001204"/>
    <x v="4"/>
    <x v="40"/>
    <n v="12732.51"/>
    <s v="North"/>
    <n v="15827.79"/>
    <n v="3095.28"/>
    <n v="10"/>
    <n v="2"/>
    <s v="September"/>
    <n v="2025"/>
    <x v="1"/>
    <x v="1"/>
  </r>
  <r>
    <d v="2023-02-17T00:00:00"/>
    <s v="ORD-001205"/>
    <x v="0"/>
    <x v="17"/>
    <n v="3814.1"/>
    <s v="West"/>
    <n v="7130.07"/>
    <n v="3315.97"/>
    <n v="5"/>
    <n v="3"/>
    <s v="February"/>
    <n v="2023"/>
    <x v="1"/>
    <x v="1"/>
  </r>
  <r>
    <d v="2023-05-11T00:00:00"/>
    <s v="ORD-001206"/>
    <x v="2"/>
    <x v="31"/>
    <n v="971.85"/>
    <s v="North"/>
    <n v="1502.77"/>
    <n v="530.91999999999996"/>
    <n v="15"/>
    <n v="1"/>
    <s v="May"/>
    <n v="2023"/>
    <x v="0"/>
    <x v="0"/>
  </r>
  <r>
    <d v="2024-01-05T00:00:00"/>
    <s v="ORD-001207"/>
    <x v="4"/>
    <x v="11"/>
    <n v="3635.53"/>
    <s v="West"/>
    <n v="4786.97"/>
    <n v="1151.44"/>
    <n v="0"/>
    <n v="2"/>
    <s v="January"/>
    <n v="2024"/>
    <x v="2"/>
    <x v="1"/>
  </r>
  <r>
    <d v="2024-06-22T00:00:00"/>
    <s v="ORD-001208"/>
    <x v="2"/>
    <x v="35"/>
    <n v="1175.8699999999999"/>
    <s v="East"/>
    <n v="1275.4000000000001"/>
    <n v="99.53"/>
    <n v="25"/>
    <n v="1"/>
    <s v="June"/>
    <n v="2024"/>
    <x v="0"/>
    <x v="2"/>
  </r>
  <r>
    <d v="2023-06-05T00:00:00"/>
    <s v="ORD-001209"/>
    <x v="3"/>
    <x v="3"/>
    <n v="14139.77"/>
    <s v="Central"/>
    <n v="16418.62"/>
    <n v="2278.85"/>
    <n v="10"/>
    <n v="2"/>
    <s v="June"/>
    <n v="2023"/>
    <x v="1"/>
    <x v="1"/>
  </r>
  <r>
    <d v="2023-10-26T00:00:00"/>
    <s v="ORD-001210"/>
    <x v="5"/>
    <x v="16"/>
    <n v="418.87"/>
    <s v="Central"/>
    <n v="863.27"/>
    <n v="444.4"/>
    <n v="5"/>
    <n v="1"/>
    <s v="October"/>
    <n v="2023"/>
    <x v="1"/>
    <x v="1"/>
  </r>
  <r>
    <d v="2024-09-03T00:00:00"/>
    <s v="ORD-001211"/>
    <x v="5"/>
    <x v="27"/>
    <n v="16667.54"/>
    <s v="West"/>
    <n v="31341.16"/>
    <n v="14673.62"/>
    <n v="15"/>
    <n v="6"/>
    <s v="September"/>
    <n v="2024"/>
    <x v="0"/>
    <x v="0"/>
  </r>
  <r>
    <d v="2025-07-25T00:00:00"/>
    <s v="ORD-001212"/>
    <x v="4"/>
    <x v="26"/>
    <n v="46307.19"/>
    <s v="West"/>
    <n v="70861.61"/>
    <n v="24554.42"/>
    <n v="5"/>
    <n v="8"/>
    <s v="July"/>
    <n v="2025"/>
    <x v="1"/>
    <x v="1"/>
  </r>
  <r>
    <d v="2025-05-28T00:00:00"/>
    <s v="ORD-001213"/>
    <x v="4"/>
    <x v="42"/>
    <n v="4327.43"/>
    <s v="South"/>
    <n v="6018.11"/>
    <n v="1690.68"/>
    <n v="10"/>
    <n v="3"/>
    <s v="May"/>
    <n v="2025"/>
    <x v="1"/>
    <x v="1"/>
  </r>
  <r>
    <d v="2024-05-21T00:00:00"/>
    <s v="ORD-001214"/>
    <x v="1"/>
    <x v="1"/>
    <n v="7223.25"/>
    <s v="Central"/>
    <n v="9631.09"/>
    <n v="2407.84"/>
    <n v="10"/>
    <n v="5"/>
    <s v="May"/>
    <n v="2024"/>
    <x v="1"/>
    <x v="1"/>
  </r>
  <r>
    <d v="2023-08-09T00:00:00"/>
    <s v="ORD-001215"/>
    <x v="3"/>
    <x v="22"/>
    <n v="4001.96"/>
    <s v="South"/>
    <n v="5571.24"/>
    <n v="1569.28"/>
    <n v="0"/>
    <n v="1"/>
    <s v="August"/>
    <n v="2023"/>
    <x v="2"/>
    <x v="1"/>
  </r>
  <r>
    <d v="2025-01-16T00:00:00"/>
    <s v="ORD-001216"/>
    <x v="0"/>
    <x v="4"/>
    <n v="4582.13"/>
    <s v="North"/>
    <n v="9722.2000000000007"/>
    <n v="5140.07"/>
    <n v="0"/>
    <n v="4"/>
    <s v="January"/>
    <n v="2025"/>
    <x v="2"/>
    <x v="1"/>
  </r>
  <r>
    <d v="2024-05-29T00:00:00"/>
    <s v="ORD-001217"/>
    <x v="3"/>
    <x v="3"/>
    <n v="25946.47"/>
    <s v="North"/>
    <n v="26724.86"/>
    <n v="778.39"/>
    <n v="25"/>
    <n v="5"/>
    <s v="May"/>
    <n v="2024"/>
    <x v="0"/>
    <x v="2"/>
  </r>
  <r>
    <d v="2024-10-15T00:00:00"/>
    <s v="ORD-001218"/>
    <x v="4"/>
    <x v="30"/>
    <n v="3594.98"/>
    <s v="West"/>
    <n v="4503.96"/>
    <n v="908.98"/>
    <n v="10"/>
    <n v="2"/>
    <s v="October"/>
    <n v="2024"/>
    <x v="1"/>
    <x v="1"/>
  </r>
  <r>
    <d v="2024-02-27T00:00:00"/>
    <s v="ORD-001219"/>
    <x v="2"/>
    <x v="13"/>
    <n v="907.69"/>
    <s v="South"/>
    <n v="1557.71"/>
    <n v="650.02"/>
    <n v="15"/>
    <n v="2"/>
    <s v="February"/>
    <n v="2024"/>
    <x v="0"/>
    <x v="0"/>
  </r>
  <r>
    <d v="2025-12-12T00:00:00"/>
    <s v="ORD-001220"/>
    <x v="2"/>
    <x v="10"/>
    <n v="215.61"/>
    <s v="Central"/>
    <n v="483.28"/>
    <n v="267.67"/>
    <n v="5"/>
    <n v="2"/>
    <s v="December"/>
    <n v="2025"/>
    <x v="1"/>
    <x v="1"/>
  </r>
  <r>
    <d v="2025-02-25T00:00:00"/>
    <s v="ORD-001221"/>
    <x v="2"/>
    <x v="31"/>
    <n v="2580.25"/>
    <s v="South"/>
    <n v="4180.17"/>
    <n v="1599.92"/>
    <n v="5"/>
    <n v="3"/>
    <s v="February"/>
    <n v="2025"/>
    <x v="1"/>
    <x v="1"/>
  </r>
  <r>
    <d v="2023-01-05T00:00:00"/>
    <s v="ORD-001222"/>
    <x v="2"/>
    <x v="10"/>
    <n v="512.72"/>
    <s v="North"/>
    <n v="766.78"/>
    <n v="254.06"/>
    <n v="0"/>
    <n v="1"/>
    <s v="January"/>
    <n v="2023"/>
    <x v="2"/>
    <x v="1"/>
  </r>
  <r>
    <d v="2025-01-16T00:00:00"/>
    <s v="ORD-001223"/>
    <x v="5"/>
    <x v="36"/>
    <n v="3303.15"/>
    <s v="South"/>
    <n v="5148.6400000000003"/>
    <n v="1845.49"/>
    <n v="10"/>
    <n v="1"/>
    <s v="January"/>
    <n v="2025"/>
    <x v="1"/>
    <x v="1"/>
  </r>
  <r>
    <d v="2025-03-16T00:00:00"/>
    <s v="ORD-001224"/>
    <x v="1"/>
    <x v="1"/>
    <n v="2059.25"/>
    <s v="East"/>
    <n v="2426.1799999999998"/>
    <n v="366.93"/>
    <n v="15"/>
    <n v="1"/>
    <s v="March"/>
    <n v="2025"/>
    <x v="0"/>
    <x v="0"/>
  </r>
  <r>
    <d v="2023-01-24T00:00:00"/>
    <s v="ORD-001225"/>
    <x v="3"/>
    <x v="28"/>
    <n v="3867.89"/>
    <s v="South"/>
    <n v="4730.3999999999996"/>
    <n v="862.51"/>
    <n v="0"/>
    <n v="1"/>
    <s v="January"/>
    <n v="2023"/>
    <x v="2"/>
    <x v="1"/>
  </r>
  <r>
    <d v="2023-11-21T00:00:00"/>
    <s v="ORD-001226"/>
    <x v="0"/>
    <x v="41"/>
    <n v="1262.1300000000001"/>
    <s v="North"/>
    <n v="1523.6"/>
    <n v="261.47000000000003"/>
    <n v="25"/>
    <n v="2"/>
    <s v="November"/>
    <n v="2023"/>
    <x v="0"/>
    <x v="2"/>
  </r>
  <r>
    <d v="2024-07-03T00:00:00"/>
    <s v="ORD-001227"/>
    <x v="1"/>
    <x v="19"/>
    <n v="3156.22"/>
    <s v="West"/>
    <n v="4130.32"/>
    <n v="974.1"/>
    <n v="20"/>
    <n v="2"/>
    <s v="July"/>
    <n v="2024"/>
    <x v="0"/>
    <x v="0"/>
  </r>
  <r>
    <d v="2025-05-05T00:00:00"/>
    <s v="ORD-001228"/>
    <x v="2"/>
    <x v="25"/>
    <n v="632.04"/>
    <s v="North"/>
    <n v="1075.1600000000001"/>
    <n v="443.12"/>
    <n v="10"/>
    <n v="2"/>
    <s v="May"/>
    <n v="2025"/>
    <x v="1"/>
    <x v="1"/>
  </r>
  <r>
    <d v="2025-04-26T00:00:00"/>
    <s v="ORD-001229"/>
    <x v="1"/>
    <x v="24"/>
    <n v="29981.72"/>
    <s v="West"/>
    <n v="36770.94"/>
    <n v="6789.22"/>
    <n v="15"/>
    <n v="3"/>
    <s v="April"/>
    <n v="2025"/>
    <x v="0"/>
    <x v="0"/>
  </r>
  <r>
    <d v="2023-01-11T00:00:00"/>
    <s v="ORD-001230"/>
    <x v="5"/>
    <x v="16"/>
    <n v="4387.8900000000003"/>
    <s v="Central"/>
    <n v="8175.64"/>
    <n v="3787.75"/>
    <n v="0"/>
    <n v="3"/>
    <s v="January"/>
    <n v="2023"/>
    <x v="2"/>
    <x v="1"/>
  </r>
  <r>
    <d v="2025-09-29T00:00:00"/>
    <s v="ORD-001231"/>
    <x v="5"/>
    <x v="18"/>
    <n v="4673.7299999999996"/>
    <s v="South"/>
    <n v="7963.61"/>
    <n v="3289.88"/>
    <n v="5"/>
    <n v="2"/>
    <s v="September"/>
    <n v="2025"/>
    <x v="1"/>
    <x v="1"/>
  </r>
  <r>
    <d v="2025-11-20T00:00:00"/>
    <s v="ORD-001232"/>
    <x v="4"/>
    <x v="30"/>
    <n v="11369.11"/>
    <s v="South"/>
    <n v="18388.88"/>
    <n v="7019.77"/>
    <n v="5"/>
    <n v="1"/>
    <s v="November"/>
    <n v="2025"/>
    <x v="1"/>
    <x v="1"/>
  </r>
  <r>
    <d v="2025-11-06T00:00:00"/>
    <s v="ORD-001233"/>
    <x v="3"/>
    <x v="22"/>
    <n v="4068.86"/>
    <s v="South"/>
    <n v="4549.37"/>
    <n v="480.51"/>
    <n v="5"/>
    <n v="1"/>
    <s v="November"/>
    <n v="2025"/>
    <x v="1"/>
    <x v="1"/>
  </r>
  <r>
    <d v="2024-11-14T00:00:00"/>
    <s v="ORD-001234"/>
    <x v="5"/>
    <x v="20"/>
    <n v="2687.02"/>
    <s v="North"/>
    <n v="4292.82"/>
    <n v="1605.8"/>
    <n v="20"/>
    <n v="2"/>
    <s v="November"/>
    <n v="2024"/>
    <x v="0"/>
    <x v="0"/>
  </r>
  <r>
    <d v="2023-05-04T00:00:00"/>
    <s v="ORD-001235"/>
    <x v="3"/>
    <x v="32"/>
    <n v="8534.7800000000007"/>
    <s v="North"/>
    <n v="10998.31"/>
    <n v="2463.5300000000002"/>
    <n v="5"/>
    <n v="2"/>
    <s v="May"/>
    <n v="2023"/>
    <x v="1"/>
    <x v="1"/>
  </r>
  <r>
    <d v="2023-09-29T00:00:00"/>
    <s v="ORD-001236"/>
    <x v="0"/>
    <x v="17"/>
    <n v="2789.6"/>
    <s v="West"/>
    <n v="5153.12"/>
    <n v="2363.52"/>
    <n v="0"/>
    <n v="2"/>
    <s v="September"/>
    <n v="2023"/>
    <x v="2"/>
    <x v="1"/>
  </r>
  <r>
    <d v="2024-10-07T00:00:00"/>
    <s v="ORD-001237"/>
    <x v="1"/>
    <x v="9"/>
    <n v="3066.55"/>
    <s v="Central"/>
    <n v="3158.55"/>
    <n v="92"/>
    <n v="20"/>
    <n v="1"/>
    <s v="October"/>
    <n v="2024"/>
    <x v="0"/>
    <x v="0"/>
  </r>
  <r>
    <d v="2023-01-18T00:00:00"/>
    <s v="ORD-001238"/>
    <x v="0"/>
    <x v="17"/>
    <n v="462.98"/>
    <s v="North"/>
    <n v="654.17999999999995"/>
    <n v="191.2"/>
    <n v="30"/>
    <n v="2"/>
    <s v="January"/>
    <n v="2023"/>
    <x v="0"/>
    <x v="2"/>
  </r>
  <r>
    <d v="2024-04-12T00:00:00"/>
    <s v="ORD-001239"/>
    <x v="2"/>
    <x v="35"/>
    <n v="683.53"/>
    <s v="North"/>
    <n v="900.26"/>
    <n v="216.73"/>
    <n v="15"/>
    <n v="1"/>
    <s v="April"/>
    <n v="2024"/>
    <x v="0"/>
    <x v="0"/>
  </r>
  <r>
    <d v="2025-05-18T00:00:00"/>
    <s v="ORD-001240"/>
    <x v="2"/>
    <x v="2"/>
    <n v="257.27"/>
    <s v="Central"/>
    <n v="433.76"/>
    <n v="176.49"/>
    <n v="0"/>
    <n v="1"/>
    <s v="May"/>
    <n v="2025"/>
    <x v="2"/>
    <x v="1"/>
  </r>
  <r>
    <d v="2024-03-10T00:00:00"/>
    <s v="ORD-001241"/>
    <x v="3"/>
    <x v="37"/>
    <n v="11703.85"/>
    <s v="North"/>
    <n v="15202.85"/>
    <n v="3499"/>
    <n v="0"/>
    <n v="5"/>
    <s v="March"/>
    <n v="2024"/>
    <x v="2"/>
    <x v="1"/>
  </r>
  <r>
    <d v="2025-02-07T00:00:00"/>
    <s v="ORD-001242"/>
    <x v="5"/>
    <x v="16"/>
    <n v="1164.0999999999999"/>
    <s v="West"/>
    <n v="2743.63"/>
    <n v="1579.53"/>
    <n v="0"/>
    <n v="1"/>
    <s v="February"/>
    <n v="2025"/>
    <x v="2"/>
    <x v="1"/>
  </r>
  <r>
    <d v="2023-10-14T00:00:00"/>
    <s v="ORD-001243"/>
    <x v="3"/>
    <x v="3"/>
    <n v="22246.09"/>
    <s v="Central"/>
    <n v="22319.59"/>
    <n v="73.5"/>
    <n v="22"/>
    <n v="5"/>
    <s v="October"/>
    <n v="2023"/>
    <x v="0"/>
    <x v="2"/>
  </r>
  <r>
    <d v="2024-03-13T00:00:00"/>
    <s v="ORD-001244"/>
    <x v="2"/>
    <x v="25"/>
    <n v="3122.32"/>
    <s v="North"/>
    <n v="4369.45"/>
    <n v="1247.1300000000001"/>
    <n v="10"/>
    <n v="5"/>
    <s v="March"/>
    <n v="2024"/>
    <x v="1"/>
    <x v="1"/>
  </r>
  <r>
    <d v="2023-06-18T00:00:00"/>
    <s v="ORD-001245"/>
    <x v="2"/>
    <x v="2"/>
    <n v="190.76"/>
    <s v="North"/>
    <n v="274.56"/>
    <n v="83.8"/>
    <n v="10"/>
    <n v="1"/>
    <s v="June"/>
    <n v="2023"/>
    <x v="1"/>
    <x v="1"/>
  </r>
  <r>
    <d v="2023-06-01T00:00:00"/>
    <s v="ORD-001246"/>
    <x v="4"/>
    <x v="42"/>
    <n v="15102.78"/>
    <s v="North"/>
    <n v="18183.77"/>
    <n v="3080.99"/>
    <n v="10"/>
    <n v="6"/>
    <s v="June"/>
    <n v="2023"/>
    <x v="1"/>
    <x v="1"/>
  </r>
  <r>
    <d v="2024-06-10T00:00:00"/>
    <s v="ORD-001247"/>
    <x v="1"/>
    <x v="29"/>
    <n v="3694.64"/>
    <s v="South"/>
    <n v="5093.6400000000003"/>
    <n v="1399"/>
    <n v="15"/>
    <n v="3"/>
    <s v="June"/>
    <n v="2024"/>
    <x v="0"/>
    <x v="0"/>
  </r>
  <r>
    <d v="2025-07-25T00:00:00"/>
    <s v="ORD-001248"/>
    <x v="2"/>
    <x v="38"/>
    <n v="636.14"/>
    <s v="West"/>
    <n v="1092.33"/>
    <n v="456.19"/>
    <n v="5"/>
    <n v="2"/>
    <s v="July"/>
    <n v="2025"/>
    <x v="1"/>
    <x v="1"/>
  </r>
  <r>
    <d v="2024-04-28T00:00:00"/>
    <s v="ORD-001249"/>
    <x v="5"/>
    <x v="20"/>
    <n v="5929.9"/>
    <s v="North"/>
    <n v="10286.75"/>
    <n v="4356.8500000000004"/>
    <n v="0"/>
    <n v="2"/>
    <s v="April"/>
    <n v="2024"/>
    <x v="2"/>
    <x v="1"/>
  </r>
  <r>
    <d v="2025-12-03T00:00:00"/>
    <s v="ORD-001250"/>
    <x v="2"/>
    <x v="35"/>
    <n v="218.18"/>
    <s v="North"/>
    <n v="414.37"/>
    <n v="196.19"/>
    <n v="20"/>
    <n v="1"/>
    <s v="December"/>
    <n v="2025"/>
    <x v="0"/>
    <x v="0"/>
  </r>
  <r>
    <d v="2023-10-05T00:00:00"/>
    <s v="ORD-001251"/>
    <x v="5"/>
    <x v="33"/>
    <n v="10442.950000000001"/>
    <s v="East"/>
    <n v="17743.490000000002"/>
    <n v="7300.54"/>
    <n v="10"/>
    <n v="6"/>
    <s v="October"/>
    <n v="2023"/>
    <x v="1"/>
    <x v="1"/>
  </r>
  <r>
    <d v="2023-07-30T00:00:00"/>
    <s v="ORD-001252"/>
    <x v="3"/>
    <x v="22"/>
    <n v="7351.77"/>
    <s v="Central"/>
    <n v="9265.41"/>
    <n v="1913.64"/>
    <n v="5"/>
    <n v="6"/>
    <s v="July"/>
    <n v="2023"/>
    <x v="1"/>
    <x v="1"/>
  </r>
  <r>
    <d v="2023-08-26T00:00:00"/>
    <s v="ORD-001253"/>
    <x v="5"/>
    <x v="20"/>
    <n v="1112.1400000000001"/>
    <s v="South"/>
    <n v="2562.33"/>
    <n v="1450.19"/>
    <n v="0"/>
    <n v="3"/>
    <s v="August"/>
    <n v="2023"/>
    <x v="2"/>
    <x v="1"/>
  </r>
  <r>
    <d v="2024-03-25T00:00:00"/>
    <s v="ORD-001254"/>
    <x v="3"/>
    <x v="34"/>
    <n v="9551.89"/>
    <s v="Central"/>
    <n v="12036.94"/>
    <n v="2485.0500000000002"/>
    <n v="15"/>
    <n v="2"/>
    <s v="March"/>
    <n v="2024"/>
    <x v="0"/>
    <x v="0"/>
  </r>
  <r>
    <d v="2024-11-25T00:00:00"/>
    <s v="ORD-001255"/>
    <x v="1"/>
    <x v="5"/>
    <n v="7475.16"/>
    <s v="North"/>
    <n v="9787.81"/>
    <n v="2312.65"/>
    <n v="20"/>
    <n v="6"/>
    <s v="November"/>
    <n v="2024"/>
    <x v="0"/>
    <x v="0"/>
  </r>
  <r>
    <d v="2023-06-08T00:00:00"/>
    <s v="ORD-001256"/>
    <x v="0"/>
    <x v="6"/>
    <n v="669.64"/>
    <s v="South"/>
    <n v="1350.59"/>
    <n v="680.95"/>
    <n v="15"/>
    <n v="1"/>
    <s v="June"/>
    <n v="2023"/>
    <x v="0"/>
    <x v="0"/>
  </r>
  <r>
    <d v="2024-02-25T00:00:00"/>
    <s v="ORD-001257"/>
    <x v="3"/>
    <x v="3"/>
    <n v="1375.66"/>
    <s v="Central"/>
    <n v="1498.77"/>
    <n v="123.11"/>
    <n v="10"/>
    <n v="1"/>
    <s v="February"/>
    <n v="2024"/>
    <x v="1"/>
    <x v="1"/>
  </r>
  <r>
    <d v="2023-02-11T00:00:00"/>
    <s v="ORD-001258"/>
    <x v="4"/>
    <x v="7"/>
    <n v="15782.56"/>
    <s v="South"/>
    <n v="18346.03"/>
    <n v="2563.4699999999998"/>
    <n v="15"/>
    <n v="2"/>
    <s v="February"/>
    <n v="2023"/>
    <x v="0"/>
    <x v="0"/>
  </r>
  <r>
    <d v="2023-02-05T00:00:00"/>
    <s v="ORD-001259"/>
    <x v="3"/>
    <x v="15"/>
    <n v="31171.46"/>
    <s v="North"/>
    <n v="37228.28"/>
    <n v="6056.82"/>
    <n v="15"/>
    <n v="2"/>
    <s v="February"/>
    <n v="2023"/>
    <x v="0"/>
    <x v="0"/>
  </r>
  <r>
    <d v="2024-08-22T00:00:00"/>
    <s v="ORD-001260"/>
    <x v="1"/>
    <x v="29"/>
    <n v="6750.36"/>
    <s v="North"/>
    <n v="6907.59"/>
    <n v="157.22999999999999"/>
    <n v="25"/>
    <n v="2"/>
    <s v="August"/>
    <n v="2024"/>
    <x v="0"/>
    <x v="2"/>
  </r>
  <r>
    <d v="2023-04-25T00:00:00"/>
    <s v="ORD-001261"/>
    <x v="4"/>
    <x v="11"/>
    <n v="71985.62"/>
    <s v="Central"/>
    <n v="98415.360000000001"/>
    <n v="26429.74"/>
    <n v="10"/>
    <n v="6"/>
    <s v="April"/>
    <n v="2023"/>
    <x v="1"/>
    <x v="1"/>
  </r>
  <r>
    <d v="2023-03-24T00:00:00"/>
    <s v="ORD-001262"/>
    <x v="2"/>
    <x v="35"/>
    <n v="157.80000000000001"/>
    <s v="West"/>
    <n v="252.06"/>
    <n v="94.26"/>
    <n v="0"/>
    <n v="3"/>
    <s v="March"/>
    <n v="2023"/>
    <x v="2"/>
    <x v="1"/>
  </r>
  <r>
    <d v="2025-01-19T00:00:00"/>
    <s v="ORD-001263"/>
    <x v="1"/>
    <x v="29"/>
    <n v="1555.35"/>
    <s v="East"/>
    <n v="2064.6"/>
    <n v="509.25"/>
    <n v="10"/>
    <n v="1"/>
    <s v="January"/>
    <n v="2025"/>
    <x v="1"/>
    <x v="1"/>
  </r>
  <r>
    <d v="2025-04-20T00:00:00"/>
    <s v="ORD-001264"/>
    <x v="0"/>
    <x v="41"/>
    <n v="4629.6000000000004"/>
    <s v="West"/>
    <n v="6749.19"/>
    <n v="2119.59"/>
    <n v="10"/>
    <n v="5"/>
    <s v="April"/>
    <n v="2025"/>
    <x v="1"/>
    <x v="1"/>
  </r>
  <r>
    <d v="2024-03-24T00:00:00"/>
    <s v="ORD-001265"/>
    <x v="3"/>
    <x v="32"/>
    <n v="8537.85"/>
    <s v="North"/>
    <n v="9728.6200000000008"/>
    <n v="1190.77"/>
    <n v="10"/>
    <n v="2"/>
    <s v="March"/>
    <n v="2024"/>
    <x v="1"/>
    <x v="1"/>
  </r>
  <r>
    <d v="2023-05-27T00:00:00"/>
    <s v="ORD-001266"/>
    <x v="2"/>
    <x v="38"/>
    <n v="342.78"/>
    <s v="South"/>
    <n v="603.01"/>
    <n v="260.23"/>
    <n v="10"/>
    <n v="1"/>
    <s v="May"/>
    <n v="2023"/>
    <x v="1"/>
    <x v="1"/>
  </r>
  <r>
    <d v="2025-07-06T00:00:00"/>
    <s v="ORD-001267"/>
    <x v="3"/>
    <x v="22"/>
    <n v="2994.91"/>
    <s v="West"/>
    <n v="3725.46"/>
    <n v="730.55"/>
    <n v="5"/>
    <n v="2"/>
    <s v="July"/>
    <n v="2025"/>
    <x v="1"/>
    <x v="1"/>
  </r>
  <r>
    <d v="2025-12-21T00:00:00"/>
    <s v="ORD-001268"/>
    <x v="3"/>
    <x v="28"/>
    <n v="50317.49"/>
    <s v="West"/>
    <n v="58994.84"/>
    <n v="8677.35"/>
    <n v="15"/>
    <n v="3"/>
    <s v="December"/>
    <n v="2025"/>
    <x v="0"/>
    <x v="0"/>
  </r>
  <r>
    <d v="2024-08-29T00:00:00"/>
    <s v="ORD-001269"/>
    <x v="3"/>
    <x v="28"/>
    <n v="20885.259999999998"/>
    <s v="West"/>
    <n v="21931.48"/>
    <n v="1046.22"/>
    <n v="10"/>
    <n v="3"/>
    <s v="August"/>
    <n v="2024"/>
    <x v="1"/>
    <x v="1"/>
  </r>
  <r>
    <d v="2024-03-25T00:00:00"/>
    <s v="ORD-001270"/>
    <x v="1"/>
    <x v="1"/>
    <n v="2090.61"/>
    <s v="North"/>
    <n v="2412.0500000000002"/>
    <n v="321.44"/>
    <n v="25"/>
    <n v="2"/>
    <s v="March"/>
    <n v="2024"/>
    <x v="0"/>
    <x v="2"/>
  </r>
  <r>
    <d v="2025-12-18T00:00:00"/>
    <s v="ORD-001271"/>
    <x v="2"/>
    <x v="13"/>
    <n v="4596.53"/>
    <s v="North"/>
    <n v="7149.02"/>
    <n v="2552.4899999999998"/>
    <n v="0"/>
    <n v="10"/>
    <s v="December"/>
    <n v="2025"/>
    <x v="2"/>
    <x v="1"/>
  </r>
  <r>
    <d v="2023-01-02T00:00:00"/>
    <s v="ORD-001272"/>
    <x v="4"/>
    <x v="40"/>
    <n v="2432.0500000000002"/>
    <s v="South"/>
    <n v="3846.95"/>
    <n v="1414.9"/>
    <n v="0"/>
    <n v="1"/>
    <s v="January"/>
    <n v="2023"/>
    <x v="2"/>
    <x v="1"/>
  </r>
  <r>
    <d v="2024-09-09T00:00:00"/>
    <s v="ORD-001273"/>
    <x v="4"/>
    <x v="42"/>
    <n v="5131.6499999999996"/>
    <s v="North"/>
    <n v="7892.62"/>
    <n v="2760.97"/>
    <n v="10"/>
    <n v="2"/>
    <s v="September"/>
    <n v="2024"/>
    <x v="1"/>
    <x v="1"/>
  </r>
  <r>
    <d v="2023-09-07T00:00:00"/>
    <s v="ORD-001274"/>
    <x v="5"/>
    <x v="18"/>
    <n v="2522.19"/>
    <s v="East"/>
    <n v="4367.38"/>
    <n v="1845.19"/>
    <n v="15"/>
    <n v="2"/>
    <s v="September"/>
    <n v="2023"/>
    <x v="0"/>
    <x v="0"/>
  </r>
  <r>
    <d v="2025-08-24T00:00:00"/>
    <s v="ORD-001275"/>
    <x v="0"/>
    <x v="17"/>
    <n v="7143.68"/>
    <s v="South"/>
    <n v="11096.39"/>
    <n v="3952.71"/>
    <n v="10"/>
    <n v="8"/>
    <s v="August"/>
    <n v="2025"/>
    <x v="1"/>
    <x v="1"/>
  </r>
  <r>
    <d v="2023-04-20T00:00:00"/>
    <s v="ORD-001276"/>
    <x v="3"/>
    <x v="3"/>
    <n v="3326.35"/>
    <s v="West"/>
    <n v="3692.62"/>
    <n v="366.27"/>
    <n v="15"/>
    <n v="2"/>
    <s v="April"/>
    <n v="2023"/>
    <x v="0"/>
    <x v="0"/>
  </r>
  <r>
    <d v="2023-09-09T00:00:00"/>
    <s v="ORD-001277"/>
    <x v="2"/>
    <x v="10"/>
    <n v="518.52"/>
    <s v="East"/>
    <n v="773.71"/>
    <n v="255.19"/>
    <n v="30"/>
    <n v="5"/>
    <s v="September"/>
    <n v="2023"/>
    <x v="0"/>
    <x v="2"/>
  </r>
  <r>
    <d v="2025-04-18T00:00:00"/>
    <s v="ORD-001278"/>
    <x v="5"/>
    <x v="33"/>
    <n v="2967.45"/>
    <s v="South"/>
    <n v="4272.54"/>
    <n v="1305.0899999999999"/>
    <n v="25"/>
    <n v="1"/>
    <s v="April"/>
    <n v="2025"/>
    <x v="0"/>
    <x v="2"/>
  </r>
  <r>
    <d v="2024-09-10T00:00:00"/>
    <s v="ORD-001279"/>
    <x v="5"/>
    <x v="20"/>
    <n v="4388.6099999999997"/>
    <s v="North"/>
    <n v="5823.75"/>
    <n v="1435.14"/>
    <n v="15"/>
    <n v="4"/>
    <s v="September"/>
    <n v="2024"/>
    <x v="0"/>
    <x v="0"/>
  </r>
  <r>
    <d v="2023-05-04T00:00:00"/>
    <s v="ORD-001280"/>
    <x v="3"/>
    <x v="32"/>
    <n v="4529.2"/>
    <s v="South"/>
    <n v="5952.33"/>
    <n v="1423.13"/>
    <n v="0"/>
    <n v="4"/>
    <s v="May"/>
    <n v="2023"/>
    <x v="2"/>
    <x v="1"/>
  </r>
  <r>
    <d v="2024-12-18T00:00:00"/>
    <s v="ORD-001281"/>
    <x v="5"/>
    <x v="33"/>
    <n v="4039.1"/>
    <s v="North"/>
    <n v="6472.64"/>
    <n v="2433.54"/>
    <n v="15"/>
    <n v="4"/>
    <s v="December"/>
    <n v="2024"/>
    <x v="0"/>
    <x v="0"/>
  </r>
  <r>
    <d v="2023-08-31T00:00:00"/>
    <s v="ORD-001282"/>
    <x v="0"/>
    <x v="41"/>
    <n v="1824.99"/>
    <s v="South"/>
    <n v="2492.9299999999998"/>
    <n v="667.94"/>
    <n v="20"/>
    <n v="2"/>
    <s v="August"/>
    <n v="2023"/>
    <x v="0"/>
    <x v="0"/>
  </r>
  <r>
    <d v="2025-09-05T00:00:00"/>
    <s v="ORD-001283"/>
    <x v="3"/>
    <x v="34"/>
    <n v="3946.77"/>
    <s v="Central"/>
    <n v="4352.2299999999996"/>
    <n v="405.46"/>
    <n v="10"/>
    <n v="4"/>
    <s v="September"/>
    <n v="2025"/>
    <x v="1"/>
    <x v="1"/>
  </r>
  <r>
    <d v="2023-12-29T00:00:00"/>
    <s v="ORD-001284"/>
    <x v="1"/>
    <x v="23"/>
    <n v="42439.07"/>
    <s v="West"/>
    <n v="56108.99"/>
    <n v="13669.92"/>
    <n v="5"/>
    <n v="4"/>
    <s v="December"/>
    <n v="2023"/>
    <x v="1"/>
    <x v="1"/>
  </r>
  <r>
    <d v="2024-03-24T00:00:00"/>
    <s v="ORD-001285"/>
    <x v="2"/>
    <x v="13"/>
    <n v="735.91"/>
    <s v="East"/>
    <n v="1219.03"/>
    <n v="483.12"/>
    <n v="5"/>
    <n v="4"/>
    <s v="March"/>
    <n v="2024"/>
    <x v="1"/>
    <x v="1"/>
  </r>
  <r>
    <d v="2024-04-18T00:00:00"/>
    <s v="ORD-001286"/>
    <x v="0"/>
    <x v="17"/>
    <n v="1039.02"/>
    <s v="South"/>
    <n v="1709.01"/>
    <n v="669.99"/>
    <n v="10"/>
    <n v="1"/>
    <s v="April"/>
    <n v="2024"/>
    <x v="1"/>
    <x v="1"/>
  </r>
  <r>
    <d v="2024-11-03T00:00:00"/>
    <s v="ORD-001287"/>
    <x v="2"/>
    <x v="2"/>
    <n v="478.74"/>
    <s v="East"/>
    <n v="707.19"/>
    <n v="228.45"/>
    <n v="20"/>
    <n v="2"/>
    <s v="November"/>
    <n v="2024"/>
    <x v="0"/>
    <x v="0"/>
  </r>
  <r>
    <d v="2023-08-11T00:00:00"/>
    <s v="ORD-001288"/>
    <x v="1"/>
    <x v="9"/>
    <n v="46021.75"/>
    <s v="East"/>
    <n v="71357.8"/>
    <n v="25336.05"/>
    <n v="5"/>
    <n v="5"/>
    <s v="August"/>
    <n v="2023"/>
    <x v="1"/>
    <x v="1"/>
  </r>
  <r>
    <d v="2024-09-01T00:00:00"/>
    <s v="ORD-001289"/>
    <x v="4"/>
    <x v="42"/>
    <n v="55250.81"/>
    <s v="South"/>
    <n v="62289.73"/>
    <n v="7038.92"/>
    <n v="20"/>
    <n v="4"/>
    <s v="September"/>
    <n v="2024"/>
    <x v="0"/>
    <x v="0"/>
  </r>
  <r>
    <d v="2025-02-28T00:00:00"/>
    <s v="ORD-001290"/>
    <x v="1"/>
    <x v="19"/>
    <n v="4567.46"/>
    <s v="West"/>
    <n v="5600.59"/>
    <n v="1033.1300000000001"/>
    <n v="0"/>
    <n v="1"/>
    <s v="February"/>
    <n v="2025"/>
    <x v="2"/>
    <x v="1"/>
  </r>
  <r>
    <d v="2024-06-05T00:00:00"/>
    <s v="ORD-001291"/>
    <x v="5"/>
    <x v="18"/>
    <n v="554.16999999999996"/>
    <s v="South"/>
    <n v="789.72"/>
    <n v="235.55"/>
    <n v="10"/>
    <n v="1"/>
    <s v="June"/>
    <n v="2024"/>
    <x v="1"/>
    <x v="1"/>
  </r>
  <r>
    <d v="2024-03-08T00:00:00"/>
    <s v="ORD-001292"/>
    <x v="4"/>
    <x v="42"/>
    <n v="1598.43"/>
    <s v="South"/>
    <n v="1821.99"/>
    <n v="223.56"/>
    <n v="10"/>
    <n v="1"/>
    <s v="March"/>
    <n v="2024"/>
    <x v="1"/>
    <x v="1"/>
  </r>
  <r>
    <d v="2025-07-08T00:00:00"/>
    <s v="ORD-001293"/>
    <x v="3"/>
    <x v="12"/>
    <n v="98822.46"/>
    <s v="West"/>
    <n v="133022.37"/>
    <n v="34199.910000000003"/>
    <n v="0"/>
    <n v="6"/>
    <s v="July"/>
    <n v="2025"/>
    <x v="2"/>
    <x v="1"/>
  </r>
  <r>
    <d v="2025-06-29T00:00:00"/>
    <s v="ORD-001294"/>
    <x v="0"/>
    <x v="8"/>
    <n v="3946.5"/>
    <s v="South"/>
    <n v="4405.54"/>
    <n v="459.04"/>
    <n v="30"/>
    <n v="2"/>
    <s v="June"/>
    <n v="2025"/>
    <x v="0"/>
    <x v="2"/>
  </r>
  <r>
    <d v="2024-09-02T00:00:00"/>
    <s v="ORD-001295"/>
    <x v="2"/>
    <x v="2"/>
    <n v="591.32000000000005"/>
    <s v="West"/>
    <n v="1111.97"/>
    <n v="520.65"/>
    <n v="10"/>
    <n v="1"/>
    <s v="September"/>
    <n v="2024"/>
    <x v="1"/>
    <x v="1"/>
  </r>
  <r>
    <d v="2024-03-06T00:00:00"/>
    <s v="ORD-001296"/>
    <x v="4"/>
    <x v="39"/>
    <n v="4330.3900000000003"/>
    <s v="West"/>
    <n v="5659.5"/>
    <n v="1329.11"/>
    <n v="20"/>
    <n v="3"/>
    <s v="March"/>
    <n v="2024"/>
    <x v="0"/>
    <x v="0"/>
  </r>
  <r>
    <d v="2024-10-21T00:00:00"/>
    <s v="ORD-001297"/>
    <x v="1"/>
    <x v="9"/>
    <n v="2946.41"/>
    <s v="West"/>
    <n v="2959.96"/>
    <n v="13.55"/>
    <n v="23"/>
    <n v="1"/>
    <s v="October"/>
    <n v="2024"/>
    <x v="0"/>
    <x v="2"/>
  </r>
  <r>
    <d v="2023-08-31T00:00:00"/>
    <s v="ORD-001298"/>
    <x v="0"/>
    <x v="4"/>
    <n v="1773.51"/>
    <s v="South"/>
    <n v="2650.02"/>
    <n v="876.51"/>
    <n v="20"/>
    <n v="2"/>
    <s v="August"/>
    <n v="2023"/>
    <x v="0"/>
    <x v="0"/>
  </r>
  <r>
    <d v="2024-03-21T00:00:00"/>
    <s v="ORD-001299"/>
    <x v="0"/>
    <x v="17"/>
    <n v="910.62"/>
    <s v="West"/>
    <n v="1791.88"/>
    <n v="881.26"/>
    <n v="0"/>
    <n v="1"/>
    <s v="March"/>
    <n v="2024"/>
    <x v="2"/>
    <x v="1"/>
  </r>
  <r>
    <d v="2024-10-29T00:00:00"/>
    <s v="ORD-001300"/>
    <x v="4"/>
    <x v="40"/>
    <n v="25803.65"/>
    <s v="West"/>
    <n v="33127.46"/>
    <n v="7323.81"/>
    <n v="25"/>
    <n v="5"/>
    <s v="October"/>
    <n v="2024"/>
    <x v="0"/>
    <x v="2"/>
  </r>
  <r>
    <d v="2025-11-06T00:00:00"/>
    <s v="ORD-001301"/>
    <x v="4"/>
    <x v="26"/>
    <n v="14520.78"/>
    <s v="West"/>
    <n v="17738.43"/>
    <n v="3217.65"/>
    <n v="5"/>
    <n v="1"/>
    <s v="November"/>
    <n v="2025"/>
    <x v="1"/>
    <x v="1"/>
  </r>
  <r>
    <d v="2023-01-07T00:00:00"/>
    <s v="ORD-001302"/>
    <x v="2"/>
    <x v="10"/>
    <n v="706.99"/>
    <s v="Central"/>
    <n v="1168.3399999999999"/>
    <n v="461.35"/>
    <n v="0"/>
    <n v="1"/>
    <s v="January"/>
    <n v="2023"/>
    <x v="2"/>
    <x v="1"/>
  </r>
  <r>
    <d v="2025-10-25T00:00:00"/>
    <s v="ORD-001303"/>
    <x v="2"/>
    <x v="13"/>
    <n v="782.77"/>
    <s v="West"/>
    <n v="1099.72"/>
    <n v="316.95"/>
    <n v="20"/>
    <n v="3"/>
    <s v="October"/>
    <n v="2025"/>
    <x v="0"/>
    <x v="0"/>
  </r>
  <r>
    <d v="2024-04-11T00:00:00"/>
    <s v="ORD-001304"/>
    <x v="4"/>
    <x v="11"/>
    <n v="11473.85"/>
    <s v="South"/>
    <n v="16977.66"/>
    <n v="5503.81"/>
    <n v="10"/>
    <n v="2"/>
    <s v="April"/>
    <n v="2024"/>
    <x v="1"/>
    <x v="1"/>
  </r>
  <r>
    <d v="2023-01-15T00:00:00"/>
    <s v="ORD-001305"/>
    <x v="4"/>
    <x v="30"/>
    <n v="7608.93"/>
    <s v="East"/>
    <n v="12689.01"/>
    <n v="5080.08"/>
    <n v="0"/>
    <n v="3"/>
    <s v="January"/>
    <n v="2023"/>
    <x v="2"/>
    <x v="1"/>
  </r>
  <r>
    <d v="2023-05-11T00:00:00"/>
    <s v="ORD-001306"/>
    <x v="4"/>
    <x v="40"/>
    <n v="4413.78"/>
    <s v="East"/>
    <n v="5524.18"/>
    <n v="1110.4000000000001"/>
    <n v="15"/>
    <n v="3"/>
    <s v="May"/>
    <n v="2023"/>
    <x v="0"/>
    <x v="0"/>
  </r>
  <r>
    <d v="2023-08-18T00:00:00"/>
    <s v="ORD-001307"/>
    <x v="0"/>
    <x v="21"/>
    <n v="2337.15"/>
    <s v="Central"/>
    <n v="3971.61"/>
    <n v="1634.46"/>
    <n v="5"/>
    <n v="2"/>
    <s v="August"/>
    <n v="2023"/>
    <x v="1"/>
    <x v="1"/>
  </r>
  <r>
    <d v="2024-06-29T00:00:00"/>
    <s v="ORD-001308"/>
    <x v="0"/>
    <x v="17"/>
    <n v="896.05"/>
    <s v="East"/>
    <n v="1056.51"/>
    <n v="160.46"/>
    <n v="30"/>
    <n v="2"/>
    <s v="June"/>
    <n v="2024"/>
    <x v="0"/>
    <x v="2"/>
  </r>
  <r>
    <d v="2025-09-18T00:00:00"/>
    <s v="ORD-001309"/>
    <x v="1"/>
    <x v="9"/>
    <n v="1654.88"/>
    <s v="East"/>
    <n v="2035.78"/>
    <n v="380.9"/>
    <n v="20"/>
    <n v="1"/>
    <s v="September"/>
    <n v="2025"/>
    <x v="0"/>
    <x v="0"/>
  </r>
  <r>
    <d v="2025-03-24T00:00:00"/>
    <s v="ORD-001310"/>
    <x v="2"/>
    <x v="10"/>
    <n v="471.34"/>
    <s v="North"/>
    <n v="776.84"/>
    <n v="305.5"/>
    <n v="10"/>
    <n v="1"/>
    <s v="March"/>
    <n v="2025"/>
    <x v="1"/>
    <x v="1"/>
  </r>
  <r>
    <d v="2025-01-03T00:00:00"/>
    <s v="ORD-001311"/>
    <x v="2"/>
    <x v="13"/>
    <n v="3043.32"/>
    <s v="East"/>
    <n v="5427.33"/>
    <n v="2384.0100000000002"/>
    <n v="5"/>
    <n v="5"/>
    <s v="January"/>
    <n v="2025"/>
    <x v="1"/>
    <x v="1"/>
  </r>
  <r>
    <d v="2025-12-09T00:00:00"/>
    <s v="ORD-001312"/>
    <x v="5"/>
    <x v="33"/>
    <n v="4800.4799999999996"/>
    <s v="South"/>
    <n v="7810.83"/>
    <n v="3010.35"/>
    <n v="20"/>
    <n v="8"/>
    <s v="December"/>
    <n v="2025"/>
    <x v="0"/>
    <x v="0"/>
  </r>
  <r>
    <d v="2024-07-27T00:00:00"/>
    <s v="ORD-001313"/>
    <x v="3"/>
    <x v="12"/>
    <n v="3150.46"/>
    <s v="North"/>
    <n v="3868.28"/>
    <n v="717.82"/>
    <n v="0"/>
    <n v="1"/>
    <s v="July"/>
    <n v="2024"/>
    <x v="2"/>
    <x v="1"/>
  </r>
  <r>
    <d v="2024-05-20T00:00:00"/>
    <s v="ORD-001314"/>
    <x v="2"/>
    <x v="31"/>
    <n v="190.61"/>
    <s v="West"/>
    <n v="328.92"/>
    <n v="138.31"/>
    <n v="10"/>
    <n v="1"/>
    <s v="May"/>
    <n v="2024"/>
    <x v="1"/>
    <x v="1"/>
  </r>
  <r>
    <d v="2025-01-19T00:00:00"/>
    <s v="ORD-001315"/>
    <x v="1"/>
    <x v="29"/>
    <n v="4966.12"/>
    <s v="North"/>
    <n v="7483.38"/>
    <n v="2517.2600000000002"/>
    <n v="0"/>
    <n v="2"/>
    <s v="January"/>
    <n v="2025"/>
    <x v="2"/>
    <x v="1"/>
  </r>
  <r>
    <d v="2025-04-25T00:00:00"/>
    <s v="ORD-001316"/>
    <x v="2"/>
    <x v="25"/>
    <n v="353.97"/>
    <s v="East"/>
    <n v="674.62"/>
    <n v="320.64999999999998"/>
    <n v="10"/>
    <n v="1"/>
    <s v="April"/>
    <n v="2025"/>
    <x v="1"/>
    <x v="1"/>
  </r>
  <r>
    <d v="2024-06-29T00:00:00"/>
    <s v="ORD-001317"/>
    <x v="5"/>
    <x v="27"/>
    <n v="1535.96"/>
    <s v="South"/>
    <n v="2779.37"/>
    <n v="1243.4100000000001"/>
    <n v="10"/>
    <n v="2"/>
    <s v="June"/>
    <n v="2024"/>
    <x v="1"/>
    <x v="1"/>
  </r>
  <r>
    <d v="2023-08-24T00:00:00"/>
    <s v="ORD-001318"/>
    <x v="3"/>
    <x v="28"/>
    <n v="61071.87"/>
    <s v="West"/>
    <n v="69351.22"/>
    <n v="8279.35"/>
    <n v="5"/>
    <n v="10"/>
    <s v="August"/>
    <n v="2023"/>
    <x v="1"/>
    <x v="1"/>
  </r>
  <r>
    <d v="2024-07-22T00:00:00"/>
    <s v="ORD-001319"/>
    <x v="2"/>
    <x v="25"/>
    <n v="1059.54"/>
    <s v="North"/>
    <n v="1381.3"/>
    <n v="321.76"/>
    <n v="10"/>
    <n v="10"/>
    <s v="July"/>
    <n v="2024"/>
    <x v="1"/>
    <x v="1"/>
  </r>
  <r>
    <d v="2025-08-16T00:00:00"/>
    <s v="ORD-001320"/>
    <x v="4"/>
    <x v="7"/>
    <n v="11876.66"/>
    <s v="South"/>
    <n v="15447.28"/>
    <n v="3570.62"/>
    <n v="10"/>
    <n v="1"/>
    <s v="August"/>
    <n v="2025"/>
    <x v="1"/>
    <x v="1"/>
  </r>
  <r>
    <d v="2023-03-27T00:00:00"/>
    <s v="ORD-001321"/>
    <x v="2"/>
    <x v="13"/>
    <n v="1444.43"/>
    <s v="South"/>
    <n v="2282.56"/>
    <n v="838.13"/>
    <n v="20"/>
    <n v="3"/>
    <s v="March"/>
    <n v="2023"/>
    <x v="0"/>
    <x v="0"/>
  </r>
  <r>
    <d v="2025-03-30T00:00:00"/>
    <s v="ORD-001322"/>
    <x v="5"/>
    <x v="33"/>
    <n v="911.71"/>
    <s v="East"/>
    <n v="1029.44"/>
    <n v="117.73"/>
    <n v="25"/>
    <n v="2"/>
    <s v="March"/>
    <n v="2025"/>
    <x v="0"/>
    <x v="2"/>
  </r>
  <r>
    <d v="2024-01-17T00:00:00"/>
    <s v="ORD-001323"/>
    <x v="0"/>
    <x v="0"/>
    <n v="1009.7"/>
    <s v="West"/>
    <n v="1436.67"/>
    <n v="426.97"/>
    <n v="25"/>
    <n v="3"/>
    <s v="January"/>
    <n v="2024"/>
    <x v="0"/>
    <x v="2"/>
  </r>
  <r>
    <d v="2024-02-13T00:00:00"/>
    <s v="ORD-001324"/>
    <x v="4"/>
    <x v="40"/>
    <n v="18007.849999999999"/>
    <s v="West"/>
    <n v="21217.93"/>
    <n v="3210.08"/>
    <n v="20"/>
    <n v="3"/>
    <s v="February"/>
    <n v="2024"/>
    <x v="0"/>
    <x v="0"/>
  </r>
  <r>
    <d v="2023-04-06T00:00:00"/>
    <s v="ORD-001325"/>
    <x v="3"/>
    <x v="12"/>
    <n v="35402.19"/>
    <s v="North"/>
    <n v="50324.63"/>
    <n v="14922.44"/>
    <n v="5"/>
    <n v="5"/>
    <s v="April"/>
    <n v="2023"/>
    <x v="1"/>
    <x v="1"/>
  </r>
  <r>
    <d v="2025-06-12T00:00:00"/>
    <s v="ORD-001326"/>
    <x v="0"/>
    <x v="6"/>
    <n v="807.7"/>
    <s v="East"/>
    <n v="1318.84"/>
    <n v="511.14"/>
    <n v="15"/>
    <n v="5"/>
    <s v="June"/>
    <n v="2025"/>
    <x v="0"/>
    <x v="0"/>
  </r>
  <r>
    <d v="2024-11-21T00:00:00"/>
    <s v="ORD-001327"/>
    <x v="1"/>
    <x v="1"/>
    <n v="30733.49"/>
    <s v="East"/>
    <n v="35623.57"/>
    <n v="4890.08"/>
    <n v="5"/>
    <n v="4"/>
    <s v="November"/>
    <n v="2024"/>
    <x v="1"/>
    <x v="1"/>
  </r>
  <r>
    <d v="2024-06-20T00:00:00"/>
    <s v="ORD-001328"/>
    <x v="5"/>
    <x v="36"/>
    <n v="4824.68"/>
    <s v="Central"/>
    <n v="9042.98"/>
    <n v="4218.3"/>
    <n v="25"/>
    <n v="4"/>
    <s v="June"/>
    <n v="2024"/>
    <x v="0"/>
    <x v="2"/>
  </r>
  <r>
    <d v="2023-01-01T00:00:00"/>
    <s v="ORD-001329"/>
    <x v="2"/>
    <x v="2"/>
    <n v="88.98"/>
    <s v="North"/>
    <n v="144.72"/>
    <n v="55.74"/>
    <n v="10"/>
    <n v="2"/>
    <s v="January"/>
    <n v="2023"/>
    <x v="1"/>
    <x v="1"/>
  </r>
  <r>
    <d v="2025-07-18T00:00:00"/>
    <s v="ORD-001330"/>
    <x v="4"/>
    <x v="7"/>
    <n v="7014.93"/>
    <s v="East"/>
    <n v="10009.93"/>
    <n v="2995"/>
    <n v="5"/>
    <n v="2"/>
    <s v="July"/>
    <n v="2025"/>
    <x v="1"/>
    <x v="1"/>
  </r>
  <r>
    <d v="2024-03-10T00:00:00"/>
    <s v="ORD-001331"/>
    <x v="0"/>
    <x v="0"/>
    <n v="6790.87"/>
    <s v="South"/>
    <n v="12644.57"/>
    <n v="5853.7"/>
    <n v="0"/>
    <n v="4"/>
    <s v="March"/>
    <n v="2024"/>
    <x v="2"/>
    <x v="1"/>
  </r>
  <r>
    <d v="2023-10-09T00:00:00"/>
    <s v="ORD-001332"/>
    <x v="0"/>
    <x v="8"/>
    <n v="2036.52"/>
    <s v="North"/>
    <n v="2992.55"/>
    <n v="956.03"/>
    <n v="15"/>
    <n v="3"/>
    <s v="October"/>
    <n v="2023"/>
    <x v="0"/>
    <x v="0"/>
  </r>
  <r>
    <d v="2024-10-30T00:00:00"/>
    <s v="ORD-001333"/>
    <x v="0"/>
    <x v="8"/>
    <n v="1722.07"/>
    <s v="East"/>
    <n v="3067.93"/>
    <n v="1345.86"/>
    <n v="5"/>
    <n v="1"/>
    <s v="October"/>
    <n v="2024"/>
    <x v="1"/>
    <x v="1"/>
  </r>
  <r>
    <d v="2023-09-11T00:00:00"/>
    <s v="ORD-001334"/>
    <x v="2"/>
    <x v="38"/>
    <n v="917.07"/>
    <s v="South"/>
    <n v="1491.16"/>
    <n v="574.09"/>
    <n v="10"/>
    <n v="1"/>
    <s v="September"/>
    <n v="2023"/>
    <x v="1"/>
    <x v="1"/>
  </r>
  <r>
    <d v="2025-11-08T00:00:00"/>
    <s v="ORD-001335"/>
    <x v="3"/>
    <x v="32"/>
    <n v="3893.62"/>
    <s v="South"/>
    <n v="3902.93"/>
    <n v="9.31"/>
    <n v="17"/>
    <n v="3"/>
    <s v="November"/>
    <n v="2025"/>
    <x v="0"/>
    <x v="0"/>
  </r>
  <r>
    <d v="2024-11-01T00:00:00"/>
    <s v="ORD-001336"/>
    <x v="1"/>
    <x v="1"/>
    <n v="10065.35"/>
    <s v="South"/>
    <n v="11876.84"/>
    <n v="1811.49"/>
    <n v="5"/>
    <n v="1"/>
    <s v="November"/>
    <n v="2024"/>
    <x v="1"/>
    <x v="1"/>
  </r>
  <r>
    <d v="2025-12-30T00:00:00"/>
    <s v="ORD-001337"/>
    <x v="2"/>
    <x v="31"/>
    <n v="2957.26"/>
    <s v="East"/>
    <n v="5170.53"/>
    <n v="2213.27"/>
    <n v="15"/>
    <n v="4"/>
    <s v="December"/>
    <n v="2025"/>
    <x v="0"/>
    <x v="0"/>
  </r>
  <r>
    <d v="2024-08-15T00:00:00"/>
    <s v="ORD-001338"/>
    <x v="2"/>
    <x v="35"/>
    <n v="255.63"/>
    <s v="North"/>
    <n v="404.13"/>
    <n v="148.5"/>
    <n v="5"/>
    <n v="1"/>
    <s v="August"/>
    <n v="2024"/>
    <x v="1"/>
    <x v="1"/>
  </r>
  <r>
    <d v="2023-06-17T00:00:00"/>
    <s v="ORD-001339"/>
    <x v="2"/>
    <x v="10"/>
    <n v="1368.71"/>
    <s v="North"/>
    <n v="2364.9699999999998"/>
    <n v="996.26"/>
    <n v="25"/>
    <n v="2"/>
    <s v="June"/>
    <n v="2023"/>
    <x v="0"/>
    <x v="2"/>
  </r>
  <r>
    <d v="2025-02-20T00:00:00"/>
    <s v="ORD-001340"/>
    <x v="5"/>
    <x v="18"/>
    <n v="2472.1"/>
    <s v="East"/>
    <n v="4440.1000000000004"/>
    <n v="1968"/>
    <n v="10"/>
    <n v="3"/>
    <s v="February"/>
    <n v="2025"/>
    <x v="1"/>
    <x v="1"/>
  </r>
  <r>
    <d v="2023-01-09T00:00:00"/>
    <s v="ORD-001341"/>
    <x v="3"/>
    <x v="28"/>
    <n v="17807.97"/>
    <s v="East"/>
    <n v="20304.66"/>
    <n v="2496.69"/>
    <n v="10"/>
    <n v="1"/>
    <s v="January"/>
    <n v="2023"/>
    <x v="1"/>
    <x v="1"/>
  </r>
  <r>
    <d v="2025-03-13T00:00:00"/>
    <s v="ORD-001342"/>
    <x v="5"/>
    <x v="18"/>
    <n v="8900.9500000000007"/>
    <s v="North"/>
    <n v="12916.72"/>
    <n v="4015.77"/>
    <n v="10"/>
    <n v="5"/>
    <s v="March"/>
    <n v="2025"/>
    <x v="1"/>
    <x v="1"/>
  </r>
  <r>
    <d v="2024-07-21T00:00:00"/>
    <s v="ORD-001343"/>
    <x v="1"/>
    <x v="24"/>
    <n v="2645.2"/>
    <s v="East"/>
    <n v="2659.47"/>
    <n v="14.27"/>
    <n v="22"/>
    <n v="2"/>
    <s v="July"/>
    <n v="2024"/>
    <x v="0"/>
    <x v="2"/>
  </r>
  <r>
    <d v="2025-06-13T00:00:00"/>
    <s v="ORD-001344"/>
    <x v="5"/>
    <x v="36"/>
    <n v="1591.79"/>
    <s v="South"/>
    <n v="2135.0500000000002"/>
    <n v="543.26"/>
    <n v="25"/>
    <n v="4"/>
    <s v="June"/>
    <n v="2025"/>
    <x v="0"/>
    <x v="2"/>
  </r>
  <r>
    <d v="2023-05-29T00:00:00"/>
    <s v="ORD-001345"/>
    <x v="5"/>
    <x v="16"/>
    <n v="8239.02"/>
    <s v="West"/>
    <n v="12432.9"/>
    <n v="4193.88"/>
    <n v="0"/>
    <n v="8"/>
    <s v="May"/>
    <n v="2023"/>
    <x v="2"/>
    <x v="1"/>
  </r>
  <r>
    <d v="2024-09-19T00:00:00"/>
    <s v="ORD-001346"/>
    <x v="2"/>
    <x v="31"/>
    <n v="481.68"/>
    <s v="South"/>
    <n v="870.55"/>
    <n v="388.87"/>
    <n v="10"/>
    <n v="3"/>
    <s v="September"/>
    <n v="2024"/>
    <x v="1"/>
    <x v="1"/>
  </r>
  <r>
    <d v="2024-01-08T00:00:00"/>
    <s v="ORD-001347"/>
    <x v="0"/>
    <x v="41"/>
    <n v="3953.99"/>
    <s v="South"/>
    <n v="6181.72"/>
    <n v="2227.73"/>
    <n v="5"/>
    <n v="2"/>
    <s v="January"/>
    <n v="2024"/>
    <x v="1"/>
    <x v="1"/>
  </r>
  <r>
    <d v="2025-11-02T00:00:00"/>
    <s v="ORD-001348"/>
    <x v="0"/>
    <x v="0"/>
    <n v="1967.71"/>
    <s v="North"/>
    <n v="3082.69"/>
    <n v="1114.98"/>
    <n v="0"/>
    <n v="6"/>
    <s v="November"/>
    <n v="2025"/>
    <x v="2"/>
    <x v="1"/>
  </r>
  <r>
    <d v="2023-05-11T00:00:00"/>
    <s v="ORD-001349"/>
    <x v="5"/>
    <x v="36"/>
    <n v="5130.91"/>
    <s v="East"/>
    <n v="8854.4500000000007"/>
    <n v="3723.54"/>
    <n v="15"/>
    <n v="5"/>
    <s v="May"/>
    <n v="2023"/>
    <x v="0"/>
    <x v="0"/>
  </r>
  <r>
    <d v="2023-01-10T00:00:00"/>
    <s v="ORD-001350"/>
    <x v="0"/>
    <x v="41"/>
    <n v="8876.76"/>
    <s v="South"/>
    <n v="18816.71"/>
    <n v="9939.9500000000007"/>
    <n v="15"/>
    <n v="6"/>
    <s v="January"/>
    <n v="2023"/>
    <x v="0"/>
    <x v="0"/>
  </r>
  <r>
    <d v="2023-02-22T00:00:00"/>
    <s v="ORD-001351"/>
    <x v="2"/>
    <x v="35"/>
    <n v="1027.94"/>
    <s v="South"/>
    <n v="1391.44"/>
    <n v="363.5"/>
    <n v="15"/>
    <n v="2"/>
    <s v="February"/>
    <n v="2023"/>
    <x v="0"/>
    <x v="0"/>
  </r>
  <r>
    <d v="2024-12-30T00:00:00"/>
    <s v="ORD-001352"/>
    <x v="2"/>
    <x v="2"/>
    <n v="622.85"/>
    <s v="South"/>
    <n v="957.78"/>
    <n v="334.93"/>
    <n v="25"/>
    <n v="4"/>
    <s v="December"/>
    <n v="2024"/>
    <x v="0"/>
    <x v="2"/>
  </r>
  <r>
    <d v="2024-11-05T00:00:00"/>
    <s v="ORD-001353"/>
    <x v="4"/>
    <x v="7"/>
    <n v="6837.63"/>
    <s v="South"/>
    <n v="10339.67"/>
    <n v="3502.04"/>
    <n v="10"/>
    <n v="3"/>
    <s v="November"/>
    <n v="2024"/>
    <x v="1"/>
    <x v="1"/>
  </r>
  <r>
    <d v="2024-06-16T00:00:00"/>
    <s v="ORD-001354"/>
    <x v="4"/>
    <x v="42"/>
    <n v="9474.2199999999993"/>
    <s v="Central"/>
    <n v="9489.6"/>
    <n v="15.38"/>
    <n v="29"/>
    <n v="1"/>
    <s v="June"/>
    <n v="2024"/>
    <x v="0"/>
    <x v="2"/>
  </r>
  <r>
    <d v="2024-05-24T00:00:00"/>
    <s v="ORD-001355"/>
    <x v="3"/>
    <x v="15"/>
    <n v="31181.32"/>
    <s v="Central"/>
    <n v="44117.14"/>
    <n v="12935.82"/>
    <n v="0"/>
    <n v="8"/>
    <s v="May"/>
    <n v="2024"/>
    <x v="2"/>
    <x v="1"/>
  </r>
  <r>
    <d v="2023-02-27T00:00:00"/>
    <s v="ORD-001356"/>
    <x v="2"/>
    <x v="10"/>
    <n v="1224.0899999999999"/>
    <s v="West"/>
    <n v="2526.36"/>
    <n v="1302.27"/>
    <n v="5"/>
    <n v="3"/>
    <s v="February"/>
    <n v="2023"/>
    <x v="1"/>
    <x v="1"/>
  </r>
  <r>
    <d v="2025-03-24T00:00:00"/>
    <s v="ORD-001357"/>
    <x v="3"/>
    <x v="15"/>
    <n v="2554.48"/>
    <s v="South"/>
    <n v="3552.68"/>
    <n v="998.2"/>
    <n v="0"/>
    <n v="2"/>
    <s v="March"/>
    <n v="2025"/>
    <x v="2"/>
    <x v="1"/>
  </r>
  <r>
    <d v="2023-03-17T00:00:00"/>
    <s v="ORD-001358"/>
    <x v="4"/>
    <x v="26"/>
    <n v="1413.26"/>
    <s v="West"/>
    <n v="2410.79"/>
    <n v="997.53"/>
    <n v="0"/>
    <n v="1"/>
    <s v="March"/>
    <n v="2023"/>
    <x v="2"/>
    <x v="1"/>
  </r>
  <r>
    <d v="2025-03-20T00:00:00"/>
    <s v="ORD-001359"/>
    <x v="5"/>
    <x v="33"/>
    <n v="3105.56"/>
    <s v="South"/>
    <n v="5369.18"/>
    <n v="2263.62"/>
    <n v="20"/>
    <n v="10"/>
    <s v="March"/>
    <n v="2025"/>
    <x v="0"/>
    <x v="0"/>
  </r>
  <r>
    <d v="2023-08-04T00:00:00"/>
    <s v="ORD-001360"/>
    <x v="2"/>
    <x v="2"/>
    <n v="1338.32"/>
    <s v="Central"/>
    <n v="2232.71"/>
    <n v="894.39"/>
    <n v="5"/>
    <n v="3"/>
    <s v="August"/>
    <n v="2023"/>
    <x v="1"/>
    <x v="1"/>
  </r>
  <r>
    <d v="2024-06-27T00:00:00"/>
    <s v="ORD-001361"/>
    <x v="2"/>
    <x v="13"/>
    <n v="2081.2600000000002"/>
    <s v="West"/>
    <n v="2264.4499999999998"/>
    <n v="183.19"/>
    <n v="30"/>
    <n v="2"/>
    <s v="June"/>
    <n v="2024"/>
    <x v="0"/>
    <x v="2"/>
  </r>
  <r>
    <d v="2024-08-10T00:00:00"/>
    <s v="ORD-001362"/>
    <x v="4"/>
    <x v="40"/>
    <n v="48039.63"/>
    <s v="North"/>
    <n v="62916.44"/>
    <n v="14876.81"/>
    <n v="15"/>
    <n v="5"/>
    <s v="August"/>
    <n v="2024"/>
    <x v="0"/>
    <x v="0"/>
  </r>
  <r>
    <d v="2023-12-22T00:00:00"/>
    <s v="ORD-001363"/>
    <x v="2"/>
    <x v="35"/>
    <n v="168.77"/>
    <s v="North"/>
    <n v="348.81"/>
    <n v="180.04"/>
    <n v="10"/>
    <n v="2"/>
    <s v="December"/>
    <n v="2023"/>
    <x v="1"/>
    <x v="1"/>
  </r>
  <r>
    <d v="2025-12-14T00:00:00"/>
    <s v="ORD-001364"/>
    <x v="5"/>
    <x v="33"/>
    <n v="996.16"/>
    <s v="West"/>
    <n v="1515.43"/>
    <n v="519.27"/>
    <n v="0"/>
    <n v="1"/>
    <s v="December"/>
    <n v="2025"/>
    <x v="2"/>
    <x v="1"/>
  </r>
  <r>
    <d v="2025-12-01T00:00:00"/>
    <s v="ORD-001365"/>
    <x v="3"/>
    <x v="34"/>
    <n v="8906.9699999999993"/>
    <s v="East"/>
    <n v="9495.6299999999992"/>
    <n v="588.66"/>
    <n v="10"/>
    <n v="1"/>
    <s v="December"/>
    <n v="2025"/>
    <x v="1"/>
    <x v="1"/>
  </r>
  <r>
    <d v="2024-07-28T00:00:00"/>
    <s v="ORD-001366"/>
    <x v="0"/>
    <x v="17"/>
    <n v="5266.15"/>
    <s v="South"/>
    <n v="10013.26"/>
    <n v="4747.1099999999997"/>
    <n v="5"/>
    <n v="6"/>
    <s v="July"/>
    <n v="2024"/>
    <x v="1"/>
    <x v="1"/>
  </r>
  <r>
    <d v="2025-03-15T00:00:00"/>
    <s v="ORD-001367"/>
    <x v="2"/>
    <x v="38"/>
    <n v="224.09"/>
    <s v="South"/>
    <n v="321.06"/>
    <n v="96.97"/>
    <n v="30"/>
    <n v="1"/>
    <s v="March"/>
    <n v="2025"/>
    <x v="0"/>
    <x v="2"/>
  </r>
  <r>
    <d v="2025-10-09T00:00:00"/>
    <s v="ORD-001368"/>
    <x v="5"/>
    <x v="20"/>
    <n v="2043.01"/>
    <s v="West"/>
    <n v="3484.87"/>
    <n v="1441.86"/>
    <n v="15"/>
    <n v="1"/>
    <s v="October"/>
    <n v="2025"/>
    <x v="0"/>
    <x v="0"/>
  </r>
  <r>
    <d v="2025-03-30T00:00:00"/>
    <s v="ORD-001369"/>
    <x v="1"/>
    <x v="24"/>
    <n v="8656.6200000000008"/>
    <s v="South"/>
    <n v="12399.86"/>
    <n v="3743.24"/>
    <n v="10"/>
    <n v="3"/>
    <s v="March"/>
    <n v="2025"/>
    <x v="1"/>
    <x v="1"/>
  </r>
  <r>
    <d v="2025-05-10T00:00:00"/>
    <s v="ORD-001370"/>
    <x v="3"/>
    <x v="32"/>
    <n v="11718.53"/>
    <s v="East"/>
    <n v="12476.08"/>
    <n v="757.55"/>
    <n v="20"/>
    <n v="1"/>
    <s v="May"/>
    <n v="2025"/>
    <x v="0"/>
    <x v="0"/>
  </r>
  <r>
    <d v="2023-01-22T00:00:00"/>
    <s v="ORD-001371"/>
    <x v="3"/>
    <x v="12"/>
    <n v="2076.34"/>
    <s v="South"/>
    <n v="2674.64"/>
    <n v="598.29999999999995"/>
    <n v="0"/>
    <n v="2"/>
    <s v="January"/>
    <n v="2023"/>
    <x v="2"/>
    <x v="1"/>
  </r>
  <r>
    <d v="2023-07-01T00:00:00"/>
    <s v="ORD-001372"/>
    <x v="0"/>
    <x v="21"/>
    <n v="733.1"/>
    <s v="West"/>
    <n v="1083.75"/>
    <n v="350.65"/>
    <n v="25"/>
    <n v="2"/>
    <s v="July"/>
    <n v="2023"/>
    <x v="0"/>
    <x v="2"/>
  </r>
  <r>
    <d v="2023-11-14T00:00:00"/>
    <s v="ORD-001373"/>
    <x v="0"/>
    <x v="0"/>
    <n v="2656.41"/>
    <s v="Central"/>
    <n v="4290.84"/>
    <n v="1634.43"/>
    <n v="20"/>
    <n v="3"/>
    <s v="November"/>
    <n v="2023"/>
    <x v="0"/>
    <x v="0"/>
  </r>
  <r>
    <d v="2023-12-03T00:00:00"/>
    <s v="ORD-001374"/>
    <x v="0"/>
    <x v="21"/>
    <n v="928.46"/>
    <s v="East"/>
    <n v="1979.03"/>
    <n v="1050.57"/>
    <n v="15"/>
    <n v="2"/>
    <s v="December"/>
    <n v="2023"/>
    <x v="0"/>
    <x v="0"/>
  </r>
  <r>
    <d v="2024-03-11T00:00:00"/>
    <s v="ORD-001375"/>
    <x v="1"/>
    <x v="29"/>
    <n v="12814.07"/>
    <s v="North"/>
    <n v="17754.36"/>
    <n v="4940.29"/>
    <n v="5"/>
    <n v="3"/>
    <s v="March"/>
    <n v="2024"/>
    <x v="1"/>
    <x v="1"/>
  </r>
  <r>
    <d v="2025-03-11T00:00:00"/>
    <s v="ORD-001376"/>
    <x v="3"/>
    <x v="37"/>
    <n v="22326.49"/>
    <s v="South"/>
    <n v="23109.07"/>
    <n v="782.58"/>
    <n v="15"/>
    <n v="2"/>
    <s v="March"/>
    <n v="2025"/>
    <x v="0"/>
    <x v="0"/>
  </r>
  <r>
    <d v="2023-01-06T00:00:00"/>
    <s v="ORD-001377"/>
    <x v="4"/>
    <x v="40"/>
    <n v="18632.89"/>
    <s v="North"/>
    <n v="19191.88"/>
    <n v="558.99"/>
    <n v="30"/>
    <n v="1"/>
    <s v="January"/>
    <n v="2023"/>
    <x v="0"/>
    <x v="2"/>
  </r>
  <r>
    <d v="2023-04-13T00:00:00"/>
    <s v="ORD-001378"/>
    <x v="1"/>
    <x v="19"/>
    <n v="1240.6400000000001"/>
    <s v="North"/>
    <n v="1417.04"/>
    <n v="176.4"/>
    <n v="10"/>
    <n v="1"/>
    <s v="April"/>
    <n v="2023"/>
    <x v="1"/>
    <x v="1"/>
  </r>
  <r>
    <d v="2023-08-31T00:00:00"/>
    <s v="ORD-001379"/>
    <x v="3"/>
    <x v="22"/>
    <n v="8766.02"/>
    <s v="North"/>
    <n v="9464.7199999999993"/>
    <n v="698.7"/>
    <n v="10"/>
    <n v="5"/>
    <s v="August"/>
    <n v="2023"/>
    <x v="1"/>
    <x v="1"/>
  </r>
  <r>
    <d v="2024-12-08T00:00:00"/>
    <s v="ORD-001380"/>
    <x v="5"/>
    <x v="18"/>
    <n v="4483.8999999999996"/>
    <s v="South"/>
    <n v="6006"/>
    <n v="1522.1"/>
    <n v="10"/>
    <n v="2"/>
    <s v="December"/>
    <n v="2024"/>
    <x v="1"/>
    <x v="1"/>
  </r>
  <r>
    <d v="2025-08-08T00:00:00"/>
    <s v="ORD-001381"/>
    <x v="5"/>
    <x v="27"/>
    <n v="5852.82"/>
    <s v="Central"/>
    <n v="9239"/>
    <n v="3386.18"/>
    <n v="15"/>
    <n v="2"/>
    <s v="August"/>
    <n v="2025"/>
    <x v="0"/>
    <x v="0"/>
  </r>
  <r>
    <d v="2023-01-11T00:00:00"/>
    <s v="ORD-001382"/>
    <x v="3"/>
    <x v="15"/>
    <n v="7032.96"/>
    <s v="West"/>
    <n v="8693.09"/>
    <n v="1660.13"/>
    <n v="0"/>
    <n v="5"/>
    <s v="January"/>
    <n v="2023"/>
    <x v="2"/>
    <x v="1"/>
  </r>
  <r>
    <d v="2024-12-31T00:00:00"/>
    <s v="ORD-001383"/>
    <x v="4"/>
    <x v="39"/>
    <n v="15748.29"/>
    <s v="East"/>
    <n v="22792.43"/>
    <n v="7044.14"/>
    <n v="0"/>
    <n v="4"/>
    <s v="December"/>
    <n v="2024"/>
    <x v="2"/>
    <x v="1"/>
  </r>
  <r>
    <d v="2023-02-05T00:00:00"/>
    <s v="ORD-001384"/>
    <x v="4"/>
    <x v="30"/>
    <n v="52480.03"/>
    <s v="North"/>
    <n v="86518.74"/>
    <n v="34038.71"/>
    <n v="0"/>
    <n v="6"/>
    <s v="February"/>
    <n v="2023"/>
    <x v="2"/>
    <x v="1"/>
  </r>
  <r>
    <d v="2024-03-10T00:00:00"/>
    <s v="ORD-001385"/>
    <x v="1"/>
    <x v="1"/>
    <n v="2821.85"/>
    <s v="North"/>
    <n v="3802.43"/>
    <n v="980.58"/>
    <n v="15"/>
    <n v="2"/>
    <s v="March"/>
    <n v="2024"/>
    <x v="0"/>
    <x v="0"/>
  </r>
  <r>
    <d v="2024-02-20T00:00:00"/>
    <s v="ORD-001386"/>
    <x v="5"/>
    <x v="27"/>
    <n v="489.41"/>
    <s v="West"/>
    <n v="894.1"/>
    <n v="404.69"/>
    <n v="10"/>
    <n v="1"/>
    <s v="February"/>
    <n v="2024"/>
    <x v="1"/>
    <x v="1"/>
  </r>
  <r>
    <d v="2024-05-07T00:00:00"/>
    <s v="ORD-001387"/>
    <x v="5"/>
    <x v="20"/>
    <n v="4168.82"/>
    <s v="Central"/>
    <n v="7740.28"/>
    <n v="3571.46"/>
    <n v="25"/>
    <n v="2"/>
    <s v="May"/>
    <n v="2024"/>
    <x v="0"/>
    <x v="2"/>
  </r>
  <r>
    <d v="2023-04-16T00:00:00"/>
    <s v="ORD-001388"/>
    <x v="1"/>
    <x v="23"/>
    <n v="45177.98"/>
    <s v="Central"/>
    <n v="55038.07"/>
    <n v="9860.09"/>
    <n v="10"/>
    <n v="5"/>
    <s v="April"/>
    <n v="2023"/>
    <x v="1"/>
    <x v="1"/>
  </r>
  <r>
    <d v="2025-07-28T00:00:00"/>
    <s v="ORD-001389"/>
    <x v="3"/>
    <x v="32"/>
    <n v="9177.15"/>
    <s v="North"/>
    <n v="9286.26"/>
    <n v="109.11"/>
    <n v="30"/>
    <n v="3"/>
    <s v="July"/>
    <n v="2025"/>
    <x v="0"/>
    <x v="2"/>
  </r>
  <r>
    <d v="2024-04-23T00:00:00"/>
    <s v="ORD-001390"/>
    <x v="2"/>
    <x v="31"/>
    <n v="422.49"/>
    <s v="North"/>
    <n v="817.22"/>
    <n v="394.73"/>
    <n v="0"/>
    <n v="3"/>
    <s v="April"/>
    <n v="2024"/>
    <x v="2"/>
    <x v="1"/>
  </r>
  <r>
    <d v="2025-08-19T00:00:00"/>
    <s v="ORD-001391"/>
    <x v="3"/>
    <x v="22"/>
    <n v="3973.63"/>
    <s v="West"/>
    <n v="4771.09"/>
    <n v="797.46"/>
    <n v="0"/>
    <n v="2"/>
    <s v="August"/>
    <n v="2025"/>
    <x v="2"/>
    <x v="1"/>
  </r>
  <r>
    <d v="2023-07-13T00:00:00"/>
    <s v="ORD-001392"/>
    <x v="5"/>
    <x v="16"/>
    <n v="3873.01"/>
    <s v="Central"/>
    <n v="4975.63"/>
    <n v="1102.6199999999999"/>
    <n v="15"/>
    <n v="1"/>
    <s v="July"/>
    <n v="2023"/>
    <x v="0"/>
    <x v="0"/>
  </r>
  <r>
    <d v="2023-05-21T00:00:00"/>
    <s v="ORD-001393"/>
    <x v="5"/>
    <x v="14"/>
    <n v="3469.88"/>
    <s v="South"/>
    <n v="5619.39"/>
    <n v="2149.5100000000002"/>
    <n v="5"/>
    <n v="8"/>
    <s v="May"/>
    <n v="2023"/>
    <x v="1"/>
    <x v="1"/>
  </r>
  <r>
    <d v="2025-12-14T00:00:00"/>
    <s v="ORD-001394"/>
    <x v="0"/>
    <x v="6"/>
    <n v="139.38"/>
    <s v="East"/>
    <n v="306.08"/>
    <n v="166.7"/>
    <n v="10"/>
    <n v="1"/>
    <s v="December"/>
    <n v="2025"/>
    <x v="1"/>
    <x v="1"/>
  </r>
  <r>
    <d v="2025-11-24T00:00:00"/>
    <s v="ORD-001395"/>
    <x v="2"/>
    <x v="38"/>
    <n v="7496.51"/>
    <s v="West"/>
    <n v="10953.64"/>
    <n v="3457.13"/>
    <n v="0"/>
    <n v="10"/>
    <s v="November"/>
    <n v="2025"/>
    <x v="2"/>
    <x v="1"/>
  </r>
  <r>
    <d v="2023-03-17T00:00:00"/>
    <s v="ORD-001396"/>
    <x v="1"/>
    <x v="24"/>
    <n v="24364.959999999999"/>
    <s v="South"/>
    <n v="33658.26"/>
    <n v="9293.2999999999993"/>
    <n v="15"/>
    <n v="3"/>
    <s v="March"/>
    <n v="2023"/>
    <x v="0"/>
    <x v="0"/>
  </r>
  <r>
    <d v="2025-06-10T00:00:00"/>
    <s v="ORD-001397"/>
    <x v="5"/>
    <x v="14"/>
    <n v="467.85"/>
    <s v="North"/>
    <n v="812.25"/>
    <n v="344.4"/>
    <n v="15"/>
    <n v="2"/>
    <s v="June"/>
    <n v="2025"/>
    <x v="0"/>
    <x v="0"/>
  </r>
  <r>
    <d v="2025-07-19T00:00:00"/>
    <s v="ORD-001398"/>
    <x v="1"/>
    <x v="1"/>
    <n v="1320.61"/>
    <s v="East"/>
    <n v="1479.21"/>
    <n v="158.6"/>
    <n v="20"/>
    <n v="1"/>
    <s v="July"/>
    <n v="2025"/>
    <x v="0"/>
    <x v="0"/>
  </r>
  <r>
    <d v="2024-07-11T00:00:00"/>
    <s v="ORD-001399"/>
    <x v="3"/>
    <x v="28"/>
    <n v="8227.48"/>
    <s v="West"/>
    <n v="10142.82"/>
    <n v="1915.34"/>
    <n v="5"/>
    <n v="5"/>
    <s v="July"/>
    <n v="2024"/>
    <x v="1"/>
    <x v="1"/>
  </r>
  <r>
    <d v="2024-01-14T00:00:00"/>
    <s v="ORD-001400"/>
    <x v="3"/>
    <x v="22"/>
    <n v="9198.74"/>
    <s v="North"/>
    <n v="10182.65"/>
    <n v="983.91"/>
    <n v="10"/>
    <n v="2"/>
    <s v="January"/>
    <n v="2024"/>
    <x v="1"/>
    <x v="1"/>
  </r>
  <r>
    <d v="2024-08-17T00:00:00"/>
    <s v="ORD-001401"/>
    <x v="2"/>
    <x v="35"/>
    <n v="182.76"/>
    <s v="South"/>
    <n v="220.42"/>
    <n v="37.659999999999997"/>
    <n v="20"/>
    <n v="3"/>
    <s v="August"/>
    <n v="2024"/>
    <x v="0"/>
    <x v="0"/>
  </r>
  <r>
    <d v="2025-09-06T00:00:00"/>
    <s v="ORD-001402"/>
    <x v="3"/>
    <x v="34"/>
    <n v="55835.33"/>
    <s v="West"/>
    <n v="55866.85"/>
    <n v="31.52"/>
    <n v="18"/>
    <n v="4"/>
    <s v="September"/>
    <n v="2025"/>
    <x v="0"/>
    <x v="0"/>
  </r>
  <r>
    <d v="2025-09-25T00:00:00"/>
    <s v="ORD-001403"/>
    <x v="1"/>
    <x v="9"/>
    <n v="4682.58"/>
    <s v="West"/>
    <n v="6233.7"/>
    <n v="1551.12"/>
    <n v="5"/>
    <n v="1"/>
    <s v="September"/>
    <n v="2025"/>
    <x v="1"/>
    <x v="1"/>
  </r>
  <r>
    <d v="2023-04-09T00:00:00"/>
    <s v="ORD-001404"/>
    <x v="1"/>
    <x v="5"/>
    <n v="1259.47"/>
    <s v="South"/>
    <n v="1502.96"/>
    <n v="243.49"/>
    <n v="15"/>
    <n v="1"/>
    <s v="April"/>
    <n v="2023"/>
    <x v="0"/>
    <x v="0"/>
  </r>
  <r>
    <d v="2023-04-05T00:00:00"/>
    <s v="ORD-001405"/>
    <x v="5"/>
    <x v="27"/>
    <n v="4818.66"/>
    <s v="North"/>
    <n v="7628.76"/>
    <n v="2810.1"/>
    <n v="15"/>
    <n v="2"/>
    <s v="April"/>
    <n v="2023"/>
    <x v="0"/>
    <x v="0"/>
  </r>
  <r>
    <d v="2024-06-22T00:00:00"/>
    <s v="ORD-001406"/>
    <x v="3"/>
    <x v="3"/>
    <n v="4361.49"/>
    <s v="East"/>
    <n v="5669.21"/>
    <n v="1307.72"/>
    <n v="10"/>
    <n v="3"/>
    <s v="June"/>
    <n v="2024"/>
    <x v="1"/>
    <x v="1"/>
  </r>
  <r>
    <d v="2023-01-10T00:00:00"/>
    <s v="ORD-001407"/>
    <x v="0"/>
    <x v="8"/>
    <n v="3828.51"/>
    <s v="West"/>
    <n v="7387.68"/>
    <n v="3559.17"/>
    <n v="0"/>
    <n v="8"/>
    <s v="January"/>
    <n v="2023"/>
    <x v="2"/>
    <x v="1"/>
  </r>
  <r>
    <d v="2025-12-05T00:00:00"/>
    <s v="ORD-001408"/>
    <x v="4"/>
    <x v="39"/>
    <n v="14117.86"/>
    <s v="South"/>
    <n v="21856.92"/>
    <n v="7739.06"/>
    <n v="10"/>
    <n v="6"/>
    <s v="December"/>
    <n v="2025"/>
    <x v="1"/>
    <x v="1"/>
  </r>
  <r>
    <d v="2023-03-24T00:00:00"/>
    <s v="ORD-001409"/>
    <x v="3"/>
    <x v="32"/>
    <n v="4389.9399999999996"/>
    <s v="East"/>
    <n v="4695.1899999999996"/>
    <n v="305.25"/>
    <n v="15"/>
    <n v="3"/>
    <s v="March"/>
    <n v="2023"/>
    <x v="0"/>
    <x v="0"/>
  </r>
  <r>
    <d v="2025-09-23T00:00:00"/>
    <s v="ORD-001410"/>
    <x v="3"/>
    <x v="28"/>
    <n v="7635.11"/>
    <s v="West"/>
    <n v="7864.16"/>
    <n v="229.05"/>
    <n v="24"/>
    <n v="2"/>
    <s v="September"/>
    <n v="2025"/>
    <x v="0"/>
    <x v="2"/>
  </r>
  <r>
    <d v="2025-12-12T00:00:00"/>
    <s v="ORD-001411"/>
    <x v="2"/>
    <x v="31"/>
    <n v="275.33"/>
    <s v="West"/>
    <n v="363.53"/>
    <n v="88.2"/>
    <n v="15"/>
    <n v="2"/>
    <s v="December"/>
    <n v="2025"/>
    <x v="0"/>
    <x v="0"/>
  </r>
  <r>
    <d v="2024-07-20T00:00:00"/>
    <s v="ORD-001412"/>
    <x v="3"/>
    <x v="15"/>
    <n v="3207.69"/>
    <s v="South"/>
    <n v="4723.93"/>
    <n v="1516.24"/>
    <n v="0"/>
    <n v="5"/>
    <s v="July"/>
    <n v="2024"/>
    <x v="2"/>
    <x v="1"/>
  </r>
  <r>
    <d v="2024-06-21T00:00:00"/>
    <s v="ORD-001413"/>
    <x v="3"/>
    <x v="15"/>
    <n v="20515.349999999999"/>
    <s v="Central"/>
    <n v="22766.84"/>
    <n v="2251.4899999999998"/>
    <n v="5"/>
    <n v="5"/>
    <s v="June"/>
    <n v="2024"/>
    <x v="1"/>
    <x v="1"/>
  </r>
  <r>
    <d v="2025-11-05T00:00:00"/>
    <s v="ORD-001414"/>
    <x v="4"/>
    <x v="11"/>
    <n v="2816.01"/>
    <s v="West"/>
    <n v="4120.51"/>
    <n v="1304.5"/>
    <n v="10"/>
    <n v="2"/>
    <s v="November"/>
    <n v="2025"/>
    <x v="1"/>
    <x v="1"/>
  </r>
  <r>
    <d v="2023-01-09T00:00:00"/>
    <s v="ORD-001415"/>
    <x v="1"/>
    <x v="19"/>
    <n v="8686.84"/>
    <s v="Central"/>
    <n v="10985.17"/>
    <n v="2298.33"/>
    <n v="0"/>
    <n v="2"/>
    <s v="January"/>
    <n v="2023"/>
    <x v="2"/>
    <x v="1"/>
  </r>
  <r>
    <d v="2024-01-16T00:00:00"/>
    <s v="ORD-001416"/>
    <x v="3"/>
    <x v="28"/>
    <n v="1923.52"/>
    <s v="Central"/>
    <n v="2586.7600000000002"/>
    <n v="663.24"/>
    <n v="0"/>
    <n v="2"/>
    <s v="January"/>
    <n v="2024"/>
    <x v="2"/>
    <x v="1"/>
  </r>
  <r>
    <d v="2024-11-12T00:00:00"/>
    <s v="ORD-001417"/>
    <x v="4"/>
    <x v="11"/>
    <n v="31802.54"/>
    <s v="North"/>
    <n v="37679.83"/>
    <n v="5877.29"/>
    <n v="15"/>
    <n v="3"/>
    <s v="November"/>
    <n v="2024"/>
    <x v="0"/>
    <x v="0"/>
  </r>
  <r>
    <d v="2025-12-30T00:00:00"/>
    <s v="ORD-001418"/>
    <x v="5"/>
    <x v="16"/>
    <n v="12696.8"/>
    <s v="South"/>
    <n v="26213.7"/>
    <n v="13516.9"/>
    <n v="10"/>
    <n v="6"/>
    <s v="December"/>
    <n v="2025"/>
    <x v="1"/>
    <x v="1"/>
  </r>
  <r>
    <d v="2024-01-24T00:00:00"/>
    <s v="ORD-001419"/>
    <x v="4"/>
    <x v="7"/>
    <n v="29205.96"/>
    <s v="South"/>
    <n v="40790.65"/>
    <n v="11584.69"/>
    <n v="5"/>
    <n v="8"/>
    <s v="January"/>
    <n v="2024"/>
    <x v="1"/>
    <x v="1"/>
  </r>
  <r>
    <d v="2023-07-27T00:00:00"/>
    <s v="ORD-001420"/>
    <x v="2"/>
    <x v="31"/>
    <n v="158.53"/>
    <s v="Central"/>
    <n v="237.61"/>
    <n v="79.08"/>
    <n v="20"/>
    <n v="1"/>
    <s v="July"/>
    <n v="2023"/>
    <x v="0"/>
    <x v="0"/>
  </r>
  <r>
    <d v="2023-09-17T00:00:00"/>
    <s v="ORD-001421"/>
    <x v="2"/>
    <x v="25"/>
    <n v="3220.43"/>
    <s v="Central"/>
    <n v="6518.13"/>
    <n v="3297.7"/>
    <n v="0"/>
    <n v="4"/>
    <s v="September"/>
    <n v="2023"/>
    <x v="2"/>
    <x v="1"/>
  </r>
  <r>
    <d v="2024-07-30T00:00:00"/>
    <s v="ORD-001422"/>
    <x v="0"/>
    <x v="4"/>
    <n v="1620.8"/>
    <s v="East"/>
    <n v="1902.64"/>
    <n v="281.83999999999997"/>
    <n v="25"/>
    <n v="1"/>
    <s v="July"/>
    <n v="2024"/>
    <x v="0"/>
    <x v="2"/>
  </r>
  <r>
    <d v="2024-03-25T00:00:00"/>
    <s v="ORD-001423"/>
    <x v="2"/>
    <x v="2"/>
    <n v="587.36"/>
    <s v="West"/>
    <n v="881.2"/>
    <n v="293.83999999999997"/>
    <n v="5"/>
    <n v="3"/>
    <s v="March"/>
    <n v="2024"/>
    <x v="1"/>
    <x v="1"/>
  </r>
  <r>
    <d v="2025-03-25T00:00:00"/>
    <s v="ORD-001424"/>
    <x v="4"/>
    <x v="40"/>
    <n v="6066.05"/>
    <s v="South"/>
    <n v="9138.41"/>
    <n v="3072.36"/>
    <n v="0"/>
    <n v="3"/>
    <s v="March"/>
    <n v="2025"/>
    <x v="2"/>
    <x v="1"/>
  </r>
  <r>
    <d v="2025-12-30T00:00:00"/>
    <s v="ORD-001425"/>
    <x v="0"/>
    <x v="21"/>
    <n v="1076.24"/>
    <s v="South"/>
    <n v="1699.71"/>
    <n v="623.47"/>
    <n v="15"/>
    <n v="3"/>
    <s v="December"/>
    <n v="2025"/>
    <x v="0"/>
    <x v="0"/>
  </r>
  <r>
    <d v="2025-06-11T00:00:00"/>
    <s v="ORD-001426"/>
    <x v="2"/>
    <x v="38"/>
    <n v="246.94"/>
    <s v="West"/>
    <n v="317.92"/>
    <n v="70.98"/>
    <n v="10"/>
    <n v="4"/>
    <s v="June"/>
    <n v="2025"/>
    <x v="1"/>
    <x v="1"/>
  </r>
  <r>
    <d v="2025-06-27T00:00:00"/>
    <s v="ORD-001427"/>
    <x v="4"/>
    <x v="7"/>
    <n v="2207.54"/>
    <s v="Central"/>
    <n v="3571.9"/>
    <n v="1364.36"/>
    <n v="5"/>
    <n v="2"/>
    <s v="June"/>
    <n v="2025"/>
    <x v="1"/>
    <x v="1"/>
  </r>
  <r>
    <d v="2023-10-31T00:00:00"/>
    <s v="ORD-001428"/>
    <x v="1"/>
    <x v="5"/>
    <n v="8976.5400000000009"/>
    <s v="East"/>
    <n v="11164.64"/>
    <n v="2188.1"/>
    <n v="20"/>
    <n v="1"/>
    <s v="October"/>
    <n v="2023"/>
    <x v="0"/>
    <x v="0"/>
  </r>
  <r>
    <d v="2025-05-24T00:00:00"/>
    <s v="ORD-001429"/>
    <x v="0"/>
    <x v="17"/>
    <n v="1299.26"/>
    <s v="East"/>
    <n v="2699.24"/>
    <n v="1399.98"/>
    <n v="20"/>
    <n v="6"/>
    <s v="May"/>
    <n v="2025"/>
    <x v="0"/>
    <x v="0"/>
  </r>
  <r>
    <d v="2024-09-16T00:00:00"/>
    <s v="ORD-001430"/>
    <x v="2"/>
    <x v="35"/>
    <n v="223.66"/>
    <s v="East"/>
    <n v="446.38"/>
    <n v="222.72"/>
    <n v="0"/>
    <n v="4"/>
    <s v="September"/>
    <n v="2024"/>
    <x v="2"/>
    <x v="1"/>
  </r>
  <r>
    <d v="2025-05-02T00:00:00"/>
    <s v="ORD-001431"/>
    <x v="5"/>
    <x v="36"/>
    <n v="1351.24"/>
    <s v="South"/>
    <n v="1998.05"/>
    <n v="646.80999999999995"/>
    <n v="0"/>
    <n v="2"/>
    <s v="May"/>
    <n v="2025"/>
    <x v="2"/>
    <x v="1"/>
  </r>
  <r>
    <d v="2024-01-03T00:00:00"/>
    <s v="ORD-001432"/>
    <x v="0"/>
    <x v="4"/>
    <n v="413.05"/>
    <s v="North"/>
    <n v="497.24"/>
    <n v="84.19"/>
    <n v="25"/>
    <n v="1"/>
    <s v="January"/>
    <n v="2024"/>
    <x v="0"/>
    <x v="2"/>
  </r>
  <r>
    <d v="2024-06-16T00:00:00"/>
    <s v="ORD-001433"/>
    <x v="3"/>
    <x v="32"/>
    <n v="19572.509999999998"/>
    <s v="West"/>
    <n v="26665.73"/>
    <n v="7093.22"/>
    <n v="5"/>
    <n v="3"/>
    <s v="June"/>
    <n v="2024"/>
    <x v="1"/>
    <x v="1"/>
  </r>
  <r>
    <d v="2023-06-06T00:00:00"/>
    <s v="ORD-001434"/>
    <x v="3"/>
    <x v="34"/>
    <n v="1639.44"/>
    <s v="South"/>
    <n v="1893.56"/>
    <n v="254.12"/>
    <n v="15"/>
    <n v="2"/>
    <s v="June"/>
    <n v="2023"/>
    <x v="0"/>
    <x v="0"/>
  </r>
  <r>
    <d v="2023-09-09T00:00:00"/>
    <s v="ORD-001435"/>
    <x v="2"/>
    <x v="10"/>
    <n v="209.19"/>
    <s v="Central"/>
    <n v="279.42"/>
    <n v="70.23"/>
    <n v="20"/>
    <n v="2"/>
    <s v="September"/>
    <n v="2023"/>
    <x v="0"/>
    <x v="0"/>
  </r>
  <r>
    <d v="2024-09-03T00:00:00"/>
    <s v="ORD-001436"/>
    <x v="5"/>
    <x v="18"/>
    <n v="1997.83"/>
    <s v="Central"/>
    <n v="2071.2600000000002"/>
    <n v="73.430000000000007"/>
    <n v="30"/>
    <n v="1"/>
    <s v="September"/>
    <n v="2024"/>
    <x v="0"/>
    <x v="2"/>
  </r>
  <r>
    <d v="2025-11-30T00:00:00"/>
    <s v="ORD-001437"/>
    <x v="2"/>
    <x v="10"/>
    <n v="243.4"/>
    <s v="Central"/>
    <n v="527.49"/>
    <n v="284.08999999999997"/>
    <n v="0"/>
    <n v="5"/>
    <s v="November"/>
    <n v="2025"/>
    <x v="2"/>
    <x v="1"/>
  </r>
  <r>
    <d v="2024-10-19T00:00:00"/>
    <s v="ORD-001438"/>
    <x v="5"/>
    <x v="20"/>
    <n v="740.41"/>
    <s v="West"/>
    <n v="1485.87"/>
    <n v="745.46"/>
    <n v="15"/>
    <n v="2"/>
    <s v="October"/>
    <n v="2024"/>
    <x v="0"/>
    <x v="0"/>
  </r>
  <r>
    <d v="2023-12-25T00:00:00"/>
    <s v="ORD-001439"/>
    <x v="4"/>
    <x v="40"/>
    <n v="8176.08"/>
    <s v="South"/>
    <n v="10268.879999999999"/>
    <n v="2092.8000000000002"/>
    <n v="20"/>
    <n v="3"/>
    <s v="December"/>
    <n v="2023"/>
    <x v="0"/>
    <x v="0"/>
  </r>
  <r>
    <d v="2025-09-23T00:00:00"/>
    <s v="ORD-001440"/>
    <x v="1"/>
    <x v="24"/>
    <n v="4970.63"/>
    <s v="South"/>
    <n v="6001.54"/>
    <n v="1030.9100000000001"/>
    <n v="25"/>
    <n v="2"/>
    <s v="September"/>
    <n v="2025"/>
    <x v="0"/>
    <x v="2"/>
  </r>
  <r>
    <d v="2023-04-05T00:00:00"/>
    <s v="ORD-001441"/>
    <x v="2"/>
    <x v="13"/>
    <n v="929.42"/>
    <s v="North"/>
    <n v="1444.58"/>
    <n v="515.16"/>
    <n v="10"/>
    <n v="1"/>
    <s v="April"/>
    <n v="2023"/>
    <x v="1"/>
    <x v="1"/>
  </r>
  <r>
    <d v="2023-08-25T00:00:00"/>
    <s v="ORD-001442"/>
    <x v="3"/>
    <x v="28"/>
    <n v="17527.98"/>
    <s v="South"/>
    <n v="18292.59"/>
    <n v="764.61"/>
    <n v="15"/>
    <n v="2"/>
    <s v="August"/>
    <n v="2023"/>
    <x v="0"/>
    <x v="0"/>
  </r>
  <r>
    <d v="2025-03-02T00:00:00"/>
    <s v="ORD-001443"/>
    <x v="5"/>
    <x v="14"/>
    <n v="625.09"/>
    <s v="East"/>
    <n v="883.38"/>
    <n v="258.29000000000002"/>
    <n v="15"/>
    <n v="1"/>
    <s v="March"/>
    <n v="2025"/>
    <x v="0"/>
    <x v="0"/>
  </r>
  <r>
    <d v="2025-08-30T00:00:00"/>
    <s v="ORD-001444"/>
    <x v="1"/>
    <x v="24"/>
    <n v="1974.1"/>
    <s v="South"/>
    <n v="2599.4299999999998"/>
    <n v="625.33000000000004"/>
    <n v="10"/>
    <n v="1"/>
    <s v="August"/>
    <n v="2025"/>
    <x v="1"/>
    <x v="1"/>
  </r>
  <r>
    <d v="2024-06-22T00:00:00"/>
    <s v="ORD-001445"/>
    <x v="2"/>
    <x v="31"/>
    <n v="528.45000000000005"/>
    <s v="East"/>
    <n v="783.55"/>
    <n v="255.1"/>
    <n v="25"/>
    <n v="4"/>
    <s v="June"/>
    <n v="2024"/>
    <x v="0"/>
    <x v="2"/>
  </r>
  <r>
    <d v="2025-02-14T00:00:00"/>
    <s v="ORD-001446"/>
    <x v="0"/>
    <x v="8"/>
    <n v="359.67"/>
    <s v="South"/>
    <n v="633.25"/>
    <n v="273.58"/>
    <n v="10"/>
    <n v="1"/>
    <s v="February"/>
    <n v="2025"/>
    <x v="1"/>
    <x v="1"/>
  </r>
  <r>
    <d v="2025-12-04T00:00:00"/>
    <s v="ORD-001447"/>
    <x v="3"/>
    <x v="22"/>
    <n v="9703.32"/>
    <s v="Central"/>
    <n v="11282.53"/>
    <n v="1579.21"/>
    <n v="10"/>
    <n v="1"/>
    <s v="December"/>
    <n v="2025"/>
    <x v="1"/>
    <x v="1"/>
  </r>
  <r>
    <d v="2023-02-05T00:00:00"/>
    <s v="ORD-001448"/>
    <x v="0"/>
    <x v="0"/>
    <n v="201.18"/>
    <s v="Central"/>
    <n v="316.64"/>
    <n v="115.46"/>
    <n v="15"/>
    <n v="1"/>
    <s v="February"/>
    <n v="2023"/>
    <x v="0"/>
    <x v="0"/>
  </r>
  <r>
    <d v="2025-01-18T00:00:00"/>
    <s v="ORD-001449"/>
    <x v="2"/>
    <x v="13"/>
    <n v="1213.26"/>
    <s v="West"/>
    <n v="2005.67"/>
    <n v="792.41"/>
    <n v="25"/>
    <n v="5"/>
    <s v="January"/>
    <n v="2025"/>
    <x v="0"/>
    <x v="2"/>
  </r>
  <r>
    <d v="2023-03-12T00:00:00"/>
    <s v="ORD-001450"/>
    <x v="2"/>
    <x v="2"/>
    <n v="80.22"/>
    <s v="North"/>
    <n v="118.94"/>
    <n v="38.72"/>
    <n v="5"/>
    <n v="1"/>
    <s v="March"/>
    <n v="2023"/>
    <x v="1"/>
    <x v="1"/>
  </r>
  <r>
    <d v="2023-04-29T00:00:00"/>
    <s v="ORD-001451"/>
    <x v="2"/>
    <x v="25"/>
    <n v="177.19"/>
    <s v="East"/>
    <n v="303.31"/>
    <n v="126.12"/>
    <n v="20"/>
    <n v="3"/>
    <s v="April"/>
    <n v="2023"/>
    <x v="0"/>
    <x v="0"/>
  </r>
  <r>
    <d v="2023-12-06T00:00:00"/>
    <s v="ORD-001452"/>
    <x v="2"/>
    <x v="10"/>
    <n v="2304.98"/>
    <s v="West"/>
    <n v="2939.32"/>
    <n v="634.34"/>
    <n v="30"/>
    <n v="3"/>
    <s v="December"/>
    <n v="2023"/>
    <x v="0"/>
    <x v="2"/>
  </r>
  <r>
    <d v="2023-02-28T00:00:00"/>
    <s v="ORD-001453"/>
    <x v="3"/>
    <x v="32"/>
    <n v="12647.52"/>
    <s v="South"/>
    <n v="16774.93"/>
    <n v="4127.41"/>
    <n v="5"/>
    <n v="5"/>
    <s v="February"/>
    <n v="2023"/>
    <x v="1"/>
    <x v="1"/>
  </r>
  <r>
    <d v="2023-02-26T00:00:00"/>
    <s v="ORD-001454"/>
    <x v="3"/>
    <x v="28"/>
    <n v="10949.3"/>
    <s v="West"/>
    <n v="11592.55"/>
    <n v="643.25"/>
    <n v="20"/>
    <n v="6"/>
    <s v="February"/>
    <n v="2023"/>
    <x v="0"/>
    <x v="0"/>
  </r>
  <r>
    <d v="2024-12-01T00:00:00"/>
    <s v="ORD-001455"/>
    <x v="0"/>
    <x v="4"/>
    <n v="8073.61"/>
    <s v="North"/>
    <n v="12848.11"/>
    <n v="4774.5"/>
    <n v="20"/>
    <n v="4"/>
    <s v="December"/>
    <n v="2024"/>
    <x v="0"/>
    <x v="0"/>
  </r>
  <r>
    <d v="2023-01-23T00:00:00"/>
    <s v="ORD-001456"/>
    <x v="5"/>
    <x v="18"/>
    <n v="7704.42"/>
    <s v="South"/>
    <n v="8664.69"/>
    <n v="960.27"/>
    <n v="30"/>
    <n v="2"/>
    <s v="January"/>
    <n v="2023"/>
    <x v="0"/>
    <x v="2"/>
  </r>
  <r>
    <d v="2024-04-10T00:00:00"/>
    <s v="ORD-001457"/>
    <x v="3"/>
    <x v="22"/>
    <n v="3022.1"/>
    <s v="Central"/>
    <n v="3533.25"/>
    <n v="511.15"/>
    <n v="0"/>
    <n v="1"/>
    <s v="April"/>
    <n v="2024"/>
    <x v="2"/>
    <x v="1"/>
  </r>
  <r>
    <d v="2024-02-15T00:00:00"/>
    <s v="ORD-001458"/>
    <x v="1"/>
    <x v="1"/>
    <n v="12554.06"/>
    <s v="North"/>
    <n v="14408.7"/>
    <n v="1854.64"/>
    <n v="10"/>
    <n v="1"/>
    <s v="February"/>
    <n v="2024"/>
    <x v="1"/>
    <x v="1"/>
  </r>
  <r>
    <d v="2023-04-16T00:00:00"/>
    <s v="ORD-001459"/>
    <x v="0"/>
    <x v="21"/>
    <n v="1328.98"/>
    <s v="West"/>
    <n v="1960.94"/>
    <n v="631.96"/>
    <n v="30"/>
    <n v="1"/>
    <s v="April"/>
    <n v="2023"/>
    <x v="0"/>
    <x v="2"/>
  </r>
  <r>
    <d v="2023-02-20T00:00:00"/>
    <s v="ORD-001460"/>
    <x v="2"/>
    <x v="38"/>
    <n v="647.37"/>
    <s v="North"/>
    <n v="822.58"/>
    <n v="175.21"/>
    <n v="20"/>
    <n v="1"/>
    <s v="February"/>
    <n v="2023"/>
    <x v="0"/>
    <x v="0"/>
  </r>
  <r>
    <d v="2023-09-26T00:00:00"/>
    <s v="ORD-001461"/>
    <x v="3"/>
    <x v="22"/>
    <n v="67503.33"/>
    <s v="East"/>
    <n v="75140.14"/>
    <n v="7636.81"/>
    <n v="10"/>
    <n v="4"/>
    <s v="September"/>
    <n v="2023"/>
    <x v="1"/>
    <x v="1"/>
  </r>
  <r>
    <d v="2023-09-23T00:00:00"/>
    <s v="ORD-001462"/>
    <x v="2"/>
    <x v="35"/>
    <n v="220.16"/>
    <s v="East"/>
    <n v="456.3"/>
    <n v="236.14"/>
    <n v="10"/>
    <n v="1"/>
    <s v="September"/>
    <n v="2023"/>
    <x v="1"/>
    <x v="1"/>
  </r>
  <r>
    <d v="2023-10-07T00:00:00"/>
    <s v="ORD-001463"/>
    <x v="5"/>
    <x v="33"/>
    <n v="4028.93"/>
    <s v="South"/>
    <n v="9888.73"/>
    <n v="5859.8"/>
    <n v="0"/>
    <n v="5"/>
    <s v="October"/>
    <n v="2023"/>
    <x v="2"/>
    <x v="1"/>
  </r>
  <r>
    <d v="2024-10-19T00:00:00"/>
    <s v="ORD-001464"/>
    <x v="4"/>
    <x v="30"/>
    <n v="13826.48"/>
    <s v="South"/>
    <n v="16769.27"/>
    <n v="2942.79"/>
    <n v="15"/>
    <n v="1"/>
    <s v="October"/>
    <n v="2024"/>
    <x v="0"/>
    <x v="0"/>
  </r>
  <r>
    <d v="2024-01-09T00:00:00"/>
    <s v="ORD-001465"/>
    <x v="0"/>
    <x v="4"/>
    <n v="938.92"/>
    <s v="South"/>
    <n v="1176.46"/>
    <n v="237.54"/>
    <n v="30"/>
    <n v="1"/>
    <s v="January"/>
    <n v="2024"/>
    <x v="0"/>
    <x v="2"/>
  </r>
  <r>
    <d v="2025-04-26T00:00:00"/>
    <s v="ORD-001466"/>
    <x v="2"/>
    <x v="13"/>
    <n v="166.99"/>
    <s v="West"/>
    <n v="259.75"/>
    <n v="92.76"/>
    <n v="20"/>
    <n v="3"/>
    <s v="April"/>
    <n v="2025"/>
    <x v="0"/>
    <x v="0"/>
  </r>
  <r>
    <d v="2023-05-19T00:00:00"/>
    <s v="ORD-001467"/>
    <x v="0"/>
    <x v="8"/>
    <n v="381.81"/>
    <s v="West"/>
    <n v="656.29"/>
    <n v="274.48"/>
    <n v="20"/>
    <n v="1"/>
    <s v="May"/>
    <n v="2023"/>
    <x v="0"/>
    <x v="0"/>
  </r>
  <r>
    <d v="2023-02-08T00:00:00"/>
    <s v="ORD-001468"/>
    <x v="4"/>
    <x v="40"/>
    <n v="30436.51"/>
    <s v="West"/>
    <n v="37421.43"/>
    <n v="6984.92"/>
    <n v="10"/>
    <n v="2"/>
    <s v="February"/>
    <n v="2023"/>
    <x v="1"/>
    <x v="1"/>
  </r>
  <r>
    <d v="2024-07-15T00:00:00"/>
    <s v="ORD-001469"/>
    <x v="1"/>
    <x v="9"/>
    <n v="19335.46"/>
    <s v="West"/>
    <n v="24868.28"/>
    <n v="5532.82"/>
    <n v="5"/>
    <n v="3"/>
    <s v="July"/>
    <n v="2024"/>
    <x v="1"/>
    <x v="1"/>
  </r>
  <r>
    <d v="2023-05-27T00:00:00"/>
    <s v="ORD-001470"/>
    <x v="1"/>
    <x v="29"/>
    <n v="7310.97"/>
    <s v="West"/>
    <n v="8061.93"/>
    <n v="750.96"/>
    <n v="25"/>
    <n v="2"/>
    <s v="May"/>
    <n v="2023"/>
    <x v="0"/>
    <x v="2"/>
  </r>
  <r>
    <d v="2024-10-01T00:00:00"/>
    <s v="ORD-001471"/>
    <x v="3"/>
    <x v="28"/>
    <n v="21925.97"/>
    <s v="South"/>
    <n v="29486.959999999999"/>
    <n v="7560.99"/>
    <n v="5"/>
    <n v="2"/>
    <s v="October"/>
    <n v="2024"/>
    <x v="1"/>
    <x v="1"/>
  </r>
  <r>
    <d v="2023-06-18T00:00:00"/>
    <s v="ORD-001472"/>
    <x v="5"/>
    <x v="27"/>
    <n v="15678.11"/>
    <s v="South"/>
    <n v="22534.48"/>
    <n v="6856.37"/>
    <n v="20"/>
    <n v="8"/>
    <s v="June"/>
    <n v="2023"/>
    <x v="0"/>
    <x v="0"/>
  </r>
  <r>
    <d v="2023-07-20T00:00:00"/>
    <s v="ORD-001473"/>
    <x v="5"/>
    <x v="20"/>
    <n v="5699.33"/>
    <s v="South"/>
    <n v="8467.85"/>
    <n v="2768.52"/>
    <n v="0"/>
    <n v="4"/>
    <s v="July"/>
    <n v="2023"/>
    <x v="2"/>
    <x v="1"/>
  </r>
  <r>
    <d v="2024-01-09T00:00:00"/>
    <s v="ORD-001474"/>
    <x v="1"/>
    <x v="9"/>
    <n v="1628.33"/>
    <s v="South"/>
    <n v="2355.06"/>
    <n v="726.73"/>
    <n v="10"/>
    <n v="1"/>
    <s v="January"/>
    <n v="2024"/>
    <x v="1"/>
    <x v="1"/>
  </r>
  <r>
    <d v="2023-03-05T00:00:00"/>
    <s v="ORD-001475"/>
    <x v="3"/>
    <x v="22"/>
    <n v="1176.4000000000001"/>
    <s v="West"/>
    <n v="1237.57"/>
    <n v="61.17"/>
    <n v="20"/>
    <n v="1"/>
    <s v="March"/>
    <n v="2023"/>
    <x v="0"/>
    <x v="0"/>
  </r>
  <r>
    <d v="2025-12-15T00:00:00"/>
    <s v="ORD-001476"/>
    <x v="2"/>
    <x v="31"/>
    <n v="144.16999999999999"/>
    <s v="South"/>
    <n v="219.46"/>
    <n v="75.290000000000006"/>
    <n v="15"/>
    <n v="1"/>
    <s v="December"/>
    <n v="2025"/>
    <x v="0"/>
    <x v="0"/>
  </r>
  <r>
    <d v="2023-10-08T00:00:00"/>
    <s v="ORD-001477"/>
    <x v="4"/>
    <x v="40"/>
    <n v="16032.59"/>
    <s v="West"/>
    <n v="23116.93"/>
    <n v="7084.34"/>
    <n v="0"/>
    <n v="3"/>
    <s v="October"/>
    <n v="2023"/>
    <x v="2"/>
    <x v="1"/>
  </r>
  <r>
    <d v="2025-02-01T00:00:00"/>
    <s v="ORD-001478"/>
    <x v="3"/>
    <x v="12"/>
    <n v="44198"/>
    <s v="West"/>
    <n v="55271.77"/>
    <n v="11073.77"/>
    <n v="5"/>
    <n v="4"/>
    <s v="February"/>
    <n v="2025"/>
    <x v="1"/>
    <x v="1"/>
  </r>
  <r>
    <d v="2025-12-15T00:00:00"/>
    <s v="ORD-001479"/>
    <x v="4"/>
    <x v="42"/>
    <n v="5836.98"/>
    <s v="West"/>
    <n v="7832.29"/>
    <n v="1995.31"/>
    <n v="5"/>
    <n v="4"/>
    <s v="December"/>
    <n v="2025"/>
    <x v="1"/>
    <x v="1"/>
  </r>
  <r>
    <d v="2023-08-30T00:00:00"/>
    <s v="ORD-001480"/>
    <x v="5"/>
    <x v="14"/>
    <n v="2629.36"/>
    <s v="West"/>
    <n v="4455.5200000000004"/>
    <n v="1826.16"/>
    <n v="5"/>
    <n v="3"/>
    <s v="August"/>
    <n v="2023"/>
    <x v="1"/>
    <x v="1"/>
  </r>
  <r>
    <d v="2024-08-13T00:00:00"/>
    <s v="ORD-001481"/>
    <x v="1"/>
    <x v="23"/>
    <n v="20565.689999999999"/>
    <s v="West"/>
    <n v="29136.99"/>
    <n v="8571.2999999999993"/>
    <n v="10"/>
    <n v="3"/>
    <s v="August"/>
    <n v="2024"/>
    <x v="1"/>
    <x v="1"/>
  </r>
  <r>
    <d v="2025-07-26T00:00:00"/>
    <s v="ORD-001482"/>
    <x v="2"/>
    <x v="38"/>
    <n v="759.06"/>
    <s v="South"/>
    <n v="840.74"/>
    <n v="81.680000000000007"/>
    <n v="30"/>
    <n v="2"/>
    <s v="July"/>
    <n v="2025"/>
    <x v="0"/>
    <x v="2"/>
  </r>
  <r>
    <d v="2025-02-02T00:00:00"/>
    <s v="ORD-001483"/>
    <x v="0"/>
    <x v="6"/>
    <n v="597.54"/>
    <s v="South"/>
    <n v="1027.5899999999999"/>
    <n v="430.05"/>
    <n v="15"/>
    <n v="1"/>
    <s v="February"/>
    <n v="2025"/>
    <x v="0"/>
    <x v="0"/>
  </r>
  <r>
    <d v="2024-03-04T00:00:00"/>
    <s v="ORD-001484"/>
    <x v="5"/>
    <x v="18"/>
    <n v="3402.71"/>
    <s v="Central"/>
    <n v="4417.76"/>
    <n v="1015.05"/>
    <n v="20"/>
    <n v="6"/>
    <s v="March"/>
    <n v="2024"/>
    <x v="0"/>
    <x v="0"/>
  </r>
  <r>
    <d v="2023-07-27T00:00:00"/>
    <s v="ORD-001485"/>
    <x v="5"/>
    <x v="33"/>
    <n v="3260.91"/>
    <s v="North"/>
    <n v="4273.5600000000004"/>
    <n v="1012.65"/>
    <n v="25"/>
    <n v="1"/>
    <s v="July"/>
    <n v="2023"/>
    <x v="0"/>
    <x v="2"/>
  </r>
  <r>
    <d v="2024-08-23T00:00:00"/>
    <s v="ORD-001486"/>
    <x v="2"/>
    <x v="13"/>
    <n v="50.55"/>
    <s v="North"/>
    <n v="83.89"/>
    <n v="33.340000000000003"/>
    <n v="10"/>
    <n v="1"/>
    <s v="August"/>
    <n v="2024"/>
    <x v="1"/>
    <x v="1"/>
  </r>
  <r>
    <d v="2025-07-04T00:00:00"/>
    <s v="ORD-001487"/>
    <x v="3"/>
    <x v="3"/>
    <n v="18995.82"/>
    <s v="Central"/>
    <n v="23066.400000000001"/>
    <n v="4070.58"/>
    <n v="0"/>
    <n v="2"/>
    <s v="July"/>
    <n v="2025"/>
    <x v="2"/>
    <x v="1"/>
  </r>
  <r>
    <d v="2024-01-13T00:00:00"/>
    <s v="ORD-001488"/>
    <x v="3"/>
    <x v="22"/>
    <n v="19876.7"/>
    <s v="South"/>
    <n v="22196.6"/>
    <n v="2319.9"/>
    <n v="15"/>
    <n v="4"/>
    <s v="January"/>
    <n v="2024"/>
    <x v="0"/>
    <x v="0"/>
  </r>
  <r>
    <d v="2025-03-07T00:00:00"/>
    <s v="ORD-001489"/>
    <x v="3"/>
    <x v="37"/>
    <n v="12795.06"/>
    <s v="South"/>
    <n v="15469.47"/>
    <n v="2674.41"/>
    <n v="5"/>
    <n v="1"/>
    <s v="March"/>
    <n v="2025"/>
    <x v="1"/>
    <x v="1"/>
  </r>
  <r>
    <d v="2024-01-28T00:00:00"/>
    <s v="ORD-001490"/>
    <x v="2"/>
    <x v="13"/>
    <n v="716.92"/>
    <s v="East"/>
    <n v="1140.8599999999999"/>
    <n v="423.94"/>
    <n v="20"/>
    <n v="1"/>
    <s v="January"/>
    <n v="2024"/>
    <x v="0"/>
    <x v="0"/>
  </r>
  <r>
    <d v="2023-08-09T00:00:00"/>
    <s v="ORD-001491"/>
    <x v="5"/>
    <x v="18"/>
    <n v="3902.67"/>
    <s v="South"/>
    <n v="5881.6"/>
    <n v="1978.93"/>
    <n v="0"/>
    <n v="5"/>
    <s v="August"/>
    <n v="2023"/>
    <x v="2"/>
    <x v="1"/>
  </r>
  <r>
    <d v="2024-04-27T00:00:00"/>
    <s v="ORD-001492"/>
    <x v="4"/>
    <x v="7"/>
    <n v="1672.64"/>
    <s v="North"/>
    <n v="1906.53"/>
    <n v="233.89"/>
    <n v="15"/>
    <n v="1"/>
    <s v="April"/>
    <n v="2024"/>
    <x v="0"/>
    <x v="0"/>
  </r>
  <r>
    <d v="2025-07-27T00:00:00"/>
    <s v="ORD-001493"/>
    <x v="4"/>
    <x v="7"/>
    <n v="24231.42"/>
    <s v="North"/>
    <n v="24413.32"/>
    <n v="181.9"/>
    <n v="30"/>
    <n v="3"/>
    <s v="July"/>
    <n v="2025"/>
    <x v="0"/>
    <x v="2"/>
  </r>
  <r>
    <d v="2023-04-28T00:00:00"/>
    <s v="ORD-001494"/>
    <x v="1"/>
    <x v="29"/>
    <n v="2183.66"/>
    <s v="West"/>
    <n v="2552.65"/>
    <n v="368.99"/>
    <n v="15"/>
    <n v="2"/>
    <s v="April"/>
    <n v="2023"/>
    <x v="0"/>
    <x v="0"/>
  </r>
  <r>
    <d v="2025-03-19T00:00:00"/>
    <s v="ORD-001495"/>
    <x v="4"/>
    <x v="39"/>
    <n v="5219.78"/>
    <s v="North"/>
    <n v="6796.3"/>
    <n v="1576.52"/>
    <n v="0"/>
    <n v="1"/>
    <s v="March"/>
    <n v="2025"/>
    <x v="2"/>
    <x v="1"/>
  </r>
  <r>
    <d v="2023-06-04T00:00:00"/>
    <s v="ORD-001496"/>
    <x v="3"/>
    <x v="22"/>
    <n v="4677.07"/>
    <s v="West"/>
    <n v="4817.38"/>
    <n v="140.31"/>
    <n v="19"/>
    <n v="3"/>
    <s v="June"/>
    <n v="2023"/>
    <x v="0"/>
    <x v="0"/>
  </r>
  <r>
    <d v="2023-05-30T00:00:00"/>
    <s v="ORD-001497"/>
    <x v="5"/>
    <x v="27"/>
    <n v="8001.95"/>
    <s v="South"/>
    <n v="14285.83"/>
    <n v="6283.88"/>
    <n v="0"/>
    <n v="5"/>
    <s v="May"/>
    <n v="2023"/>
    <x v="2"/>
    <x v="1"/>
  </r>
  <r>
    <d v="2025-01-01T00:00:00"/>
    <s v="ORD-001498"/>
    <x v="2"/>
    <x v="10"/>
    <n v="676.33"/>
    <s v="West"/>
    <n v="1303.07"/>
    <n v="626.74"/>
    <n v="0"/>
    <n v="1"/>
    <s v="January"/>
    <n v="2025"/>
    <x v="2"/>
    <x v="1"/>
  </r>
  <r>
    <d v="2024-10-25T00:00:00"/>
    <s v="ORD-001499"/>
    <x v="2"/>
    <x v="35"/>
    <n v="155.15"/>
    <s v="South"/>
    <n v="266.17"/>
    <n v="111.02"/>
    <n v="10"/>
    <n v="1"/>
    <s v="October"/>
    <n v="2024"/>
    <x v="1"/>
    <x v="1"/>
  </r>
  <r>
    <d v="2023-11-04T00:00:00"/>
    <s v="ORD-001500"/>
    <x v="1"/>
    <x v="5"/>
    <n v="4138.47"/>
    <s v="East"/>
    <n v="4160.83"/>
    <n v="22.36"/>
    <n v="22"/>
    <n v="2"/>
    <s v="November"/>
    <n v="2023"/>
    <x v="0"/>
    <x v="2"/>
  </r>
  <r>
    <d v="2024-10-29T00:00:00"/>
    <s v="ORD-001501"/>
    <x v="3"/>
    <x v="22"/>
    <n v="692.13"/>
    <s v="North"/>
    <n v="942.73"/>
    <n v="250.6"/>
    <n v="5"/>
    <n v="1"/>
    <s v="October"/>
    <n v="2024"/>
    <x v="1"/>
    <x v="1"/>
  </r>
  <r>
    <d v="2023-03-02T00:00:00"/>
    <s v="ORD-001502"/>
    <x v="2"/>
    <x v="13"/>
    <n v="170.74"/>
    <s v="East"/>
    <n v="365.31"/>
    <n v="194.57"/>
    <n v="0"/>
    <n v="1"/>
    <s v="March"/>
    <n v="2023"/>
    <x v="2"/>
    <x v="1"/>
  </r>
  <r>
    <d v="2024-03-13T00:00:00"/>
    <s v="ORD-001503"/>
    <x v="5"/>
    <x v="18"/>
    <n v="544.95000000000005"/>
    <s v="South"/>
    <n v="987.59"/>
    <n v="442.64"/>
    <n v="15"/>
    <n v="1"/>
    <s v="March"/>
    <n v="2024"/>
    <x v="0"/>
    <x v="0"/>
  </r>
  <r>
    <d v="2023-02-10T00:00:00"/>
    <s v="ORD-001504"/>
    <x v="4"/>
    <x v="26"/>
    <n v="4516.05"/>
    <s v="South"/>
    <n v="6956.41"/>
    <n v="2440.36"/>
    <n v="10"/>
    <n v="4"/>
    <s v="February"/>
    <n v="2023"/>
    <x v="1"/>
    <x v="1"/>
  </r>
  <r>
    <d v="2024-12-14T00:00:00"/>
    <s v="ORD-001505"/>
    <x v="3"/>
    <x v="34"/>
    <n v="967.2"/>
    <s v="South"/>
    <n v="975.18"/>
    <n v="7.98"/>
    <n v="30"/>
    <n v="1"/>
    <s v="December"/>
    <n v="2024"/>
    <x v="0"/>
    <x v="2"/>
  </r>
  <r>
    <d v="2025-09-18T00:00:00"/>
    <s v="ORD-001506"/>
    <x v="1"/>
    <x v="9"/>
    <n v="12716.72"/>
    <s v="South"/>
    <n v="14035.21"/>
    <n v="1318.49"/>
    <n v="15"/>
    <n v="1"/>
    <s v="September"/>
    <n v="2025"/>
    <x v="0"/>
    <x v="0"/>
  </r>
  <r>
    <d v="2023-11-11T00:00:00"/>
    <s v="ORD-001507"/>
    <x v="1"/>
    <x v="1"/>
    <n v="23157.01"/>
    <s v="West"/>
    <n v="24297.86"/>
    <n v="1140.8499999999999"/>
    <n v="20"/>
    <n v="5"/>
    <s v="November"/>
    <n v="2023"/>
    <x v="0"/>
    <x v="0"/>
  </r>
  <r>
    <d v="2025-08-12T00:00:00"/>
    <s v="ORD-001508"/>
    <x v="5"/>
    <x v="27"/>
    <n v="5076.13"/>
    <s v="Central"/>
    <n v="7899.48"/>
    <n v="2823.35"/>
    <n v="30"/>
    <n v="3"/>
    <s v="August"/>
    <n v="2025"/>
    <x v="0"/>
    <x v="2"/>
  </r>
  <r>
    <d v="2025-06-18T00:00:00"/>
    <s v="ORD-001509"/>
    <x v="5"/>
    <x v="33"/>
    <n v="1668.55"/>
    <s v="West"/>
    <n v="3845.85"/>
    <n v="2177.3000000000002"/>
    <n v="5"/>
    <n v="2"/>
    <s v="June"/>
    <n v="2025"/>
    <x v="1"/>
    <x v="1"/>
  </r>
  <r>
    <d v="2024-04-24T00:00:00"/>
    <s v="ORD-001510"/>
    <x v="4"/>
    <x v="26"/>
    <n v="16773.18"/>
    <s v="East"/>
    <n v="22522.959999999999"/>
    <n v="5749.78"/>
    <n v="15"/>
    <n v="4"/>
    <s v="April"/>
    <n v="2024"/>
    <x v="0"/>
    <x v="0"/>
  </r>
  <r>
    <d v="2024-01-28T00:00:00"/>
    <s v="ORD-001511"/>
    <x v="1"/>
    <x v="24"/>
    <n v="1656.52"/>
    <s v="North"/>
    <n v="2517.33"/>
    <n v="860.81"/>
    <n v="0"/>
    <n v="1"/>
    <s v="January"/>
    <n v="2024"/>
    <x v="2"/>
    <x v="1"/>
  </r>
  <r>
    <d v="2024-11-30T00:00:00"/>
    <s v="ORD-001512"/>
    <x v="3"/>
    <x v="3"/>
    <n v="1547.36"/>
    <s v="West"/>
    <n v="2193.13"/>
    <n v="645.77"/>
    <n v="0"/>
    <n v="2"/>
    <s v="November"/>
    <n v="2024"/>
    <x v="2"/>
    <x v="1"/>
  </r>
  <r>
    <d v="2023-12-29T00:00:00"/>
    <s v="ORD-001513"/>
    <x v="1"/>
    <x v="1"/>
    <n v="56256.97"/>
    <s v="West"/>
    <n v="70444.490000000005"/>
    <n v="14187.52"/>
    <n v="10"/>
    <n v="10"/>
    <s v="December"/>
    <n v="2023"/>
    <x v="1"/>
    <x v="1"/>
  </r>
  <r>
    <d v="2025-12-17T00:00:00"/>
    <s v="ORD-001514"/>
    <x v="4"/>
    <x v="30"/>
    <n v="6176.08"/>
    <s v="South"/>
    <n v="8719.32"/>
    <n v="2543.2399999999998"/>
    <n v="0"/>
    <n v="2"/>
    <s v="December"/>
    <n v="2025"/>
    <x v="2"/>
    <x v="1"/>
  </r>
  <r>
    <d v="2024-01-15T00:00:00"/>
    <s v="ORD-001515"/>
    <x v="2"/>
    <x v="35"/>
    <n v="551.17999999999995"/>
    <s v="South"/>
    <n v="974.01"/>
    <n v="422.83"/>
    <n v="15"/>
    <n v="2"/>
    <s v="January"/>
    <n v="2024"/>
    <x v="0"/>
    <x v="0"/>
  </r>
  <r>
    <d v="2023-10-15T00:00:00"/>
    <s v="ORD-001516"/>
    <x v="4"/>
    <x v="30"/>
    <n v="4647.33"/>
    <s v="West"/>
    <n v="5442.56"/>
    <n v="795.23"/>
    <n v="10"/>
    <n v="2"/>
    <s v="October"/>
    <n v="2023"/>
    <x v="1"/>
    <x v="1"/>
  </r>
  <r>
    <d v="2024-04-11T00:00:00"/>
    <s v="ORD-001517"/>
    <x v="0"/>
    <x v="8"/>
    <n v="671.36"/>
    <s v="South"/>
    <n v="1043.25"/>
    <n v="371.89"/>
    <n v="5"/>
    <n v="1"/>
    <s v="April"/>
    <n v="2024"/>
    <x v="1"/>
    <x v="1"/>
  </r>
  <r>
    <d v="2024-07-18T00:00:00"/>
    <s v="ORD-001518"/>
    <x v="1"/>
    <x v="29"/>
    <n v="3801.89"/>
    <s v="West"/>
    <n v="3860.29"/>
    <n v="58.4"/>
    <n v="25"/>
    <n v="4"/>
    <s v="July"/>
    <n v="2024"/>
    <x v="0"/>
    <x v="2"/>
  </r>
  <r>
    <d v="2023-02-28T00:00:00"/>
    <s v="ORD-001519"/>
    <x v="5"/>
    <x v="16"/>
    <n v="728.87"/>
    <s v="North"/>
    <n v="867.08"/>
    <n v="138.21"/>
    <n v="30"/>
    <n v="2"/>
    <s v="February"/>
    <n v="2023"/>
    <x v="0"/>
    <x v="2"/>
  </r>
  <r>
    <d v="2024-02-23T00:00:00"/>
    <s v="ORD-001520"/>
    <x v="4"/>
    <x v="30"/>
    <n v="8510.57"/>
    <s v="West"/>
    <n v="8901.92"/>
    <n v="391.35"/>
    <n v="30"/>
    <n v="1"/>
    <s v="February"/>
    <n v="2024"/>
    <x v="0"/>
    <x v="2"/>
  </r>
  <r>
    <d v="2023-09-20T00:00:00"/>
    <s v="ORD-001521"/>
    <x v="5"/>
    <x v="27"/>
    <n v="2491.6799999999998"/>
    <s v="Central"/>
    <n v="4033.42"/>
    <n v="1541.74"/>
    <n v="5"/>
    <n v="2"/>
    <s v="September"/>
    <n v="2023"/>
    <x v="1"/>
    <x v="1"/>
  </r>
  <r>
    <d v="2023-11-05T00:00:00"/>
    <s v="ORD-001522"/>
    <x v="0"/>
    <x v="17"/>
    <n v="727.5"/>
    <s v="West"/>
    <n v="1595.65"/>
    <n v="868.15"/>
    <n v="5"/>
    <n v="2"/>
    <s v="November"/>
    <n v="2023"/>
    <x v="1"/>
    <x v="1"/>
  </r>
  <r>
    <d v="2023-12-27T00:00:00"/>
    <s v="ORD-001523"/>
    <x v="0"/>
    <x v="4"/>
    <n v="595.45000000000005"/>
    <s v="North"/>
    <n v="1113.67"/>
    <n v="518.22"/>
    <n v="5"/>
    <n v="4"/>
    <s v="December"/>
    <n v="2023"/>
    <x v="1"/>
    <x v="1"/>
  </r>
  <r>
    <d v="2023-10-30T00:00:00"/>
    <s v="ORD-001524"/>
    <x v="1"/>
    <x v="9"/>
    <n v="1511.65"/>
    <s v="East"/>
    <n v="1766.94"/>
    <n v="255.29"/>
    <n v="5"/>
    <n v="1"/>
    <s v="October"/>
    <n v="2023"/>
    <x v="1"/>
    <x v="1"/>
  </r>
  <r>
    <d v="2025-05-01T00:00:00"/>
    <s v="ORD-001525"/>
    <x v="2"/>
    <x v="31"/>
    <n v="3103.07"/>
    <s v="East"/>
    <n v="3645.9"/>
    <n v="542.83000000000004"/>
    <n v="20"/>
    <n v="6"/>
    <s v="May"/>
    <n v="2025"/>
    <x v="0"/>
    <x v="0"/>
  </r>
  <r>
    <d v="2023-08-24T00:00:00"/>
    <s v="ORD-001526"/>
    <x v="0"/>
    <x v="4"/>
    <n v="657.01"/>
    <s v="North"/>
    <n v="1477.89"/>
    <n v="820.88"/>
    <n v="5"/>
    <n v="2"/>
    <s v="August"/>
    <n v="2023"/>
    <x v="1"/>
    <x v="1"/>
  </r>
  <r>
    <d v="2024-06-01T00:00:00"/>
    <s v="ORD-001527"/>
    <x v="2"/>
    <x v="38"/>
    <n v="532.22"/>
    <s v="West"/>
    <n v="694.47"/>
    <n v="162.25"/>
    <n v="10"/>
    <n v="3"/>
    <s v="June"/>
    <n v="2024"/>
    <x v="1"/>
    <x v="1"/>
  </r>
  <r>
    <d v="2025-03-11T00:00:00"/>
    <s v="ORD-001528"/>
    <x v="2"/>
    <x v="35"/>
    <n v="565.94000000000005"/>
    <s v="South"/>
    <n v="1066.29"/>
    <n v="500.35"/>
    <n v="15"/>
    <n v="3"/>
    <s v="March"/>
    <n v="2025"/>
    <x v="0"/>
    <x v="0"/>
  </r>
  <r>
    <d v="2023-11-02T00:00:00"/>
    <s v="ORD-001529"/>
    <x v="4"/>
    <x v="11"/>
    <n v="5767.49"/>
    <s v="West"/>
    <n v="9159.0300000000007"/>
    <n v="3391.54"/>
    <n v="0"/>
    <n v="2"/>
    <s v="November"/>
    <n v="2023"/>
    <x v="2"/>
    <x v="1"/>
  </r>
  <r>
    <d v="2025-12-24T00:00:00"/>
    <s v="ORD-001530"/>
    <x v="1"/>
    <x v="1"/>
    <n v="12224.26"/>
    <s v="West"/>
    <n v="15763.05"/>
    <n v="3538.79"/>
    <n v="10"/>
    <n v="3"/>
    <s v="December"/>
    <n v="2025"/>
    <x v="1"/>
    <x v="1"/>
  </r>
  <r>
    <d v="2025-08-18T00:00:00"/>
    <s v="ORD-001531"/>
    <x v="4"/>
    <x v="7"/>
    <n v="3330.42"/>
    <s v="Central"/>
    <n v="4839.79"/>
    <n v="1509.37"/>
    <n v="15"/>
    <n v="2"/>
    <s v="August"/>
    <n v="2025"/>
    <x v="0"/>
    <x v="0"/>
  </r>
  <r>
    <d v="2025-05-02T00:00:00"/>
    <s v="ORD-001532"/>
    <x v="3"/>
    <x v="32"/>
    <n v="939.56"/>
    <s v="Central"/>
    <n v="949.11"/>
    <n v="9.5500000000000007"/>
    <n v="15"/>
    <n v="1"/>
    <s v="May"/>
    <n v="2025"/>
    <x v="0"/>
    <x v="0"/>
  </r>
  <r>
    <d v="2024-02-01T00:00:00"/>
    <s v="ORD-001533"/>
    <x v="2"/>
    <x v="35"/>
    <n v="44.81"/>
    <s v="North"/>
    <n v="85.98"/>
    <n v="41.17"/>
    <n v="10"/>
    <n v="1"/>
    <s v="February"/>
    <n v="2024"/>
    <x v="1"/>
    <x v="1"/>
  </r>
  <r>
    <d v="2023-11-28T00:00:00"/>
    <s v="ORD-001534"/>
    <x v="3"/>
    <x v="32"/>
    <n v="80806"/>
    <s v="North"/>
    <n v="82273.179999999993"/>
    <n v="1467.18"/>
    <n v="20"/>
    <n v="6"/>
    <s v="November"/>
    <n v="2023"/>
    <x v="0"/>
    <x v="0"/>
  </r>
  <r>
    <d v="2024-10-25T00:00:00"/>
    <s v="ORD-001535"/>
    <x v="2"/>
    <x v="31"/>
    <n v="272.88"/>
    <s v="South"/>
    <n v="315.33999999999997"/>
    <n v="42.46"/>
    <n v="25"/>
    <n v="2"/>
    <s v="October"/>
    <n v="2024"/>
    <x v="0"/>
    <x v="2"/>
  </r>
  <r>
    <d v="2025-12-05T00:00:00"/>
    <s v="ORD-001536"/>
    <x v="2"/>
    <x v="13"/>
    <n v="52.69"/>
    <s v="Central"/>
    <n v="70.62"/>
    <n v="17.93"/>
    <n v="15"/>
    <n v="1"/>
    <s v="December"/>
    <n v="2025"/>
    <x v="0"/>
    <x v="0"/>
  </r>
  <r>
    <d v="2025-04-09T00:00:00"/>
    <s v="ORD-001537"/>
    <x v="4"/>
    <x v="42"/>
    <n v="40130.83"/>
    <s v="East"/>
    <n v="49916.22"/>
    <n v="9785.39"/>
    <n v="5"/>
    <n v="4"/>
    <s v="April"/>
    <n v="2025"/>
    <x v="1"/>
    <x v="1"/>
  </r>
  <r>
    <d v="2023-09-30T00:00:00"/>
    <s v="ORD-001538"/>
    <x v="5"/>
    <x v="33"/>
    <n v="1046.28"/>
    <s v="South"/>
    <n v="1490.86"/>
    <n v="444.58"/>
    <n v="10"/>
    <n v="2"/>
    <s v="September"/>
    <n v="2023"/>
    <x v="1"/>
    <x v="1"/>
  </r>
  <r>
    <d v="2025-12-12T00:00:00"/>
    <s v="ORD-001539"/>
    <x v="5"/>
    <x v="36"/>
    <n v="2853.54"/>
    <s v="East"/>
    <n v="5880.86"/>
    <n v="3027.32"/>
    <n v="0"/>
    <n v="5"/>
    <s v="December"/>
    <n v="2025"/>
    <x v="2"/>
    <x v="1"/>
  </r>
  <r>
    <d v="2023-03-14T00:00:00"/>
    <s v="ORD-001540"/>
    <x v="4"/>
    <x v="26"/>
    <n v="14878.29"/>
    <s v="Central"/>
    <n v="19921.71"/>
    <n v="5043.42"/>
    <n v="0"/>
    <n v="4"/>
    <s v="March"/>
    <n v="2023"/>
    <x v="2"/>
    <x v="1"/>
  </r>
  <r>
    <d v="2025-10-09T00:00:00"/>
    <s v="ORD-001541"/>
    <x v="3"/>
    <x v="28"/>
    <n v="7060.26"/>
    <s v="South"/>
    <n v="7107.26"/>
    <n v="47"/>
    <n v="15"/>
    <n v="3"/>
    <s v="October"/>
    <n v="2025"/>
    <x v="0"/>
    <x v="0"/>
  </r>
  <r>
    <d v="2025-12-11T00:00:00"/>
    <s v="ORD-001542"/>
    <x v="0"/>
    <x v="0"/>
    <n v="1551"/>
    <s v="North"/>
    <n v="1835.57"/>
    <n v="284.57"/>
    <n v="25"/>
    <n v="3"/>
    <s v="December"/>
    <n v="2025"/>
    <x v="0"/>
    <x v="2"/>
  </r>
  <r>
    <d v="2023-06-05T00:00:00"/>
    <s v="ORD-001543"/>
    <x v="5"/>
    <x v="14"/>
    <n v="5819.17"/>
    <s v="West"/>
    <n v="13132.87"/>
    <n v="7313.7"/>
    <n v="5"/>
    <n v="3"/>
    <s v="June"/>
    <n v="2023"/>
    <x v="1"/>
    <x v="1"/>
  </r>
  <r>
    <d v="2023-03-04T00:00:00"/>
    <s v="ORD-001544"/>
    <x v="4"/>
    <x v="11"/>
    <n v="15412.82"/>
    <s v="West"/>
    <n v="20521.400000000001"/>
    <n v="5108.58"/>
    <n v="5"/>
    <n v="3"/>
    <s v="March"/>
    <n v="2023"/>
    <x v="1"/>
    <x v="1"/>
  </r>
  <r>
    <d v="2025-12-27T00:00:00"/>
    <s v="ORD-001545"/>
    <x v="1"/>
    <x v="9"/>
    <n v="3777.64"/>
    <s v="Central"/>
    <n v="4454.67"/>
    <n v="677.03"/>
    <n v="10"/>
    <n v="3"/>
    <s v="December"/>
    <n v="2025"/>
    <x v="1"/>
    <x v="1"/>
  </r>
  <r>
    <d v="2023-11-06T00:00:00"/>
    <s v="ORD-001546"/>
    <x v="3"/>
    <x v="34"/>
    <n v="5452.86"/>
    <s v="South"/>
    <n v="5616.45"/>
    <n v="163.59"/>
    <n v="18"/>
    <n v="2"/>
    <s v="November"/>
    <n v="2023"/>
    <x v="0"/>
    <x v="0"/>
  </r>
  <r>
    <d v="2023-03-29T00:00:00"/>
    <s v="ORD-001547"/>
    <x v="1"/>
    <x v="5"/>
    <n v="11581.2"/>
    <s v="South"/>
    <n v="15974.74"/>
    <n v="4393.54"/>
    <n v="15"/>
    <n v="4"/>
    <s v="March"/>
    <n v="2023"/>
    <x v="0"/>
    <x v="0"/>
  </r>
  <r>
    <d v="2025-02-17T00:00:00"/>
    <s v="ORD-001548"/>
    <x v="0"/>
    <x v="17"/>
    <n v="795.09"/>
    <s v="Central"/>
    <n v="1375.42"/>
    <n v="580.33000000000004"/>
    <n v="30"/>
    <n v="3"/>
    <s v="February"/>
    <n v="2025"/>
    <x v="0"/>
    <x v="2"/>
  </r>
  <r>
    <d v="2023-02-22T00:00:00"/>
    <s v="ORD-001549"/>
    <x v="0"/>
    <x v="8"/>
    <n v="2249.33"/>
    <s v="South"/>
    <n v="3882.41"/>
    <n v="1633.08"/>
    <n v="0"/>
    <n v="4"/>
    <s v="February"/>
    <n v="2023"/>
    <x v="2"/>
    <x v="1"/>
  </r>
  <r>
    <d v="2023-11-13T00:00:00"/>
    <s v="ORD-001550"/>
    <x v="2"/>
    <x v="38"/>
    <n v="729.06"/>
    <s v="West"/>
    <n v="1429.02"/>
    <n v="699.96"/>
    <n v="15"/>
    <n v="8"/>
    <s v="November"/>
    <n v="2023"/>
    <x v="0"/>
    <x v="0"/>
  </r>
  <r>
    <d v="2025-05-02T00:00:00"/>
    <s v="ORD-001551"/>
    <x v="2"/>
    <x v="13"/>
    <n v="340.81"/>
    <s v="North"/>
    <n v="570.53"/>
    <n v="229.72"/>
    <n v="15"/>
    <n v="1"/>
    <s v="May"/>
    <n v="2025"/>
    <x v="0"/>
    <x v="0"/>
  </r>
  <r>
    <d v="2024-09-22T00:00:00"/>
    <s v="ORD-001552"/>
    <x v="4"/>
    <x v="26"/>
    <n v="18315.04"/>
    <s v="North"/>
    <n v="19758.89"/>
    <n v="1443.85"/>
    <n v="15"/>
    <n v="1"/>
    <s v="September"/>
    <n v="2024"/>
    <x v="0"/>
    <x v="0"/>
  </r>
  <r>
    <d v="2023-11-08T00:00:00"/>
    <s v="ORD-001553"/>
    <x v="3"/>
    <x v="3"/>
    <n v="7911.7"/>
    <s v="West"/>
    <n v="9347.7900000000009"/>
    <n v="1436.09"/>
    <n v="0"/>
    <n v="2"/>
    <s v="November"/>
    <n v="2023"/>
    <x v="2"/>
    <x v="1"/>
  </r>
  <r>
    <d v="2024-01-26T00:00:00"/>
    <s v="ORD-001554"/>
    <x v="2"/>
    <x v="38"/>
    <n v="87.42"/>
    <s v="West"/>
    <n v="176.23"/>
    <n v="88.81"/>
    <n v="15"/>
    <n v="1"/>
    <s v="January"/>
    <n v="2024"/>
    <x v="0"/>
    <x v="0"/>
  </r>
  <r>
    <d v="2025-04-24T00:00:00"/>
    <s v="ORD-001555"/>
    <x v="2"/>
    <x v="38"/>
    <n v="4276.41"/>
    <s v="East"/>
    <n v="4466.13"/>
    <n v="189.72"/>
    <n v="30"/>
    <n v="6"/>
    <s v="April"/>
    <n v="2025"/>
    <x v="0"/>
    <x v="2"/>
  </r>
  <r>
    <d v="2025-12-14T00:00:00"/>
    <s v="ORD-001556"/>
    <x v="3"/>
    <x v="22"/>
    <n v="30419.15"/>
    <s v="East"/>
    <n v="30458.07"/>
    <n v="38.92"/>
    <n v="26"/>
    <n v="3"/>
    <s v="December"/>
    <n v="2025"/>
    <x v="0"/>
    <x v="2"/>
  </r>
  <r>
    <d v="2025-04-07T00:00:00"/>
    <s v="ORD-001557"/>
    <x v="0"/>
    <x v="4"/>
    <n v="9118.5499999999993"/>
    <s v="South"/>
    <n v="12941.66"/>
    <n v="3823.11"/>
    <n v="15"/>
    <n v="4"/>
    <s v="April"/>
    <n v="2025"/>
    <x v="0"/>
    <x v="0"/>
  </r>
  <r>
    <d v="2023-05-10T00:00:00"/>
    <s v="ORD-001558"/>
    <x v="0"/>
    <x v="4"/>
    <n v="1027.17"/>
    <s v="North"/>
    <n v="1722.14"/>
    <n v="694.97"/>
    <n v="5"/>
    <n v="5"/>
    <s v="May"/>
    <n v="2023"/>
    <x v="1"/>
    <x v="1"/>
  </r>
  <r>
    <d v="2024-11-11T00:00:00"/>
    <s v="ORD-001559"/>
    <x v="2"/>
    <x v="25"/>
    <n v="3955.48"/>
    <s v="East"/>
    <n v="5964.45"/>
    <n v="2008.97"/>
    <n v="5"/>
    <n v="6"/>
    <s v="November"/>
    <n v="2024"/>
    <x v="1"/>
    <x v="1"/>
  </r>
  <r>
    <d v="2024-03-22T00:00:00"/>
    <s v="ORD-001560"/>
    <x v="1"/>
    <x v="29"/>
    <n v="5382.81"/>
    <s v="North"/>
    <n v="5509.06"/>
    <n v="126.25"/>
    <n v="20"/>
    <n v="3"/>
    <s v="March"/>
    <n v="2024"/>
    <x v="0"/>
    <x v="0"/>
  </r>
  <r>
    <d v="2025-04-22T00:00:00"/>
    <s v="ORD-001561"/>
    <x v="5"/>
    <x v="18"/>
    <n v="4603.26"/>
    <s v="South"/>
    <n v="10069.41"/>
    <n v="5466.15"/>
    <n v="5"/>
    <n v="5"/>
    <s v="April"/>
    <n v="2025"/>
    <x v="1"/>
    <x v="1"/>
  </r>
  <r>
    <d v="2024-06-02T00:00:00"/>
    <s v="ORD-001562"/>
    <x v="5"/>
    <x v="14"/>
    <n v="632.5"/>
    <s v="North"/>
    <n v="1157.3599999999999"/>
    <n v="524.86"/>
    <n v="10"/>
    <n v="1"/>
    <s v="June"/>
    <n v="2024"/>
    <x v="1"/>
    <x v="1"/>
  </r>
  <r>
    <d v="2024-09-18T00:00:00"/>
    <s v="ORD-001563"/>
    <x v="3"/>
    <x v="15"/>
    <n v="8602.83"/>
    <s v="West"/>
    <n v="8860.91"/>
    <n v="258.08"/>
    <n v="22"/>
    <n v="4"/>
    <s v="September"/>
    <n v="2024"/>
    <x v="0"/>
    <x v="2"/>
  </r>
  <r>
    <d v="2023-03-06T00:00:00"/>
    <s v="ORD-001564"/>
    <x v="3"/>
    <x v="37"/>
    <n v="12062.08"/>
    <s v="Central"/>
    <n v="12848.3"/>
    <n v="786.22"/>
    <n v="15"/>
    <n v="1"/>
    <s v="March"/>
    <n v="2023"/>
    <x v="0"/>
    <x v="0"/>
  </r>
  <r>
    <d v="2024-02-28T00:00:00"/>
    <s v="ORD-001565"/>
    <x v="3"/>
    <x v="32"/>
    <n v="11140.06"/>
    <s v="North"/>
    <n v="14319.55"/>
    <n v="3179.49"/>
    <n v="10"/>
    <n v="2"/>
    <s v="February"/>
    <n v="2024"/>
    <x v="1"/>
    <x v="1"/>
  </r>
  <r>
    <d v="2024-11-06T00:00:00"/>
    <s v="ORD-001566"/>
    <x v="5"/>
    <x v="36"/>
    <n v="6803.29"/>
    <s v="South"/>
    <n v="13873.79"/>
    <n v="7070.5"/>
    <n v="5"/>
    <n v="8"/>
    <s v="November"/>
    <n v="2024"/>
    <x v="1"/>
    <x v="1"/>
  </r>
  <r>
    <d v="2024-02-06T00:00:00"/>
    <s v="ORD-001567"/>
    <x v="4"/>
    <x v="40"/>
    <n v="2946.41"/>
    <s v="North"/>
    <n v="4288.16"/>
    <n v="1341.75"/>
    <n v="10"/>
    <n v="1"/>
    <s v="February"/>
    <n v="2024"/>
    <x v="1"/>
    <x v="1"/>
  </r>
  <r>
    <d v="2024-04-12T00:00:00"/>
    <s v="ORD-001568"/>
    <x v="2"/>
    <x v="10"/>
    <n v="568.96"/>
    <s v="South"/>
    <n v="950.52"/>
    <n v="381.56"/>
    <n v="10"/>
    <n v="2"/>
    <s v="April"/>
    <n v="2024"/>
    <x v="1"/>
    <x v="1"/>
  </r>
  <r>
    <d v="2024-11-14T00:00:00"/>
    <s v="ORD-001569"/>
    <x v="5"/>
    <x v="33"/>
    <n v="908.33"/>
    <s v="North"/>
    <n v="1414.96"/>
    <n v="506.63"/>
    <n v="0"/>
    <n v="1"/>
    <s v="November"/>
    <n v="2024"/>
    <x v="2"/>
    <x v="1"/>
  </r>
  <r>
    <d v="2023-08-13T00:00:00"/>
    <s v="ORD-001570"/>
    <x v="2"/>
    <x v="2"/>
    <n v="317.92"/>
    <s v="North"/>
    <n v="457.6"/>
    <n v="139.68"/>
    <n v="10"/>
    <n v="2"/>
    <s v="August"/>
    <n v="2023"/>
    <x v="1"/>
    <x v="1"/>
  </r>
  <r>
    <d v="2024-11-03T00:00:00"/>
    <s v="ORD-001571"/>
    <x v="0"/>
    <x v="21"/>
    <n v="2630.9"/>
    <s v="Central"/>
    <n v="3975.48"/>
    <n v="1344.58"/>
    <n v="20"/>
    <n v="1"/>
    <s v="November"/>
    <n v="2024"/>
    <x v="0"/>
    <x v="0"/>
  </r>
  <r>
    <d v="2025-02-16T00:00:00"/>
    <s v="ORD-001572"/>
    <x v="2"/>
    <x v="2"/>
    <n v="1006.92"/>
    <s v="East"/>
    <n v="1900.23"/>
    <n v="893.31"/>
    <n v="5"/>
    <n v="2"/>
    <s v="February"/>
    <n v="2025"/>
    <x v="1"/>
    <x v="1"/>
  </r>
  <r>
    <d v="2023-02-15T00:00:00"/>
    <s v="ORD-001573"/>
    <x v="2"/>
    <x v="13"/>
    <n v="109.47"/>
    <s v="Central"/>
    <n v="222.26"/>
    <n v="112.79"/>
    <n v="10"/>
    <n v="2"/>
    <s v="February"/>
    <n v="2023"/>
    <x v="1"/>
    <x v="1"/>
  </r>
  <r>
    <d v="2023-04-25T00:00:00"/>
    <s v="ORD-001574"/>
    <x v="2"/>
    <x v="38"/>
    <n v="2145.85"/>
    <s v="South"/>
    <n v="3217.48"/>
    <n v="1071.6300000000001"/>
    <n v="0"/>
    <n v="2"/>
    <s v="April"/>
    <n v="2023"/>
    <x v="2"/>
    <x v="1"/>
  </r>
  <r>
    <d v="2023-12-20T00:00:00"/>
    <s v="ORD-001575"/>
    <x v="1"/>
    <x v="1"/>
    <n v="15902.04"/>
    <s v="Central"/>
    <n v="25364.44"/>
    <n v="9462.4"/>
    <n v="0"/>
    <n v="2"/>
    <s v="December"/>
    <n v="2023"/>
    <x v="2"/>
    <x v="1"/>
  </r>
  <r>
    <d v="2025-10-24T00:00:00"/>
    <s v="ORD-001576"/>
    <x v="2"/>
    <x v="25"/>
    <n v="1486.94"/>
    <s v="West"/>
    <n v="2919.44"/>
    <n v="1432.5"/>
    <n v="10"/>
    <n v="4"/>
    <s v="October"/>
    <n v="2025"/>
    <x v="1"/>
    <x v="1"/>
  </r>
  <r>
    <d v="2023-11-02T00:00:00"/>
    <s v="ORD-001577"/>
    <x v="4"/>
    <x v="39"/>
    <n v="9002.15"/>
    <s v="South"/>
    <n v="9272.2099999999991"/>
    <n v="270.06"/>
    <n v="25"/>
    <n v="3"/>
    <s v="November"/>
    <n v="2023"/>
    <x v="0"/>
    <x v="2"/>
  </r>
  <r>
    <d v="2025-03-02T00:00:00"/>
    <s v="ORD-001578"/>
    <x v="0"/>
    <x v="0"/>
    <n v="9686.3799999999992"/>
    <s v="West"/>
    <n v="14689.4"/>
    <n v="5003.0200000000004"/>
    <n v="20"/>
    <n v="4"/>
    <s v="March"/>
    <n v="2025"/>
    <x v="0"/>
    <x v="0"/>
  </r>
  <r>
    <d v="2025-08-01T00:00:00"/>
    <s v="ORD-001579"/>
    <x v="4"/>
    <x v="42"/>
    <n v="65372.38"/>
    <s v="West"/>
    <n v="104295.12"/>
    <n v="38922.74"/>
    <n v="0"/>
    <n v="8"/>
    <s v="August"/>
    <n v="2025"/>
    <x v="2"/>
    <x v="1"/>
  </r>
  <r>
    <d v="2025-01-22T00:00:00"/>
    <s v="ORD-001580"/>
    <x v="2"/>
    <x v="10"/>
    <n v="60.76"/>
    <s v="South"/>
    <n v="80.760000000000005"/>
    <n v="20"/>
    <n v="10"/>
    <n v="1"/>
    <s v="January"/>
    <n v="2025"/>
    <x v="1"/>
    <x v="1"/>
  </r>
  <r>
    <d v="2024-08-20T00:00:00"/>
    <s v="ORD-001581"/>
    <x v="5"/>
    <x v="14"/>
    <n v="714.04"/>
    <s v="West"/>
    <n v="1452.08"/>
    <n v="738.04"/>
    <n v="10"/>
    <n v="2"/>
    <s v="August"/>
    <n v="2024"/>
    <x v="1"/>
    <x v="1"/>
  </r>
  <r>
    <d v="2025-11-12T00:00:00"/>
    <s v="ORD-001582"/>
    <x v="5"/>
    <x v="27"/>
    <n v="11368.08"/>
    <s v="West"/>
    <n v="15985.25"/>
    <n v="4617.17"/>
    <n v="5"/>
    <n v="3"/>
    <s v="November"/>
    <n v="2025"/>
    <x v="1"/>
    <x v="1"/>
  </r>
  <r>
    <d v="2024-10-22T00:00:00"/>
    <s v="ORD-001583"/>
    <x v="0"/>
    <x v="4"/>
    <n v="1026.82"/>
    <s v="East"/>
    <n v="1699.97"/>
    <n v="673.15"/>
    <n v="10"/>
    <n v="6"/>
    <s v="October"/>
    <n v="2024"/>
    <x v="1"/>
    <x v="1"/>
  </r>
  <r>
    <d v="2024-11-23T00:00:00"/>
    <s v="ORD-001584"/>
    <x v="0"/>
    <x v="6"/>
    <n v="3962.31"/>
    <s v="North"/>
    <n v="7238.32"/>
    <n v="3276.01"/>
    <n v="5"/>
    <n v="3"/>
    <s v="November"/>
    <n v="2024"/>
    <x v="1"/>
    <x v="1"/>
  </r>
  <r>
    <d v="2025-06-19T00:00:00"/>
    <s v="ORD-001585"/>
    <x v="5"/>
    <x v="16"/>
    <n v="6935.43"/>
    <s v="West"/>
    <n v="9443.2199999999993"/>
    <n v="2507.79"/>
    <n v="10"/>
    <n v="4"/>
    <s v="June"/>
    <n v="2025"/>
    <x v="1"/>
    <x v="1"/>
  </r>
  <r>
    <d v="2025-12-29T00:00:00"/>
    <s v="ORD-001586"/>
    <x v="5"/>
    <x v="27"/>
    <n v="5384.65"/>
    <s v="North"/>
    <n v="8978.11"/>
    <n v="3593.46"/>
    <n v="10"/>
    <n v="2"/>
    <s v="December"/>
    <n v="2025"/>
    <x v="1"/>
    <x v="1"/>
  </r>
  <r>
    <d v="2025-02-05T00:00:00"/>
    <s v="ORD-001587"/>
    <x v="0"/>
    <x v="17"/>
    <n v="7530.26"/>
    <s v="South"/>
    <n v="11322.4"/>
    <n v="3792.14"/>
    <n v="15"/>
    <n v="8"/>
    <s v="February"/>
    <n v="2025"/>
    <x v="0"/>
    <x v="0"/>
  </r>
  <r>
    <d v="2025-12-31T00:00:00"/>
    <s v="ORD-001588"/>
    <x v="4"/>
    <x v="26"/>
    <n v="3035.65"/>
    <s v="West"/>
    <n v="3147.59"/>
    <n v="111.94"/>
    <n v="30"/>
    <n v="1"/>
    <s v="December"/>
    <n v="2025"/>
    <x v="0"/>
    <x v="2"/>
  </r>
  <r>
    <d v="2025-06-27T00:00:00"/>
    <s v="ORD-001589"/>
    <x v="0"/>
    <x v="6"/>
    <n v="390.98"/>
    <s v="West"/>
    <n v="682.07"/>
    <n v="291.08999999999997"/>
    <n v="25"/>
    <n v="1"/>
    <s v="June"/>
    <n v="2025"/>
    <x v="0"/>
    <x v="2"/>
  </r>
  <r>
    <d v="2024-05-10T00:00:00"/>
    <s v="ORD-001590"/>
    <x v="2"/>
    <x v="38"/>
    <n v="672.71"/>
    <s v="South"/>
    <n v="918.13"/>
    <n v="245.42"/>
    <n v="10"/>
    <n v="4"/>
    <s v="May"/>
    <n v="2024"/>
    <x v="1"/>
    <x v="1"/>
  </r>
  <r>
    <d v="2024-06-04T00:00:00"/>
    <s v="ORD-001591"/>
    <x v="2"/>
    <x v="25"/>
    <n v="157.29"/>
    <s v="South"/>
    <n v="315.45999999999998"/>
    <n v="158.16999999999999"/>
    <n v="5"/>
    <n v="1"/>
    <s v="June"/>
    <n v="2024"/>
    <x v="1"/>
    <x v="1"/>
  </r>
  <r>
    <d v="2024-02-05T00:00:00"/>
    <s v="ORD-001592"/>
    <x v="3"/>
    <x v="22"/>
    <n v="44800.37"/>
    <s v="Central"/>
    <n v="56976.86"/>
    <n v="12176.49"/>
    <n v="0"/>
    <n v="2"/>
    <s v="February"/>
    <n v="2024"/>
    <x v="2"/>
    <x v="1"/>
  </r>
  <r>
    <d v="2023-04-17T00:00:00"/>
    <s v="ORD-001593"/>
    <x v="3"/>
    <x v="28"/>
    <n v="4591.8999999999996"/>
    <s v="West"/>
    <n v="4803.8999999999996"/>
    <n v="212"/>
    <n v="30"/>
    <n v="1"/>
    <s v="April"/>
    <n v="2023"/>
    <x v="0"/>
    <x v="2"/>
  </r>
  <r>
    <d v="2023-11-17T00:00:00"/>
    <s v="ORD-001594"/>
    <x v="2"/>
    <x v="13"/>
    <n v="92.08"/>
    <s v="South"/>
    <n v="144.46"/>
    <n v="52.38"/>
    <n v="15"/>
    <n v="1"/>
    <s v="November"/>
    <n v="2023"/>
    <x v="0"/>
    <x v="0"/>
  </r>
  <r>
    <d v="2025-08-07T00:00:00"/>
    <s v="ORD-001595"/>
    <x v="3"/>
    <x v="37"/>
    <n v="778.98"/>
    <s v="Central"/>
    <n v="1034.29"/>
    <n v="255.31"/>
    <n v="10"/>
    <n v="1"/>
    <s v="August"/>
    <n v="2025"/>
    <x v="1"/>
    <x v="1"/>
  </r>
  <r>
    <d v="2025-05-20T00:00:00"/>
    <s v="ORD-001596"/>
    <x v="2"/>
    <x v="31"/>
    <n v="122.45"/>
    <s v="South"/>
    <n v="169.51"/>
    <n v="47.06"/>
    <n v="15"/>
    <n v="1"/>
    <s v="May"/>
    <n v="2025"/>
    <x v="0"/>
    <x v="0"/>
  </r>
  <r>
    <d v="2025-10-12T00:00:00"/>
    <s v="ORD-001597"/>
    <x v="1"/>
    <x v="24"/>
    <n v="7577.57"/>
    <s v="South"/>
    <n v="9387.17"/>
    <n v="1809.6"/>
    <n v="10"/>
    <n v="3"/>
    <s v="October"/>
    <n v="2025"/>
    <x v="1"/>
    <x v="1"/>
  </r>
  <r>
    <d v="2023-05-31T00:00:00"/>
    <s v="ORD-001598"/>
    <x v="0"/>
    <x v="4"/>
    <n v="2210.4"/>
    <s v="East"/>
    <n v="3529.74"/>
    <n v="1319.34"/>
    <n v="25"/>
    <n v="4"/>
    <s v="May"/>
    <n v="2023"/>
    <x v="0"/>
    <x v="2"/>
  </r>
  <r>
    <d v="2024-10-12T00:00:00"/>
    <s v="ORD-001599"/>
    <x v="5"/>
    <x v="14"/>
    <n v="607.61"/>
    <s v="Central"/>
    <n v="948.4"/>
    <n v="340.79"/>
    <n v="20"/>
    <n v="2"/>
    <s v="October"/>
    <n v="2024"/>
    <x v="0"/>
    <x v="0"/>
  </r>
  <r>
    <d v="2023-05-05T00:00:00"/>
    <s v="ORD-001600"/>
    <x v="3"/>
    <x v="32"/>
    <n v="12938.89"/>
    <s v="East"/>
    <n v="13327.06"/>
    <n v="388.17"/>
    <n v="19"/>
    <n v="2"/>
    <s v="May"/>
    <n v="2023"/>
    <x v="0"/>
    <x v="0"/>
  </r>
  <r>
    <d v="2024-07-03T00:00:00"/>
    <s v="ORD-001601"/>
    <x v="5"/>
    <x v="36"/>
    <n v="1785.42"/>
    <s v="Central"/>
    <n v="3368.02"/>
    <n v="1582.6"/>
    <n v="5"/>
    <n v="3"/>
    <s v="July"/>
    <n v="2024"/>
    <x v="1"/>
    <x v="1"/>
  </r>
  <r>
    <d v="2024-07-15T00:00:00"/>
    <s v="ORD-001602"/>
    <x v="0"/>
    <x v="17"/>
    <n v="2724.31"/>
    <s v="South"/>
    <n v="4313.74"/>
    <n v="1589.43"/>
    <n v="5"/>
    <n v="1"/>
    <s v="July"/>
    <n v="2024"/>
    <x v="1"/>
    <x v="1"/>
  </r>
  <r>
    <d v="2025-06-28T00:00:00"/>
    <s v="ORD-001603"/>
    <x v="1"/>
    <x v="23"/>
    <n v="15486.67"/>
    <s v="South"/>
    <n v="20536.810000000001"/>
    <n v="5050.1400000000003"/>
    <n v="10"/>
    <n v="6"/>
    <s v="June"/>
    <n v="2025"/>
    <x v="1"/>
    <x v="1"/>
  </r>
  <r>
    <d v="2025-12-18T00:00:00"/>
    <s v="ORD-001604"/>
    <x v="0"/>
    <x v="6"/>
    <n v="1334.85"/>
    <s v="South"/>
    <n v="2477.89"/>
    <n v="1143.04"/>
    <n v="15"/>
    <n v="1"/>
    <s v="December"/>
    <n v="2025"/>
    <x v="0"/>
    <x v="0"/>
  </r>
  <r>
    <d v="2025-06-01T00:00:00"/>
    <s v="ORD-001605"/>
    <x v="1"/>
    <x v="24"/>
    <n v="2176.85"/>
    <s v="West"/>
    <n v="2889.35"/>
    <n v="712.5"/>
    <n v="15"/>
    <n v="2"/>
    <s v="June"/>
    <n v="2025"/>
    <x v="0"/>
    <x v="0"/>
  </r>
  <r>
    <d v="2024-10-13T00:00:00"/>
    <s v="ORD-001606"/>
    <x v="5"/>
    <x v="36"/>
    <n v="1432.52"/>
    <s v="South"/>
    <n v="2770.76"/>
    <n v="1338.24"/>
    <n v="5"/>
    <n v="4"/>
    <s v="October"/>
    <n v="2024"/>
    <x v="1"/>
    <x v="1"/>
  </r>
  <r>
    <d v="2025-12-29T00:00:00"/>
    <s v="ORD-001607"/>
    <x v="0"/>
    <x v="6"/>
    <n v="5913.95"/>
    <s v="North"/>
    <n v="11626.98"/>
    <n v="5713.03"/>
    <n v="10"/>
    <n v="3"/>
    <s v="December"/>
    <n v="2025"/>
    <x v="1"/>
    <x v="1"/>
  </r>
  <r>
    <d v="2025-11-10T00:00:00"/>
    <s v="ORD-001608"/>
    <x v="1"/>
    <x v="1"/>
    <n v="20631.64"/>
    <s v="North"/>
    <n v="26397.62"/>
    <n v="5765.98"/>
    <n v="15"/>
    <n v="3"/>
    <s v="November"/>
    <n v="2025"/>
    <x v="0"/>
    <x v="0"/>
  </r>
  <r>
    <d v="2023-07-15T00:00:00"/>
    <s v="ORD-001609"/>
    <x v="5"/>
    <x v="36"/>
    <n v="4531.17"/>
    <s v="North"/>
    <n v="6353.27"/>
    <n v="1822.1"/>
    <n v="5"/>
    <n v="3"/>
    <s v="July"/>
    <n v="2023"/>
    <x v="1"/>
    <x v="1"/>
  </r>
  <r>
    <d v="2023-09-30T00:00:00"/>
    <s v="ORD-001610"/>
    <x v="1"/>
    <x v="23"/>
    <n v="2314.08"/>
    <s v="Central"/>
    <n v="2664.89"/>
    <n v="350.81"/>
    <n v="10"/>
    <n v="1"/>
    <s v="September"/>
    <n v="2023"/>
    <x v="1"/>
    <x v="1"/>
  </r>
  <r>
    <d v="2025-12-11T00:00:00"/>
    <s v="ORD-001611"/>
    <x v="5"/>
    <x v="33"/>
    <n v="5946.37"/>
    <s v="South"/>
    <n v="7817.07"/>
    <n v="1870.7"/>
    <n v="15"/>
    <n v="2"/>
    <s v="December"/>
    <n v="2025"/>
    <x v="0"/>
    <x v="0"/>
  </r>
  <r>
    <d v="2025-01-13T00:00:00"/>
    <s v="ORD-001612"/>
    <x v="4"/>
    <x v="26"/>
    <n v="7913.07"/>
    <s v="West"/>
    <n v="11013.46"/>
    <n v="3100.39"/>
    <n v="15"/>
    <n v="1"/>
    <s v="January"/>
    <n v="2025"/>
    <x v="0"/>
    <x v="0"/>
  </r>
  <r>
    <d v="2024-07-09T00:00:00"/>
    <s v="ORD-001613"/>
    <x v="5"/>
    <x v="14"/>
    <n v="2037.56"/>
    <s v="South"/>
    <n v="4523.46"/>
    <n v="2485.9"/>
    <n v="10"/>
    <n v="2"/>
    <s v="July"/>
    <n v="2024"/>
    <x v="1"/>
    <x v="1"/>
  </r>
  <r>
    <d v="2023-08-08T00:00:00"/>
    <s v="ORD-001614"/>
    <x v="0"/>
    <x v="0"/>
    <n v="5237.1000000000004"/>
    <s v="East"/>
    <n v="8407.92"/>
    <n v="3170.82"/>
    <n v="15"/>
    <n v="2"/>
    <s v="August"/>
    <n v="2023"/>
    <x v="0"/>
    <x v="0"/>
  </r>
  <r>
    <d v="2025-04-16T00:00:00"/>
    <s v="ORD-001615"/>
    <x v="4"/>
    <x v="30"/>
    <n v="11228.49"/>
    <s v="North"/>
    <n v="12725.77"/>
    <n v="1497.28"/>
    <n v="20"/>
    <n v="3"/>
    <s v="April"/>
    <n v="2025"/>
    <x v="0"/>
    <x v="0"/>
  </r>
  <r>
    <d v="2024-05-17T00:00:00"/>
    <s v="ORD-001616"/>
    <x v="0"/>
    <x v="17"/>
    <n v="251.7"/>
    <s v="North"/>
    <n v="634.74"/>
    <n v="383.04"/>
    <n v="0"/>
    <n v="2"/>
    <s v="May"/>
    <n v="2024"/>
    <x v="2"/>
    <x v="1"/>
  </r>
  <r>
    <d v="2023-01-14T00:00:00"/>
    <s v="ORD-001617"/>
    <x v="1"/>
    <x v="23"/>
    <n v="6691.63"/>
    <s v="West"/>
    <n v="10454.9"/>
    <n v="3763.27"/>
    <n v="0"/>
    <n v="2"/>
    <s v="January"/>
    <n v="2023"/>
    <x v="2"/>
    <x v="1"/>
  </r>
  <r>
    <d v="2024-04-01T00:00:00"/>
    <s v="ORD-001618"/>
    <x v="4"/>
    <x v="26"/>
    <n v="11585.59"/>
    <s v="West"/>
    <n v="15583.75"/>
    <n v="3998.16"/>
    <n v="10"/>
    <n v="4"/>
    <s v="April"/>
    <n v="2024"/>
    <x v="1"/>
    <x v="1"/>
  </r>
  <r>
    <d v="2025-08-05T00:00:00"/>
    <s v="ORD-001619"/>
    <x v="2"/>
    <x v="25"/>
    <n v="498.42"/>
    <s v="East"/>
    <n v="809.46"/>
    <n v="311.04000000000002"/>
    <n v="20"/>
    <n v="3"/>
    <s v="August"/>
    <n v="2025"/>
    <x v="0"/>
    <x v="0"/>
  </r>
  <r>
    <d v="2025-07-15T00:00:00"/>
    <s v="ORD-001620"/>
    <x v="3"/>
    <x v="34"/>
    <n v="3260.88"/>
    <s v="West"/>
    <n v="3526.09"/>
    <n v="265.20999999999998"/>
    <n v="20"/>
    <n v="1"/>
    <s v="July"/>
    <n v="2025"/>
    <x v="0"/>
    <x v="0"/>
  </r>
  <r>
    <d v="2024-06-30T00:00:00"/>
    <s v="ORD-001621"/>
    <x v="4"/>
    <x v="7"/>
    <n v="7559.62"/>
    <s v="North"/>
    <n v="11050.44"/>
    <n v="3490.82"/>
    <n v="0"/>
    <n v="3"/>
    <s v="June"/>
    <n v="2024"/>
    <x v="2"/>
    <x v="1"/>
  </r>
  <r>
    <d v="2025-11-02T00:00:00"/>
    <s v="ORD-001622"/>
    <x v="0"/>
    <x v="4"/>
    <n v="7794.56"/>
    <s v="South"/>
    <n v="16679.2"/>
    <n v="8884.64"/>
    <n v="5"/>
    <n v="4"/>
    <s v="November"/>
    <n v="2025"/>
    <x v="1"/>
    <x v="1"/>
  </r>
  <r>
    <d v="2024-06-08T00:00:00"/>
    <s v="ORD-001623"/>
    <x v="3"/>
    <x v="15"/>
    <n v="4692.1499999999996"/>
    <s v="North"/>
    <n v="4849.03"/>
    <n v="156.88"/>
    <n v="15"/>
    <n v="5"/>
    <s v="June"/>
    <n v="2024"/>
    <x v="0"/>
    <x v="0"/>
  </r>
  <r>
    <d v="2024-03-11T00:00:00"/>
    <s v="ORD-001624"/>
    <x v="4"/>
    <x v="40"/>
    <n v="11558.5"/>
    <s v="South"/>
    <n v="13576.01"/>
    <n v="2017.51"/>
    <n v="10"/>
    <n v="2"/>
    <s v="March"/>
    <n v="2024"/>
    <x v="1"/>
    <x v="1"/>
  </r>
  <r>
    <d v="2023-10-08T00:00:00"/>
    <s v="ORD-001625"/>
    <x v="1"/>
    <x v="29"/>
    <n v="27688.03"/>
    <s v="South"/>
    <n v="33864"/>
    <n v="6175.97"/>
    <n v="10"/>
    <n v="3"/>
    <s v="October"/>
    <n v="2023"/>
    <x v="1"/>
    <x v="1"/>
  </r>
  <r>
    <d v="2023-10-15T00:00:00"/>
    <s v="ORD-001626"/>
    <x v="1"/>
    <x v="24"/>
    <n v="10569.52"/>
    <s v="North"/>
    <n v="13352.39"/>
    <n v="2782.87"/>
    <n v="10"/>
    <n v="3"/>
    <s v="October"/>
    <n v="2023"/>
    <x v="1"/>
    <x v="1"/>
  </r>
  <r>
    <d v="2023-11-10T00:00:00"/>
    <s v="ORD-001627"/>
    <x v="0"/>
    <x v="6"/>
    <n v="245.93"/>
    <s v="North"/>
    <n v="525.66999999999996"/>
    <n v="279.74"/>
    <n v="5"/>
    <n v="1"/>
    <s v="November"/>
    <n v="2023"/>
    <x v="1"/>
    <x v="1"/>
  </r>
  <r>
    <d v="2024-04-13T00:00:00"/>
    <s v="ORD-001628"/>
    <x v="1"/>
    <x v="29"/>
    <n v="1592.13"/>
    <s v="Central"/>
    <n v="2216.5500000000002"/>
    <n v="624.41999999999996"/>
    <n v="0"/>
    <n v="1"/>
    <s v="April"/>
    <n v="2024"/>
    <x v="2"/>
    <x v="1"/>
  </r>
  <r>
    <d v="2023-01-18T00:00:00"/>
    <s v="ORD-001629"/>
    <x v="2"/>
    <x v="38"/>
    <n v="372.97"/>
    <s v="South"/>
    <n v="470.6"/>
    <n v="97.63"/>
    <n v="20"/>
    <n v="5"/>
    <s v="January"/>
    <n v="2023"/>
    <x v="0"/>
    <x v="0"/>
  </r>
  <r>
    <d v="2024-08-15T00:00:00"/>
    <s v="ORD-001630"/>
    <x v="3"/>
    <x v="37"/>
    <n v="4632.7299999999996"/>
    <s v="South"/>
    <n v="5234.87"/>
    <n v="602.14"/>
    <n v="10"/>
    <n v="3"/>
    <s v="August"/>
    <n v="2024"/>
    <x v="1"/>
    <x v="1"/>
  </r>
  <r>
    <d v="2024-11-15T00:00:00"/>
    <s v="ORD-001631"/>
    <x v="5"/>
    <x v="20"/>
    <n v="5527.82"/>
    <s v="North"/>
    <n v="7518.6"/>
    <n v="1990.78"/>
    <n v="25"/>
    <n v="2"/>
    <s v="November"/>
    <n v="2024"/>
    <x v="0"/>
    <x v="2"/>
  </r>
  <r>
    <d v="2025-01-14T00:00:00"/>
    <s v="ORD-001632"/>
    <x v="5"/>
    <x v="27"/>
    <n v="2409.91"/>
    <s v="South"/>
    <n v="3457.75"/>
    <n v="1047.8399999999999"/>
    <n v="15"/>
    <n v="2"/>
    <s v="January"/>
    <n v="2025"/>
    <x v="0"/>
    <x v="0"/>
  </r>
  <r>
    <d v="2025-03-07T00:00:00"/>
    <s v="ORD-001633"/>
    <x v="2"/>
    <x v="13"/>
    <n v="869.35"/>
    <s v="Central"/>
    <n v="1240.95"/>
    <n v="371.6"/>
    <n v="10"/>
    <n v="1"/>
    <s v="March"/>
    <n v="2025"/>
    <x v="1"/>
    <x v="1"/>
  </r>
  <r>
    <d v="2025-11-22T00:00:00"/>
    <s v="ORD-001634"/>
    <x v="5"/>
    <x v="18"/>
    <n v="5589.8"/>
    <s v="East"/>
    <n v="7761.04"/>
    <n v="2171.2399999999998"/>
    <n v="20"/>
    <n v="8"/>
    <s v="November"/>
    <n v="2025"/>
    <x v="0"/>
    <x v="0"/>
  </r>
  <r>
    <d v="2023-10-02T00:00:00"/>
    <s v="ORD-001635"/>
    <x v="2"/>
    <x v="13"/>
    <n v="303.5"/>
    <s v="West"/>
    <n v="646.54"/>
    <n v="343.04"/>
    <n v="10"/>
    <n v="1"/>
    <s v="October"/>
    <n v="2023"/>
    <x v="1"/>
    <x v="1"/>
  </r>
  <r>
    <d v="2024-04-09T00:00:00"/>
    <s v="ORD-001636"/>
    <x v="5"/>
    <x v="33"/>
    <n v="3298.76"/>
    <s v="East"/>
    <n v="5365.15"/>
    <n v="2066.39"/>
    <n v="15"/>
    <n v="3"/>
    <s v="April"/>
    <n v="2024"/>
    <x v="0"/>
    <x v="0"/>
  </r>
  <r>
    <d v="2024-03-25T00:00:00"/>
    <s v="ORD-001637"/>
    <x v="4"/>
    <x v="42"/>
    <n v="43427.01"/>
    <s v="Central"/>
    <n v="54325.82"/>
    <n v="10898.81"/>
    <n v="10"/>
    <n v="4"/>
    <s v="March"/>
    <n v="2024"/>
    <x v="1"/>
    <x v="1"/>
  </r>
  <r>
    <d v="2024-03-22T00:00:00"/>
    <s v="ORD-001638"/>
    <x v="3"/>
    <x v="3"/>
    <n v="8888.16"/>
    <s v="South"/>
    <n v="10523.7"/>
    <n v="1635.54"/>
    <n v="5"/>
    <n v="2"/>
    <s v="March"/>
    <n v="2024"/>
    <x v="1"/>
    <x v="1"/>
  </r>
  <r>
    <d v="2025-09-09T00:00:00"/>
    <s v="ORD-001639"/>
    <x v="1"/>
    <x v="23"/>
    <n v="18084.68"/>
    <s v="East"/>
    <n v="18162.28"/>
    <n v="77.599999999999994"/>
    <n v="27"/>
    <n v="4"/>
    <s v="September"/>
    <n v="2025"/>
    <x v="0"/>
    <x v="2"/>
  </r>
  <r>
    <d v="2024-05-13T00:00:00"/>
    <s v="ORD-001640"/>
    <x v="3"/>
    <x v="32"/>
    <n v="4895.8500000000004"/>
    <s v="South"/>
    <n v="5042.7299999999996"/>
    <n v="146.88"/>
    <n v="25"/>
    <n v="1"/>
    <s v="May"/>
    <n v="2024"/>
    <x v="0"/>
    <x v="2"/>
  </r>
  <r>
    <d v="2025-11-20T00:00:00"/>
    <s v="ORD-001641"/>
    <x v="5"/>
    <x v="14"/>
    <n v="7167.79"/>
    <s v="North"/>
    <n v="12304.05"/>
    <n v="5136.26"/>
    <n v="5"/>
    <n v="5"/>
    <s v="November"/>
    <n v="2025"/>
    <x v="1"/>
    <x v="1"/>
  </r>
  <r>
    <d v="2023-09-19T00:00:00"/>
    <s v="ORD-001642"/>
    <x v="5"/>
    <x v="16"/>
    <n v="241.83"/>
    <s v="South"/>
    <n v="529.64"/>
    <n v="287.81"/>
    <n v="0"/>
    <n v="1"/>
    <s v="September"/>
    <n v="2023"/>
    <x v="2"/>
    <x v="1"/>
  </r>
  <r>
    <d v="2023-02-28T00:00:00"/>
    <s v="ORD-001643"/>
    <x v="4"/>
    <x v="39"/>
    <n v="5837.78"/>
    <s v="Central"/>
    <n v="6047.64"/>
    <n v="209.86"/>
    <n v="20"/>
    <n v="2"/>
    <s v="February"/>
    <n v="2023"/>
    <x v="0"/>
    <x v="0"/>
  </r>
  <r>
    <d v="2023-11-15T00:00:00"/>
    <s v="ORD-001644"/>
    <x v="1"/>
    <x v="24"/>
    <n v="11423.38"/>
    <s v="East"/>
    <n v="12163.26"/>
    <n v="739.88"/>
    <n v="15"/>
    <n v="6"/>
    <s v="November"/>
    <n v="2023"/>
    <x v="0"/>
    <x v="0"/>
  </r>
  <r>
    <d v="2023-05-17T00:00:00"/>
    <s v="ORD-001645"/>
    <x v="4"/>
    <x v="11"/>
    <n v="58178.59"/>
    <s v="North"/>
    <n v="81217.179999999993"/>
    <n v="23038.59"/>
    <n v="10"/>
    <n v="4"/>
    <s v="May"/>
    <n v="2023"/>
    <x v="1"/>
    <x v="1"/>
  </r>
  <r>
    <d v="2023-03-23T00:00:00"/>
    <s v="ORD-001646"/>
    <x v="0"/>
    <x v="0"/>
    <n v="1719.65"/>
    <s v="West"/>
    <n v="3120.05"/>
    <n v="1400.4"/>
    <n v="15"/>
    <n v="3"/>
    <s v="March"/>
    <n v="2023"/>
    <x v="0"/>
    <x v="0"/>
  </r>
  <r>
    <d v="2024-11-29T00:00:00"/>
    <s v="ORD-001647"/>
    <x v="3"/>
    <x v="37"/>
    <n v="5932.94"/>
    <s v="North"/>
    <n v="7371.01"/>
    <n v="1438.07"/>
    <n v="5"/>
    <n v="1"/>
    <s v="November"/>
    <n v="2024"/>
    <x v="1"/>
    <x v="1"/>
  </r>
  <r>
    <d v="2025-11-02T00:00:00"/>
    <s v="ORD-001648"/>
    <x v="1"/>
    <x v="23"/>
    <n v="10863.16"/>
    <s v="West"/>
    <n v="11189.05"/>
    <n v="325.89"/>
    <n v="19"/>
    <n v="2"/>
    <s v="November"/>
    <n v="2025"/>
    <x v="0"/>
    <x v="0"/>
  </r>
  <r>
    <d v="2024-10-03T00:00:00"/>
    <s v="ORD-001649"/>
    <x v="1"/>
    <x v="23"/>
    <n v="3610.58"/>
    <s v="West"/>
    <n v="4883.0600000000004"/>
    <n v="1272.48"/>
    <n v="10"/>
    <n v="4"/>
    <s v="October"/>
    <n v="2024"/>
    <x v="1"/>
    <x v="1"/>
  </r>
  <r>
    <d v="2024-09-17T00:00:00"/>
    <s v="ORD-001650"/>
    <x v="2"/>
    <x v="31"/>
    <n v="3778.07"/>
    <s v="Central"/>
    <n v="4117.8999999999996"/>
    <n v="339.83"/>
    <n v="25"/>
    <n v="5"/>
    <s v="September"/>
    <n v="2024"/>
    <x v="0"/>
    <x v="2"/>
  </r>
  <r>
    <d v="2023-06-30T00:00:00"/>
    <s v="ORD-001651"/>
    <x v="0"/>
    <x v="6"/>
    <n v="136.63999999999999"/>
    <s v="West"/>
    <n v="220.08"/>
    <n v="83.44"/>
    <n v="15"/>
    <n v="1"/>
    <s v="June"/>
    <n v="2023"/>
    <x v="0"/>
    <x v="0"/>
  </r>
  <r>
    <d v="2025-11-22T00:00:00"/>
    <s v="ORD-001652"/>
    <x v="3"/>
    <x v="37"/>
    <n v="4733.96"/>
    <s v="East"/>
    <n v="6748.51"/>
    <n v="2014.55"/>
    <n v="5"/>
    <n v="2"/>
    <s v="November"/>
    <n v="2025"/>
    <x v="1"/>
    <x v="1"/>
  </r>
  <r>
    <d v="2025-01-24T00:00:00"/>
    <s v="ORD-001653"/>
    <x v="5"/>
    <x v="20"/>
    <n v="7961.85"/>
    <s v="North"/>
    <n v="16210.27"/>
    <n v="8248.42"/>
    <n v="0"/>
    <n v="8"/>
    <s v="January"/>
    <n v="2025"/>
    <x v="2"/>
    <x v="1"/>
  </r>
  <r>
    <d v="2025-08-03T00:00:00"/>
    <s v="ORD-001654"/>
    <x v="2"/>
    <x v="31"/>
    <n v="489.35"/>
    <s v="East"/>
    <n v="700.79"/>
    <n v="211.44"/>
    <n v="0"/>
    <n v="8"/>
    <s v="August"/>
    <n v="2025"/>
    <x v="2"/>
    <x v="1"/>
  </r>
  <r>
    <d v="2023-09-27T00:00:00"/>
    <s v="ORD-001655"/>
    <x v="1"/>
    <x v="5"/>
    <n v="7675.11"/>
    <s v="North"/>
    <n v="8777.41"/>
    <n v="1102.3"/>
    <n v="10"/>
    <n v="2"/>
    <s v="September"/>
    <n v="2023"/>
    <x v="1"/>
    <x v="1"/>
  </r>
  <r>
    <d v="2025-03-31T00:00:00"/>
    <s v="ORD-001656"/>
    <x v="2"/>
    <x v="31"/>
    <n v="1727.46"/>
    <s v="South"/>
    <n v="2618.79"/>
    <n v="891.33"/>
    <n v="15"/>
    <n v="3"/>
    <s v="March"/>
    <n v="2025"/>
    <x v="0"/>
    <x v="0"/>
  </r>
  <r>
    <d v="2024-12-14T00:00:00"/>
    <s v="ORD-001657"/>
    <x v="3"/>
    <x v="32"/>
    <n v="34412.14"/>
    <s v="East"/>
    <n v="36557.769999999997"/>
    <n v="2145.63"/>
    <n v="15"/>
    <n v="10"/>
    <s v="December"/>
    <n v="2024"/>
    <x v="0"/>
    <x v="0"/>
  </r>
  <r>
    <d v="2023-04-17T00:00:00"/>
    <s v="ORD-001658"/>
    <x v="5"/>
    <x v="20"/>
    <n v="3463.03"/>
    <s v="East"/>
    <n v="8220.69"/>
    <n v="4757.66"/>
    <n v="5"/>
    <n v="3"/>
    <s v="April"/>
    <n v="2023"/>
    <x v="1"/>
    <x v="1"/>
  </r>
  <r>
    <d v="2024-02-26T00:00:00"/>
    <s v="ORD-001659"/>
    <x v="0"/>
    <x v="8"/>
    <n v="140.41999999999999"/>
    <s v="North"/>
    <n v="246.83"/>
    <n v="106.41"/>
    <n v="10"/>
    <n v="1"/>
    <s v="February"/>
    <n v="2024"/>
    <x v="1"/>
    <x v="1"/>
  </r>
  <r>
    <d v="2023-08-15T00:00:00"/>
    <s v="ORD-001660"/>
    <x v="3"/>
    <x v="32"/>
    <n v="1657.43"/>
    <s v="West"/>
    <n v="1757.35"/>
    <n v="99.92"/>
    <n v="10"/>
    <n v="1"/>
    <s v="August"/>
    <n v="2023"/>
    <x v="1"/>
    <x v="1"/>
  </r>
  <r>
    <d v="2025-04-09T00:00:00"/>
    <s v="ORD-001661"/>
    <x v="2"/>
    <x v="10"/>
    <n v="461.27"/>
    <s v="East"/>
    <n v="694.24"/>
    <n v="232.97"/>
    <n v="25"/>
    <n v="1"/>
    <s v="April"/>
    <n v="2025"/>
    <x v="0"/>
    <x v="2"/>
  </r>
  <r>
    <d v="2025-10-29T00:00:00"/>
    <s v="ORD-001662"/>
    <x v="5"/>
    <x v="14"/>
    <n v="1918.17"/>
    <s v="East"/>
    <n v="2455.66"/>
    <n v="537.49"/>
    <n v="15"/>
    <n v="1"/>
    <s v="October"/>
    <n v="2025"/>
    <x v="0"/>
    <x v="0"/>
  </r>
  <r>
    <d v="2025-10-05T00:00:00"/>
    <s v="ORD-001663"/>
    <x v="1"/>
    <x v="5"/>
    <n v="32974.050000000003"/>
    <s v="North"/>
    <n v="41078.49"/>
    <n v="8104.44"/>
    <n v="20"/>
    <n v="4"/>
    <s v="October"/>
    <n v="2025"/>
    <x v="0"/>
    <x v="0"/>
  </r>
  <r>
    <d v="2024-05-27T00:00:00"/>
    <s v="ORD-001664"/>
    <x v="0"/>
    <x v="8"/>
    <n v="837.78"/>
    <s v="Central"/>
    <n v="1815.55"/>
    <n v="977.77"/>
    <n v="15"/>
    <n v="4"/>
    <s v="May"/>
    <n v="2024"/>
    <x v="0"/>
    <x v="0"/>
  </r>
  <r>
    <d v="2024-08-27T00:00:00"/>
    <s v="ORD-001665"/>
    <x v="0"/>
    <x v="21"/>
    <n v="1381.36"/>
    <s v="South"/>
    <n v="3456.03"/>
    <n v="2074.67"/>
    <n v="0"/>
    <n v="1"/>
    <s v="August"/>
    <n v="2024"/>
    <x v="2"/>
    <x v="1"/>
  </r>
  <r>
    <d v="2025-11-25T00:00:00"/>
    <s v="ORD-001666"/>
    <x v="2"/>
    <x v="13"/>
    <n v="4181.87"/>
    <s v="Central"/>
    <n v="6235.88"/>
    <n v="2054.0100000000002"/>
    <n v="0"/>
    <n v="4"/>
    <s v="November"/>
    <n v="2025"/>
    <x v="2"/>
    <x v="1"/>
  </r>
  <r>
    <d v="2025-05-08T00:00:00"/>
    <s v="ORD-001667"/>
    <x v="1"/>
    <x v="1"/>
    <n v="11351.47"/>
    <s v="Central"/>
    <n v="14458.64"/>
    <n v="3107.17"/>
    <n v="0"/>
    <n v="1"/>
    <s v="May"/>
    <n v="2025"/>
    <x v="2"/>
    <x v="1"/>
  </r>
  <r>
    <d v="2025-07-22T00:00:00"/>
    <s v="ORD-001668"/>
    <x v="2"/>
    <x v="25"/>
    <n v="1016.89"/>
    <s v="Central"/>
    <n v="1466.74"/>
    <n v="449.85"/>
    <n v="0"/>
    <n v="5"/>
    <s v="July"/>
    <n v="2025"/>
    <x v="2"/>
    <x v="1"/>
  </r>
  <r>
    <d v="2025-11-01T00:00:00"/>
    <s v="ORD-001669"/>
    <x v="0"/>
    <x v="6"/>
    <n v="1013.32"/>
    <s v="South"/>
    <n v="1296.95"/>
    <n v="283.63"/>
    <n v="20"/>
    <n v="2"/>
    <s v="November"/>
    <n v="2025"/>
    <x v="0"/>
    <x v="0"/>
  </r>
  <r>
    <d v="2024-02-18T00:00:00"/>
    <s v="ORD-001670"/>
    <x v="5"/>
    <x v="27"/>
    <n v="8412.27"/>
    <s v="East"/>
    <n v="13432.84"/>
    <n v="5020.57"/>
    <n v="0"/>
    <n v="5"/>
    <s v="February"/>
    <n v="2024"/>
    <x v="2"/>
    <x v="1"/>
  </r>
  <r>
    <d v="2024-09-25T00:00:00"/>
    <s v="ORD-001671"/>
    <x v="5"/>
    <x v="14"/>
    <n v="5390.66"/>
    <s v="North"/>
    <n v="8323"/>
    <n v="2932.34"/>
    <n v="15"/>
    <n v="3"/>
    <s v="September"/>
    <n v="2024"/>
    <x v="0"/>
    <x v="0"/>
  </r>
  <r>
    <d v="2025-09-13T00:00:00"/>
    <s v="ORD-001672"/>
    <x v="1"/>
    <x v="1"/>
    <n v="8590.9"/>
    <s v="Central"/>
    <n v="10344.82"/>
    <n v="1753.92"/>
    <n v="5"/>
    <n v="2"/>
    <s v="September"/>
    <n v="2025"/>
    <x v="1"/>
    <x v="1"/>
  </r>
  <r>
    <d v="2025-04-17T00:00:00"/>
    <s v="ORD-001673"/>
    <x v="0"/>
    <x v="41"/>
    <n v="405.64"/>
    <s v="South"/>
    <n v="678.58"/>
    <n v="272.94"/>
    <n v="10"/>
    <n v="1"/>
    <s v="April"/>
    <n v="2025"/>
    <x v="1"/>
    <x v="1"/>
  </r>
  <r>
    <d v="2024-06-17T00:00:00"/>
    <s v="ORD-001674"/>
    <x v="1"/>
    <x v="1"/>
    <n v="12282.44"/>
    <s v="South"/>
    <n v="15648.45"/>
    <n v="3366.01"/>
    <n v="10"/>
    <n v="8"/>
    <s v="June"/>
    <n v="2024"/>
    <x v="1"/>
    <x v="1"/>
  </r>
  <r>
    <d v="2023-06-27T00:00:00"/>
    <s v="ORD-001675"/>
    <x v="2"/>
    <x v="25"/>
    <n v="1516.02"/>
    <s v="South"/>
    <n v="2737.73"/>
    <n v="1221.71"/>
    <n v="20"/>
    <n v="3"/>
    <s v="June"/>
    <n v="2023"/>
    <x v="0"/>
    <x v="0"/>
  </r>
  <r>
    <d v="2025-05-11T00:00:00"/>
    <s v="ORD-001676"/>
    <x v="5"/>
    <x v="18"/>
    <n v="1938.17"/>
    <s v="South"/>
    <n v="4550.3100000000004"/>
    <n v="2612.14"/>
    <n v="0"/>
    <n v="1"/>
    <s v="May"/>
    <n v="2025"/>
    <x v="2"/>
    <x v="1"/>
  </r>
  <r>
    <d v="2025-11-11T00:00:00"/>
    <s v="ORD-001677"/>
    <x v="1"/>
    <x v="23"/>
    <n v="7453.67"/>
    <s v="West"/>
    <n v="9159.57"/>
    <n v="1705.9"/>
    <n v="5"/>
    <n v="2"/>
    <s v="November"/>
    <n v="2025"/>
    <x v="1"/>
    <x v="1"/>
  </r>
  <r>
    <d v="2023-11-06T00:00:00"/>
    <s v="ORD-001678"/>
    <x v="2"/>
    <x v="38"/>
    <n v="91.02"/>
    <s v="East"/>
    <n v="197.15"/>
    <n v="106.13"/>
    <n v="5"/>
    <n v="2"/>
    <s v="November"/>
    <n v="2023"/>
    <x v="1"/>
    <x v="1"/>
  </r>
  <r>
    <d v="2024-10-05T00:00:00"/>
    <s v="ORD-001679"/>
    <x v="3"/>
    <x v="28"/>
    <n v="11207.92"/>
    <s v="West"/>
    <n v="13806.11"/>
    <n v="2598.19"/>
    <n v="0"/>
    <n v="4"/>
    <s v="October"/>
    <n v="2024"/>
    <x v="2"/>
    <x v="1"/>
  </r>
  <r>
    <d v="2023-02-10T00:00:00"/>
    <s v="ORD-001680"/>
    <x v="2"/>
    <x v="35"/>
    <n v="526.32000000000005"/>
    <s v="West"/>
    <n v="988.61"/>
    <n v="462.29"/>
    <n v="10"/>
    <n v="2"/>
    <s v="February"/>
    <n v="2023"/>
    <x v="1"/>
    <x v="1"/>
  </r>
  <r>
    <d v="2023-01-01T00:00:00"/>
    <s v="ORD-001681"/>
    <x v="3"/>
    <x v="37"/>
    <n v="5635.89"/>
    <s v="Central"/>
    <n v="7137.79"/>
    <n v="1501.9"/>
    <n v="0"/>
    <n v="3"/>
    <s v="January"/>
    <n v="2023"/>
    <x v="2"/>
    <x v="1"/>
  </r>
  <r>
    <d v="2025-04-29T00:00:00"/>
    <s v="ORD-001682"/>
    <x v="1"/>
    <x v="5"/>
    <n v="9528.43"/>
    <s v="West"/>
    <n v="12460.03"/>
    <n v="2931.6"/>
    <n v="5"/>
    <n v="5"/>
    <s v="April"/>
    <n v="2025"/>
    <x v="1"/>
    <x v="1"/>
  </r>
  <r>
    <d v="2023-08-16T00:00:00"/>
    <s v="ORD-001683"/>
    <x v="3"/>
    <x v="15"/>
    <n v="23239.91"/>
    <s v="West"/>
    <n v="26885.48"/>
    <n v="3645.57"/>
    <n v="10"/>
    <n v="4"/>
    <s v="August"/>
    <n v="2023"/>
    <x v="1"/>
    <x v="1"/>
  </r>
  <r>
    <d v="2025-03-08T00:00:00"/>
    <s v="ORD-001684"/>
    <x v="1"/>
    <x v="24"/>
    <n v="11468.04"/>
    <s v="North"/>
    <n v="16916.39"/>
    <n v="5448.35"/>
    <n v="0"/>
    <n v="2"/>
    <s v="March"/>
    <n v="2025"/>
    <x v="2"/>
    <x v="1"/>
  </r>
  <r>
    <d v="2025-01-02T00:00:00"/>
    <s v="ORD-001685"/>
    <x v="2"/>
    <x v="13"/>
    <n v="2788.99"/>
    <s v="South"/>
    <n v="4202.1000000000004"/>
    <n v="1413.11"/>
    <n v="5"/>
    <n v="3"/>
    <s v="January"/>
    <n v="2025"/>
    <x v="1"/>
    <x v="1"/>
  </r>
  <r>
    <d v="2024-03-15T00:00:00"/>
    <s v="ORD-001686"/>
    <x v="1"/>
    <x v="24"/>
    <n v="2393.54"/>
    <s v="East"/>
    <n v="2900.14"/>
    <n v="506.6"/>
    <n v="15"/>
    <n v="1"/>
    <s v="March"/>
    <n v="2024"/>
    <x v="0"/>
    <x v="0"/>
  </r>
  <r>
    <d v="2023-06-21T00:00:00"/>
    <s v="ORD-001687"/>
    <x v="4"/>
    <x v="11"/>
    <n v="24662.639999999999"/>
    <s v="East"/>
    <n v="28952.560000000001"/>
    <n v="4289.92"/>
    <n v="10"/>
    <n v="2"/>
    <s v="June"/>
    <n v="2023"/>
    <x v="1"/>
    <x v="1"/>
  </r>
  <r>
    <d v="2024-07-16T00:00:00"/>
    <s v="ORD-001688"/>
    <x v="2"/>
    <x v="35"/>
    <n v="189.71"/>
    <s v="West"/>
    <n v="275.5"/>
    <n v="85.79"/>
    <n v="15"/>
    <n v="2"/>
    <s v="July"/>
    <n v="2024"/>
    <x v="0"/>
    <x v="0"/>
  </r>
  <r>
    <d v="2023-11-10T00:00:00"/>
    <s v="ORD-001689"/>
    <x v="4"/>
    <x v="7"/>
    <n v="3433.66"/>
    <s v="Central"/>
    <n v="4342.3599999999997"/>
    <n v="908.7"/>
    <n v="10"/>
    <n v="1"/>
    <s v="November"/>
    <n v="2023"/>
    <x v="1"/>
    <x v="1"/>
  </r>
  <r>
    <d v="2025-06-23T00:00:00"/>
    <s v="ORD-001690"/>
    <x v="3"/>
    <x v="22"/>
    <n v="5056.3"/>
    <s v="East"/>
    <n v="5207.99"/>
    <n v="151.69"/>
    <n v="28"/>
    <n v="5"/>
    <s v="June"/>
    <n v="2025"/>
    <x v="0"/>
    <x v="2"/>
  </r>
  <r>
    <d v="2025-01-27T00:00:00"/>
    <s v="ORD-001691"/>
    <x v="2"/>
    <x v="13"/>
    <n v="248.63"/>
    <s v="Central"/>
    <n v="408.06"/>
    <n v="159.43"/>
    <n v="10"/>
    <n v="2"/>
    <s v="January"/>
    <n v="2025"/>
    <x v="1"/>
    <x v="1"/>
  </r>
  <r>
    <d v="2025-07-13T00:00:00"/>
    <s v="ORD-001692"/>
    <x v="0"/>
    <x v="21"/>
    <n v="4697.0600000000004"/>
    <s v="Central"/>
    <n v="9275.4599999999991"/>
    <n v="4578.3999999999996"/>
    <n v="10"/>
    <n v="2"/>
    <s v="July"/>
    <n v="2025"/>
    <x v="1"/>
    <x v="1"/>
  </r>
  <r>
    <d v="2025-11-21T00:00:00"/>
    <s v="ORD-001693"/>
    <x v="3"/>
    <x v="32"/>
    <n v="2135.65"/>
    <s v="East"/>
    <n v="2767.57"/>
    <n v="631.91999999999996"/>
    <n v="0"/>
    <n v="3"/>
    <s v="November"/>
    <n v="2025"/>
    <x v="2"/>
    <x v="1"/>
  </r>
  <r>
    <d v="2025-08-10T00:00:00"/>
    <s v="ORD-001694"/>
    <x v="3"/>
    <x v="37"/>
    <n v="20306.88"/>
    <s v="South"/>
    <n v="27423.88"/>
    <n v="7117"/>
    <n v="5"/>
    <n v="4"/>
    <s v="August"/>
    <n v="2025"/>
    <x v="1"/>
    <x v="1"/>
  </r>
  <r>
    <d v="2024-08-11T00:00:00"/>
    <s v="ORD-001695"/>
    <x v="0"/>
    <x v="6"/>
    <n v="603.11"/>
    <s v="North"/>
    <n v="996.38"/>
    <n v="393.27"/>
    <n v="0"/>
    <n v="1"/>
    <s v="August"/>
    <n v="2024"/>
    <x v="2"/>
    <x v="1"/>
  </r>
  <r>
    <d v="2023-09-07T00:00:00"/>
    <s v="ORD-001696"/>
    <x v="1"/>
    <x v="24"/>
    <n v="7289.25"/>
    <s v="South"/>
    <n v="8297.8799999999992"/>
    <n v="1008.63"/>
    <n v="20"/>
    <n v="2"/>
    <s v="September"/>
    <n v="2023"/>
    <x v="0"/>
    <x v="0"/>
  </r>
  <r>
    <d v="2025-04-12T00:00:00"/>
    <s v="ORD-001697"/>
    <x v="3"/>
    <x v="32"/>
    <n v="2362.5300000000002"/>
    <s v="Central"/>
    <n v="2366.52"/>
    <n v="3.99"/>
    <n v="21"/>
    <n v="2"/>
    <s v="April"/>
    <n v="2025"/>
    <x v="0"/>
    <x v="2"/>
  </r>
  <r>
    <d v="2024-09-29T00:00:00"/>
    <s v="ORD-001698"/>
    <x v="1"/>
    <x v="23"/>
    <n v="2287.85"/>
    <s v="East"/>
    <n v="2885.5"/>
    <n v="597.65"/>
    <n v="20"/>
    <n v="2"/>
    <s v="September"/>
    <n v="2024"/>
    <x v="0"/>
    <x v="0"/>
  </r>
  <r>
    <d v="2023-09-30T00:00:00"/>
    <s v="ORD-001699"/>
    <x v="5"/>
    <x v="16"/>
    <n v="534.49"/>
    <s v="West"/>
    <n v="862.46"/>
    <n v="327.97"/>
    <n v="0"/>
    <n v="1"/>
    <s v="September"/>
    <n v="2023"/>
    <x v="2"/>
    <x v="1"/>
  </r>
  <r>
    <d v="2024-05-09T00:00:00"/>
    <s v="ORD-001700"/>
    <x v="2"/>
    <x v="10"/>
    <n v="503.25"/>
    <s v="South"/>
    <n v="522.04"/>
    <n v="18.79"/>
    <n v="30"/>
    <n v="5"/>
    <s v="May"/>
    <n v="2024"/>
    <x v="0"/>
    <x v="2"/>
  </r>
  <r>
    <d v="2025-07-30T00:00:00"/>
    <s v="ORD-001701"/>
    <x v="4"/>
    <x v="26"/>
    <n v="13180.47"/>
    <s v="North"/>
    <n v="17323.900000000001"/>
    <n v="4143.43"/>
    <n v="20"/>
    <n v="1"/>
    <s v="July"/>
    <n v="2025"/>
    <x v="0"/>
    <x v="0"/>
  </r>
  <r>
    <d v="2025-12-16T00:00:00"/>
    <s v="ORD-001702"/>
    <x v="3"/>
    <x v="34"/>
    <n v="39034.32"/>
    <s v="West"/>
    <n v="52779.17"/>
    <n v="13744.85"/>
    <n v="5"/>
    <n v="6"/>
    <s v="December"/>
    <n v="2025"/>
    <x v="1"/>
    <x v="1"/>
  </r>
  <r>
    <d v="2023-10-27T00:00:00"/>
    <s v="ORD-001703"/>
    <x v="3"/>
    <x v="28"/>
    <n v="3148.75"/>
    <s v="North"/>
    <n v="4198.63"/>
    <n v="1049.8800000000001"/>
    <n v="5"/>
    <n v="3"/>
    <s v="October"/>
    <n v="2023"/>
    <x v="1"/>
    <x v="1"/>
  </r>
  <r>
    <d v="2024-02-24T00:00:00"/>
    <s v="ORD-001704"/>
    <x v="0"/>
    <x v="8"/>
    <n v="8377.5"/>
    <s v="North"/>
    <n v="13647.96"/>
    <n v="5270.46"/>
    <n v="15"/>
    <n v="4"/>
    <s v="February"/>
    <n v="2024"/>
    <x v="0"/>
    <x v="0"/>
  </r>
  <r>
    <d v="2025-07-08T00:00:00"/>
    <s v="ORD-001705"/>
    <x v="3"/>
    <x v="12"/>
    <n v="4567.88"/>
    <s v="Central"/>
    <n v="5290.31"/>
    <n v="722.43"/>
    <n v="10"/>
    <n v="5"/>
    <s v="July"/>
    <n v="2025"/>
    <x v="1"/>
    <x v="1"/>
  </r>
  <r>
    <d v="2023-09-04T00:00:00"/>
    <s v="ORD-001706"/>
    <x v="1"/>
    <x v="24"/>
    <n v="28191.22"/>
    <s v="East"/>
    <n v="28289.599999999999"/>
    <n v="98.38"/>
    <n v="24"/>
    <n v="4"/>
    <s v="September"/>
    <n v="2023"/>
    <x v="0"/>
    <x v="2"/>
  </r>
  <r>
    <d v="2025-11-03T00:00:00"/>
    <s v="ORD-001707"/>
    <x v="2"/>
    <x v="2"/>
    <n v="506.39"/>
    <s v="South"/>
    <n v="777.44"/>
    <n v="271.05"/>
    <n v="10"/>
    <n v="10"/>
    <s v="November"/>
    <n v="2025"/>
    <x v="1"/>
    <x v="1"/>
  </r>
  <r>
    <d v="2024-03-01T00:00:00"/>
    <s v="ORD-001708"/>
    <x v="0"/>
    <x v="4"/>
    <n v="1411.09"/>
    <s v="Central"/>
    <n v="1772.05"/>
    <n v="360.96"/>
    <n v="20"/>
    <n v="1"/>
    <s v="March"/>
    <n v="2024"/>
    <x v="0"/>
    <x v="0"/>
  </r>
  <r>
    <d v="2024-04-25T00:00:00"/>
    <s v="ORD-001709"/>
    <x v="1"/>
    <x v="19"/>
    <n v="6758.22"/>
    <s v="North"/>
    <n v="6961.72"/>
    <n v="203.5"/>
    <n v="25"/>
    <n v="3"/>
    <s v="April"/>
    <n v="2024"/>
    <x v="0"/>
    <x v="2"/>
  </r>
  <r>
    <d v="2025-11-18T00:00:00"/>
    <s v="ORD-001710"/>
    <x v="0"/>
    <x v="8"/>
    <n v="799.66"/>
    <s v="East"/>
    <n v="1734.57"/>
    <n v="934.91"/>
    <n v="10"/>
    <n v="1"/>
    <s v="November"/>
    <n v="2025"/>
    <x v="1"/>
    <x v="1"/>
  </r>
  <r>
    <d v="2025-01-12T00:00:00"/>
    <s v="ORD-001711"/>
    <x v="2"/>
    <x v="10"/>
    <n v="95.83"/>
    <s v="Central"/>
    <n v="195.77"/>
    <n v="99.94"/>
    <n v="5"/>
    <n v="1"/>
    <s v="January"/>
    <n v="2025"/>
    <x v="1"/>
    <x v="1"/>
  </r>
  <r>
    <d v="2025-10-14T00:00:00"/>
    <s v="ORD-001712"/>
    <x v="4"/>
    <x v="42"/>
    <n v="13738.56"/>
    <s v="East"/>
    <n v="16903.25"/>
    <n v="3164.69"/>
    <n v="20"/>
    <n v="1"/>
    <s v="October"/>
    <n v="2025"/>
    <x v="0"/>
    <x v="0"/>
  </r>
  <r>
    <d v="2023-10-14T00:00:00"/>
    <s v="ORD-001713"/>
    <x v="2"/>
    <x v="25"/>
    <n v="369.27"/>
    <s v="East"/>
    <n v="380.83"/>
    <n v="11.56"/>
    <n v="30"/>
    <n v="4"/>
    <s v="October"/>
    <n v="2023"/>
    <x v="0"/>
    <x v="2"/>
  </r>
  <r>
    <d v="2025-11-27T00:00:00"/>
    <s v="ORD-001714"/>
    <x v="4"/>
    <x v="11"/>
    <n v="55513.35"/>
    <s v="North"/>
    <n v="76812.28"/>
    <n v="21298.93"/>
    <n v="0"/>
    <n v="4"/>
    <s v="November"/>
    <n v="2025"/>
    <x v="2"/>
    <x v="1"/>
  </r>
  <r>
    <d v="2024-01-24T00:00:00"/>
    <s v="ORD-001715"/>
    <x v="2"/>
    <x v="38"/>
    <n v="831.85"/>
    <s v="South"/>
    <n v="1352.74"/>
    <n v="520.89"/>
    <n v="0"/>
    <n v="2"/>
    <s v="January"/>
    <n v="2024"/>
    <x v="2"/>
    <x v="1"/>
  </r>
  <r>
    <d v="2023-05-05T00:00:00"/>
    <s v="ORD-001716"/>
    <x v="1"/>
    <x v="23"/>
    <n v="45557.11"/>
    <s v="East"/>
    <n v="51215.63"/>
    <n v="5658.52"/>
    <n v="15"/>
    <n v="5"/>
    <s v="May"/>
    <n v="2023"/>
    <x v="0"/>
    <x v="0"/>
  </r>
  <r>
    <d v="2024-12-07T00:00:00"/>
    <s v="ORD-001717"/>
    <x v="3"/>
    <x v="32"/>
    <n v="6254.76"/>
    <s v="East"/>
    <n v="6996.1"/>
    <n v="741.34"/>
    <n v="5"/>
    <n v="2"/>
    <s v="December"/>
    <n v="2024"/>
    <x v="1"/>
    <x v="1"/>
  </r>
  <r>
    <d v="2024-03-17T00:00:00"/>
    <s v="ORD-001718"/>
    <x v="3"/>
    <x v="28"/>
    <n v="65304.57"/>
    <s v="West"/>
    <n v="75958.460000000006"/>
    <n v="10653.89"/>
    <n v="0"/>
    <n v="6"/>
    <s v="March"/>
    <n v="2024"/>
    <x v="2"/>
    <x v="1"/>
  </r>
  <r>
    <d v="2025-03-15T00:00:00"/>
    <s v="ORD-001719"/>
    <x v="3"/>
    <x v="22"/>
    <n v="1553.07"/>
    <s v="Central"/>
    <n v="1985.69"/>
    <n v="432.62"/>
    <n v="10"/>
    <n v="1"/>
    <s v="March"/>
    <n v="2025"/>
    <x v="1"/>
    <x v="1"/>
  </r>
  <r>
    <d v="2023-02-05T00:00:00"/>
    <s v="ORD-001720"/>
    <x v="1"/>
    <x v="19"/>
    <n v="20328.7"/>
    <s v="West"/>
    <n v="25453.42"/>
    <n v="5124.72"/>
    <n v="0"/>
    <n v="6"/>
    <s v="February"/>
    <n v="2023"/>
    <x v="2"/>
    <x v="1"/>
  </r>
  <r>
    <d v="2025-04-13T00:00:00"/>
    <s v="ORD-001721"/>
    <x v="0"/>
    <x v="8"/>
    <n v="152.30000000000001"/>
    <s v="North"/>
    <n v="358.61"/>
    <n v="206.31"/>
    <n v="0"/>
    <n v="1"/>
    <s v="April"/>
    <n v="2025"/>
    <x v="2"/>
    <x v="1"/>
  </r>
  <r>
    <d v="2023-04-03T00:00:00"/>
    <s v="ORD-001722"/>
    <x v="3"/>
    <x v="34"/>
    <n v="14471.82"/>
    <s v="South"/>
    <n v="14905.97"/>
    <n v="434.15"/>
    <n v="17"/>
    <n v="2"/>
    <s v="April"/>
    <n v="2023"/>
    <x v="0"/>
    <x v="0"/>
  </r>
  <r>
    <d v="2025-07-25T00:00:00"/>
    <s v="ORD-001723"/>
    <x v="4"/>
    <x v="39"/>
    <n v="2340.14"/>
    <s v="East"/>
    <n v="3583.66"/>
    <n v="1243.52"/>
    <n v="0"/>
    <n v="1"/>
    <s v="July"/>
    <n v="2025"/>
    <x v="2"/>
    <x v="1"/>
  </r>
  <r>
    <d v="2024-11-19T00:00:00"/>
    <s v="ORD-001724"/>
    <x v="5"/>
    <x v="16"/>
    <n v="1310.78"/>
    <s v="Central"/>
    <n v="2770.45"/>
    <n v="1459.67"/>
    <n v="5"/>
    <n v="2"/>
    <s v="November"/>
    <n v="2024"/>
    <x v="1"/>
    <x v="1"/>
  </r>
  <r>
    <d v="2023-05-29T00:00:00"/>
    <s v="ORD-001725"/>
    <x v="1"/>
    <x v="1"/>
    <n v="2933.23"/>
    <s v="West"/>
    <n v="3166.74"/>
    <n v="233.51"/>
    <n v="15"/>
    <n v="2"/>
    <s v="May"/>
    <n v="2023"/>
    <x v="0"/>
    <x v="0"/>
  </r>
  <r>
    <d v="2024-07-08T00:00:00"/>
    <s v="ORD-001726"/>
    <x v="2"/>
    <x v="10"/>
    <n v="696.52"/>
    <s v="North"/>
    <n v="1049.7"/>
    <n v="353.18"/>
    <n v="20"/>
    <n v="1"/>
    <s v="July"/>
    <n v="2024"/>
    <x v="0"/>
    <x v="0"/>
  </r>
  <r>
    <d v="2025-04-06T00:00:00"/>
    <s v="ORD-001727"/>
    <x v="4"/>
    <x v="7"/>
    <n v="16148.63"/>
    <s v="North"/>
    <n v="16633.09"/>
    <n v="484.46"/>
    <n v="22"/>
    <n v="2"/>
    <s v="April"/>
    <n v="2025"/>
    <x v="0"/>
    <x v="2"/>
  </r>
  <r>
    <d v="2025-11-11T00:00:00"/>
    <s v="ORD-001728"/>
    <x v="5"/>
    <x v="14"/>
    <n v="1699.97"/>
    <s v="West"/>
    <n v="2662.63"/>
    <n v="962.66"/>
    <n v="25"/>
    <n v="2"/>
    <s v="November"/>
    <n v="2025"/>
    <x v="0"/>
    <x v="2"/>
  </r>
  <r>
    <d v="2025-01-22T00:00:00"/>
    <s v="ORD-001729"/>
    <x v="3"/>
    <x v="37"/>
    <n v="10000.24"/>
    <s v="South"/>
    <n v="10340.35"/>
    <n v="340.11"/>
    <n v="15"/>
    <n v="6"/>
    <s v="January"/>
    <n v="2025"/>
    <x v="0"/>
    <x v="0"/>
  </r>
  <r>
    <d v="2025-05-26T00:00:00"/>
    <s v="ORD-001730"/>
    <x v="0"/>
    <x v="21"/>
    <n v="678.61"/>
    <s v="Central"/>
    <n v="1312.57"/>
    <n v="633.96"/>
    <n v="15"/>
    <n v="4"/>
    <s v="May"/>
    <n v="2025"/>
    <x v="0"/>
    <x v="0"/>
  </r>
  <r>
    <d v="2024-07-17T00:00:00"/>
    <s v="ORD-001731"/>
    <x v="2"/>
    <x v="31"/>
    <n v="1792.61"/>
    <s v="South"/>
    <n v="2856.28"/>
    <n v="1063.67"/>
    <n v="20"/>
    <n v="2"/>
    <s v="July"/>
    <n v="2024"/>
    <x v="0"/>
    <x v="0"/>
  </r>
  <r>
    <d v="2023-12-21T00:00:00"/>
    <s v="ORD-001732"/>
    <x v="3"/>
    <x v="3"/>
    <n v="6548.82"/>
    <s v="South"/>
    <n v="9673.32"/>
    <n v="3124.5"/>
    <n v="0"/>
    <n v="3"/>
    <s v="December"/>
    <n v="2023"/>
    <x v="2"/>
    <x v="1"/>
  </r>
  <r>
    <d v="2023-11-24T00:00:00"/>
    <s v="ORD-001733"/>
    <x v="1"/>
    <x v="23"/>
    <n v="7652.47"/>
    <s v="South"/>
    <n v="9670.73"/>
    <n v="2018.26"/>
    <n v="5"/>
    <n v="4"/>
    <s v="November"/>
    <n v="2023"/>
    <x v="1"/>
    <x v="1"/>
  </r>
  <r>
    <d v="2025-11-13T00:00:00"/>
    <s v="ORD-001734"/>
    <x v="4"/>
    <x v="7"/>
    <n v="5747.41"/>
    <s v="Central"/>
    <n v="8075.71"/>
    <n v="2328.3000000000002"/>
    <n v="0"/>
    <n v="4"/>
    <s v="November"/>
    <n v="2025"/>
    <x v="2"/>
    <x v="1"/>
  </r>
  <r>
    <d v="2025-09-24T00:00:00"/>
    <s v="ORD-001735"/>
    <x v="2"/>
    <x v="13"/>
    <n v="1274.48"/>
    <s v="West"/>
    <n v="2648.13"/>
    <n v="1373.65"/>
    <n v="5"/>
    <n v="2"/>
    <s v="September"/>
    <n v="2025"/>
    <x v="1"/>
    <x v="1"/>
  </r>
  <r>
    <d v="2024-09-17T00:00:00"/>
    <s v="ORD-001736"/>
    <x v="5"/>
    <x v="27"/>
    <n v="1731.8"/>
    <s v="East"/>
    <n v="2274.88"/>
    <n v="543.08000000000004"/>
    <n v="20"/>
    <n v="3"/>
    <s v="September"/>
    <n v="2024"/>
    <x v="0"/>
    <x v="0"/>
  </r>
  <r>
    <d v="2025-08-27T00:00:00"/>
    <s v="ORD-001737"/>
    <x v="1"/>
    <x v="24"/>
    <n v="18590.73"/>
    <s v="Central"/>
    <n v="21470.66"/>
    <n v="2879.93"/>
    <n v="10"/>
    <n v="3"/>
    <s v="August"/>
    <n v="2025"/>
    <x v="1"/>
    <x v="1"/>
  </r>
  <r>
    <d v="2024-04-28T00:00:00"/>
    <s v="ORD-001738"/>
    <x v="5"/>
    <x v="27"/>
    <n v="589.39"/>
    <s v="East"/>
    <n v="998.46"/>
    <n v="409.07"/>
    <n v="10"/>
    <n v="2"/>
    <s v="April"/>
    <n v="2024"/>
    <x v="1"/>
    <x v="1"/>
  </r>
  <r>
    <d v="2024-10-28T00:00:00"/>
    <s v="ORD-001739"/>
    <x v="3"/>
    <x v="28"/>
    <n v="17327.310000000001"/>
    <s v="Central"/>
    <n v="21862.36"/>
    <n v="4535.05"/>
    <n v="0"/>
    <n v="4"/>
    <s v="October"/>
    <n v="2024"/>
    <x v="2"/>
    <x v="1"/>
  </r>
  <r>
    <d v="2024-02-18T00:00:00"/>
    <s v="ORD-001740"/>
    <x v="2"/>
    <x v="35"/>
    <n v="139.04"/>
    <s v="West"/>
    <n v="227.59"/>
    <n v="88.55"/>
    <n v="10"/>
    <n v="3"/>
    <s v="February"/>
    <n v="2024"/>
    <x v="1"/>
    <x v="1"/>
  </r>
  <r>
    <d v="2023-09-12T00:00:00"/>
    <s v="ORD-001741"/>
    <x v="1"/>
    <x v="23"/>
    <n v="51917.41"/>
    <s v="Central"/>
    <n v="52223.3"/>
    <n v="305.89"/>
    <n v="22"/>
    <n v="5"/>
    <s v="September"/>
    <n v="2023"/>
    <x v="0"/>
    <x v="2"/>
  </r>
  <r>
    <d v="2023-09-24T00:00:00"/>
    <s v="ORD-001742"/>
    <x v="3"/>
    <x v="28"/>
    <n v="23541.08"/>
    <s v="Central"/>
    <n v="25242.98"/>
    <n v="1701.9"/>
    <n v="20"/>
    <n v="2"/>
    <s v="September"/>
    <n v="2023"/>
    <x v="0"/>
    <x v="0"/>
  </r>
  <r>
    <d v="2023-04-21T00:00:00"/>
    <s v="ORD-001743"/>
    <x v="5"/>
    <x v="20"/>
    <n v="13722.12"/>
    <s v="West"/>
    <n v="34090.080000000002"/>
    <n v="20367.96"/>
    <n v="0"/>
    <n v="10"/>
    <s v="April"/>
    <n v="2023"/>
    <x v="2"/>
    <x v="1"/>
  </r>
  <r>
    <d v="2025-12-12T00:00:00"/>
    <s v="ORD-001744"/>
    <x v="3"/>
    <x v="37"/>
    <n v="14293.87"/>
    <s v="North"/>
    <n v="16516.75"/>
    <n v="2222.88"/>
    <n v="10"/>
    <n v="4"/>
    <s v="December"/>
    <n v="2025"/>
    <x v="1"/>
    <x v="1"/>
  </r>
  <r>
    <d v="2025-12-30T00:00:00"/>
    <s v="ORD-001745"/>
    <x v="3"/>
    <x v="22"/>
    <n v="6899.24"/>
    <s v="South"/>
    <n v="7421.03"/>
    <n v="521.79"/>
    <n v="20"/>
    <n v="5"/>
    <s v="December"/>
    <n v="2025"/>
    <x v="0"/>
    <x v="0"/>
  </r>
  <r>
    <d v="2023-03-03T00:00:00"/>
    <s v="ORD-001746"/>
    <x v="5"/>
    <x v="27"/>
    <n v="6172.67"/>
    <s v="Central"/>
    <n v="9655.58"/>
    <n v="3482.91"/>
    <n v="10"/>
    <n v="2"/>
    <s v="March"/>
    <n v="2023"/>
    <x v="1"/>
    <x v="1"/>
  </r>
  <r>
    <d v="2023-10-05T00:00:00"/>
    <s v="ORD-001747"/>
    <x v="1"/>
    <x v="24"/>
    <n v="7859.81"/>
    <s v="East"/>
    <n v="9607.56"/>
    <n v="1747.75"/>
    <n v="5"/>
    <n v="2"/>
    <s v="October"/>
    <n v="2023"/>
    <x v="1"/>
    <x v="1"/>
  </r>
  <r>
    <d v="2025-09-04T00:00:00"/>
    <s v="ORD-001748"/>
    <x v="4"/>
    <x v="7"/>
    <n v="6863.16"/>
    <s v="South"/>
    <n v="9038"/>
    <n v="2174.84"/>
    <n v="10"/>
    <n v="2"/>
    <s v="September"/>
    <n v="2025"/>
    <x v="1"/>
    <x v="1"/>
  </r>
  <r>
    <d v="2023-02-06T00:00:00"/>
    <s v="ORD-001749"/>
    <x v="1"/>
    <x v="23"/>
    <n v="24907.19"/>
    <s v="West"/>
    <n v="32106.55"/>
    <n v="7199.36"/>
    <n v="10"/>
    <n v="4"/>
    <s v="February"/>
    <n v="2023"/>
    <x v="1"/>
    <x v="1"/>
  </r>
  <r>
    <d v="2025-05-29T00:00:00"/>
    <s v="ORD-001750"/>
    <x v="5"/>
    <x v="14"/>
    <n v="1043.33"/>
    <s v="South"/>
    <n v="1329.52"/>
    <n v="286.19"/>
    <n v="30"/>
    <n v="1"/>
    <s v="May"/>
    <n v="2025"/>
    <x v="0"/>
    <x v="2"/>
  </r>
  <r>
    <d v="2025-06-30T00:00:00"/>
    <s v="ORD-001751"/>
    <x v="0"/>
    <x v="0"/>
    <n v="5314.17"/>
    <s v="South"/>
    <n v="9529.02"/>
    <n v="4214.8500000000004"/>
    <n v="5"/>
    <n v="2"/>
    <s v="June"/>
    <n v="2025"/>
    <x v="1"/>
    <x v="1"/>
  </r>
  <r>
    <d v="2023-06-29T00:00:00"/>
    <s v="ORD-001752"/>
    <x v="2"/>
    <x v="25"/>
    <n v="144.65"/>
    <s v="West"/>
    <n v="161.52000000000001"/>
    <n v="16.87"/>
    <n v="30"/>
    <n v="2"/>
    <s v="June"/>
    <n v="2023"/>
    <x v="0"/>
    <x v="2"/>
  </r>
  <r>
    <d v="2024-02-23T00:00:00"/>
    <s v="ORD-001753"/>
    <x v="4"/>
    <x v="7"/>
    <n v="34103.64"/>
    <s v="East"/>
    <n v="43366"/>
    <n v="9262.36"/>
    <n v="5"/>
    <n v="2"/>
    <s v="February"/>
    <n v="2024"/>
    <x v="1"/>
    <x v="1"/>
  </r>
  <r>
    <d v="2024-09-08T00:00:00"/>
    <s v="ORD-001754"/>
    <x v="3"/>
    <x v="3"/>
    <n v="62847.98"/>
    <s v="South"/>
    <n v="77386.97"/>
    <n v="14538.99"/>
    <n v="0"/>
    <n v="3"/>
    <s v="September"/>
    <n v="2024"/>
    <x v="2"/>
    <x v="1"/>
  </r>
  <r>
    <d v="2025-06-27T00:00:00"/>
    <s v="ORD-001755"/>
    <x v="5"/>
    <x v="20"/>
    <n v="263.64"/>
    <s v="South"/>
    <n v="538.97"/>
    <n v="275.33"/>
    <n v="0"/>
    <n v="1"/>
    <s v="June"/>
    <n v="2025"/>
    <x v="2"/>
    <x v="1"/>
  </r>
  <r>
    <d v="2023-08-12T00:00:00"/>
    <s v="ORD-001756"/>
    <x v="1"/>
    <x v="1"/>
    <n v="2149.2399999999998"/>
    <s v="West"/>
    <n v="2517.25"/>
    <n v="368.01"/>
    <n v="25"/>
    <n v="1"/>
    <s v="August"/>
    <n v="2023"/>
    <x v="0"/>
    <x v="2"/>
  </r>
  <r>
    <d v="2024-11-02T00:00:00"/>
    <s v="ORD-001757"/>
    <x v="2"/>
    <x v="25"/>
    <n v="57.39"/>
    <s v="West"/>
    <n v="88.48"/>
    <n v="31.09"/>
    <n v="30"/>
    <n v="1"/>
    <s v="November"/>
    <n v="2024"/>
    <x v="0"/>
    <x v="2"/>
  </r>
  <r>
    <d v="2024-10-10T00:00:00"/>
    <s v="ORD-001758"/>
    <x v="4"/>
    <x v="26"/>
    <n v="30966.02"/>
    <s v="South"/>
    <n v="42319.63"/>
    <n v="11353.61"/>
    <n v="0"/>
    <n v="2"/>
    <s v="October"/>
    <n v="2024"/>
    <x v="2"/>
    <x v="1"/>
  </r>
  <r>
    <d v="2023-05-01T00:00:00"/>
    <s v="ORD-001759"/>
    <x v="5"/>
    <x v="14"/>
    <n v="5431.53"/>
    <s v="Central"/>
    <n v="8617.0300000000007"/>
    <n v="3185.5"/>
    <n v="10"/>
    <n v="4"/>
    <s v="May"/>
    <n v="2023"/>
    <x v="1"/>
    <x v="1"/>
  </r>
  <r>
    <d v="2025-03-11T00:00:00"/>
    <s v="ORD-001760"/>
    <x v="0"/>
    <x v="6"/>
    <n v="5385.85"/>
    <s v="West"/>
    <n v="8888.2900000000009"/>
    <n v="3502.44"/>
    <n v="10"/>
    <n v="4"/>
    <s v="March"/>
    <n v="2025"/>
    <x v="1"/>
    <x v="1"/>
  </r>
  <r>
    <d v="2024-12-16T00:00:00"/>
    <s v="ORD-001761"/>
    <x v="1"/>
    <x v="24"/>
    <n v="26212.62"/>
    <s v="East"/>
    <n v="34511.449999999997"/>
    <n v="8298.83"/>
    <n v="5"/>
    <n v="4"/>
    <s v="December"/>
    <n v="2024"/>
    <x v="1"/>
    <x v="1"/>
  </r>
  <r>
    <d v="2025-09-06T00:00:00"/>
    <s v="ORD-001762"/>
    <x v="0"/>
    <x v="21"/>
    <n v="2751.28"/>
    <s v="North"/>
    <n v="4195.9399999999996"/>
    <n v="1444.66"/>
    <n v="20"/>
    <n v="4"/>
    <s v="September"/>
    <n v="2025"/>
    <x v="0"/>
    <x v="0"/>
  </r>
  <r>
    <d v="2024-12-08T00:00:00"/>
    <s v="ORD-001763"/>
    <x v="0"/>
    <x v="4"/>
    <n v="469"/>
    <s v="West"/>
    <n v="668.62"/>
    <n v="199.62"/>
    <n v="10"/>
    <n v="2"/>
    <s v="December"/>
    <n v="2024"/>
    <x v="1"/>
    <x v="1"/>
  </r>
  <r>
    <d v="2025-08-08T00:00:00"/>
    <s v="ORD-001764"/>
    <x v="2"/>
    <x v="25"/>
    <n v="706.69"/>
    <s v="North"/>
    <n v="1041.3"/>
    <n v="334.61"/>
    <n v="15"/>
    <n v="1"/>
    <s v="August"/>
    <n v="2025"/>
    <x v="0"/>
    <x v="0"/>
  </r>
  <r>
    <d v="2024-02-06T00:00:00"/>
    <s v="ORD-001765"/>
    <x v="0"/>
    <x v="41"/>
    <n v="246.07"/>
    <s v="North"/>
    <n v="442.71"/>
    <n v="196.64"/>
    <n v="10"/>
    <n v="1"/>
    <s v="February"/>
    <n v="2024"/>
    <x v="1"/>
    <x v="1"/>
  </r>
  <r>
    <d v="2025-08-26T00:00:00"/>
    <s v="ORD-001766"/>
    <x v="5"/>
    <x v="33"/>
    <n v="864.74"/>
    <s v="North"/>
    <n v="1622.95"/>
    <n v="758.21"/>
    <n v="0"/>
    <n v="2"/>
    <s v="August"/>
    <n v="2025"/>
    <x v="2"/>
    <x v="1"/>
  </r>
  <r>
    <d v="2025-01-28T00:00:00"/>
    <s v="ORD-001767"/>
    <x v="5"/>
    <x v="18"/>
    <n v="6259.2"/>
    <s v="North"/>
    <n v="8316.6"/>
    <n v="2057.4"/>
    <n v="15"/>
    <n v="3"/>
    <s v="January"/>
    <n v="2025"/>
    <x v="0"/>
    <x v="0"/>
  </r>
  <r>
    <d v="2023-03-04T00:00:00"/>
    <s v="ORD-001768"/>
    <x v="3"/>
    <x v="37"/>
    <n v="50506.55"/>
    <s v="West"/>
    <n v="62743.48"/>
    <n v="12236.93"/>
    <n v="15"/>
    <n v="8"/>
    <s v="March"/>
    <n v="2023"/>
    <x v="0"/>
    <x v="0"/>
  </r>
  <r>
    <d v="2025-03-12T00:00:00"/>
    <s v="ORD-001769"/>
    <x v="3"/>
    <x v="22"/>
    <n v="2331.67"/>
    <s v="East"/>
    <n v="2861.56"/>
    <n v="529.89"/>
    <n v="5"/>
    <n v="1"/>
    <s v="March"/>
    <n v="2025"/>
    <x v="1"/>
    <x v="1"/>
  </r>
  <r>
    <d v="2023-01-15T00:00:00"/>
    <s v="ORD-001770"/>
    <x v="5"/>
    <x v="18"/>
    <n v="897.31"/>
    <s v="North"/>
    <n v="1221.3900000000001"/>
    <n v="324.08"/>
    <n v="10"/>
    <n v="1"/>
    <s v="January"/>
    <n v="2023"/>
    <x v="1"/>
    <x v="1"/>
  </r>
  <r>
    <d v="2025-06-15T00:00:00"/>
    <s v="ORD-001771"/>
    <x v="1"/>
    <x v="19"/>
    <n v="43612.41"/>
    <s v="West"/>
    <n v="51919.53"/>
    <n v="8307.1200000000008"/>
    <n v="10"/>
    <n v="8"/>
    <s v="June"/>
    <n v="2025"/>
    <x v="1"/>
    <x v="1"/>
  </r>
  <r>
    <d v="2024-01-03T00:00:00"/>
    <s v="ORD-001772"/>
    <x v="0"/>
    <x v="4"/>
    <n v="2319.41"/>
    <s v="South"/>
    <n v="3848.68"/>
    <n v="1529.27"/>
    <n v="10"/>
    <n v="8"/>
    <s v="January"/>
    <n v="2024"/>
    <x v="1"/>
    <x v="1"/>
  </r>
  <r>
    <d v="2024-05-18T00:00:00"/>
    <s v="ORD-001773"/>
    <x v="1"/>
    <x v="9"/>
    <n v="4926.8100000000004"/>
    <s v="North"/>
    <n v="6761.06"/>
    <n v="1834.25"/>
    <n v="15"/>
    <n v="4"/>
    <s v="May"/>
    <n v="2024"/>
    <x v="0"/>
    <x v="0"/>
  </r>
  <r>
    <d v="2024-12-09T00:00:00"/>
    <s v="ORD-001774"/>
    <x v="0"/>
    <x v="21"/>
    <n v="1119.44"/>
    <s v="North"/>
    <n v="2546.42"/>
    <n v="1426.98"/>
    <n v="5"/>
    <n v="1"/>
    <s v="December"/>
    <n v="2024"/>
    <x v="1"/>
    <x v="1"/>
  </r>
  <r>
    <d v="2025-05-11T00:00:00"/>
    <s v="ORD-001775"/>
    <x v="3"/>
    <x v="34"/>
    <n v="13563.96"/>
    <s v="South"/>
    <n v="18760.98"/>
    <n v="5197.0200000000004"/>
    <n v="5"/>
    <n v="2"/>
    <s v="May"/>
    <n v="2025"/>
    <x v="1"/>
    <x v="1"/>
  </r>
  <r>
    <d v="2023-03-23T00:00:00"/>
    <s v="ORD-001776"/>
    <x v="0"/>
    <x v="41"/>
    <n v="5557.28"/>
    <s v="South"/>
    <n v="10745.02"/>
    <n v="5187.74"/>
    <n v="20"/>
    <n v="8"/>
    <s v="March"/>
    <n v="2023"/>
    <x v="0"/>
    <x v="0"/>
  </r>
  <r>
    <d v="2025-04-27T00:00:00"/>
    <s v="ORD-001777"/>
    <x v="0"/>
    <x v="6"/>
    <n v="173.08"/>
    <s v="West"/>
    <n v="339.39"/>
    <n v="166.31"/>
    <n v="10"/>
    <n v="1"/>
    <s v="April"/>
    <n v="2025"/>
    <x v="1"/>
    <x v="1"/>
  </r>
  <r>
    <d v="2023-01-11T00:00:00"/>
    <s v="ORD-001778"/>
    <x v="1"/>
    <x v="5"/>
    <n v="6142.8"/>
    <s v="North"/>
    <n v="6864.76"/>
    <n v="721.96"/>
    <n v="20"/>
    <n v="4"/>
    <s v="January"/>
    <n v="2023"/>
    <x v="0"/>
    <x v="0"/>
  </r>
  <r>
    <d v="2025-10-08T00:00:00"/>
    <s v="ORD-001779"/>
    <x v="3"/>
    <x v="12"/>
    <n v="33856.15"/>
    <s v="West"/>
    <n v="35179.39"/>
    <n v="1323.24"/>
    <n v="15"/>
    <n v="5"/>
    <s v="October"/>
    <n v="2025"/>
    <x v="0"/>
    <x v="0"/>
  </r>
  <r>
    <d v="2024-01-14T00:00:00"/>
    <s v="ORD-001780"/>
    <x v="5"/>
    <x v="33"/>
    <n v="1026.81"/>
    <s v="East"/>
    <n v="1721.62"/>
    <n v="694.81"/>
    <n v="15"/>
    <n v="3"/>
    <s v="January"/>
    <n v="2024"/>
    <x v="0"/>
    <x v="0"/>
  </r>
  <r>
    <d v="2025-08-03T00:00:00"/>
    <s v="ORD-001781"/>
    <x v="1"/>
    <x v="29"/>
    <n v="2774.85"/>
    <s v="South"/>
    <n v="3744.88"/>
    <n v="970.03"/>
    <n v="10"/>
    <n v="1"/>
    <s v="August"/>
    <n v="2025"/>
    <x v="1"/>
    <x v="1"/>
  </r>
  <r>
    <d v="2025-09-28T00:00:00"/>
    <s v="ORD-001782"/>
    <x v="3"/>
    <x v="3"/>
    <n v="853.31"/>
    <s v="West"/>
    <n v="860.8"/>
    <n v="7.49"/>
    <n v="15"/>
    <n v="1"/>
    <s v="September"/>
    <n v="2025"/>
    <x v="0"/>
    <x v="0"/>
  </r>
  <r>
    <d v="2023-05-14T00:00:00"/>
    <s v="ORD-001783"/>
    <x v="2"/>
    <x v="35"/>
    <n v="557.97"/>
    <s v="North"/>
    <n v="606.01"/>
    <n v="48.04"/>
    <n v="25"/>
    <n v="4"/>
    <s v="May"/>
    <n v="2023"/>
    <x v="0"/>
    <x v="2"/>
  </r>
  <r>
    <d v="2024-06-16T00:00:00"/>
    <s v="ORD-001784"/>
    <x v="5"/>
    <x v="27"/>
    <n v="5492.36"/>
    <s v="North"/>
    <n v="9393.3799999999992"/>
    <n v="3901.02"/>
    <n v="15"/>
    <n v="4"/>
    <s v="June"/>
    <n v="2024"/>
    <x v="0"/>
    <x v="0"/>
  </r>
  <r>
    <d v="2023-05-15T00:00:00"/>
    <s v="ORD-001785"/>
    <x v="3"/>
    <x v="22"/>
    <n v="1721.65"/>
    <s v="Central"/>
    <n v="1773.3"/>
    <n v="51.65"/>
    <n v="15"/>
    <n v="1"/>
    <s v="May"/>
    <n v="2023"/>
    <x v="0"/>
    <x v="0"/>
  </r>
  <r>
    <d v="2025-05-09T00:00:00"/>
    <s v="ORD-001786"/>
    <x v="3"/>
    <x v="37"/>
    <n v="94013.7"/>
    <s v="West"/>
    <n v="111027.35"/>
    <n v="17013.650000000001"/>
    <n v="0"/>
    <n v="8"/>
    <s v="May"/>
    <n v="2025"/>
    <x v="2"/>
    <x v="1"/>
  </r>
  <r>
    <d v="2025-12-11T00:00:00"/>
    <s v="ORD-001787"/>
    <x v="0"/>
    <x v="0"/>
    <n v="11377.76"/>
    <s v="North"/>
    <n v="16009.79"/>
    <n v="4632.03"/>
    <n v="25"/>
    <n v="6"/>
    <s v="December"/>
    <n v="2025"/>
    <x v="0"/>
    <x v="2"/>
  </r>
  <r>
    <d v="2024-08-19T00:00:00"/>
    <s v="ORD-001788"/>
    <x v="3"/>
    <x v="32"/>
    <n v="4177.41"/>
    <s v="East"/>
    <n v="4324.1899999999996"/>
    <n v="146.78"/>
    <n v="20"/>
    <n v="1"/>
    <s v="August"/>
    <n v="2024"/>
    <x v="0"/>
    <x v="0"/>
  </r>
  <r>
    <d v="2025-08-04T00:00:00"/>
    <s v="ORD-001789"/>
    <x v="0"/>
    <x v="41"/>
    <n v="243.45"/>
    <s v="West"/>
    <n v="427.84"/>
    <n v="184.39"/>
    <n v="30"/>
    <n v="1"/>
    <s v="August"/>
    <n v="2025"/>
    <x v="0"/>
    <x v="2"/>
  </r>
  <r>
    <d v="2023-08-04T00:00:00"/>
    <s v="ORD-001790"/>
    <x v="4"/>
    <x v="40"/>
    <n v="74829.69"/>
    <s v="South"/>
    <n v="87232.39"/>
    <n v="12402.7"/>
    <n v="10"/>
    <n v="5"/>
    <s v="August"/>
    <n v="2023"/>
    <x v="1"/>
    <x v="1"/>
  </r>
  <r>
    <d v="2024-06-25T00:00:00"/>
    <s v="ORD-001791"/>
    <x v="2"/>
    <x v="2"/>
    <n v="137.5"/>
    <s v="West"/>
    <n v="158.91999999999999"/>
    <n v="21.42"/>
    <n v="30"/>
    <n v="1"/>
    <s v="June"/>
    <n v="2024"/>
    <x v="0"/>
    <x v="2"/>
  </r>
  <r>
    <d v="2024-01-10T00:00:00"/>
    <s v="ORD-001792"/>
    <x v="0"/>
    <x v="41"/>
    <n v="11660.13"/>
    <s v="Central"/>
    <n v="23548.36"/>
    <n v="11888.23"/>
    <n v="20"/>
    <n v="8"/>
    <s v="January"/>
    <n v="2024"/>
    <x v="0"/>
    <x v="0"/>
  </r>
  <r>
    <d v="2023-03-15T00:00:00"/>
    <s v="ORD-001793"/>
    <x v="5"/>
    <x v="14"/>
    <n v="828.2"/>
    <s v="East"/>
    <n v="1317.37"/>
    <n v="489.17"/>
    <n v="10"/>
    <n v="1"/>
    <s v="March"/>
    <n v="2023"/>
    <x v="1"/>
    <x v="1"/>
  </r>
  <r>
    <d v="2023-04-23T00:00:00"/>
    <s v="ORD-001794"/>
    <x v="5"/>
    <x v="27"/>
    <n v="2579.7600000000002"/>
    <s v="South"/>
    <n v="3787.57"/>
    <n v="1207.81"/>
    <n v="10"/>
    <n v="1"/>
    <s v="April"/>
    <n v="2023"/>
    <x v="1"/>
    <x v="1"/>
  </r>
  <r>
    <d v="2024-03-20T00:00:00"/>
    <s v="ORD-001795"/>
    <x v="2"/>
    <x v="10"/>
    <n v="61.48"/>
    <s v="North"/>
    <n v="107.31"/>
    <n v="45.83"/>
    <n v="25"/>
    <n v="1"/>
    <s v="March"/>
    <n v="2024"/>
    <x v="0"/>
    <x v="2"/>
  </r>
  <r>
    <d v="2024-07-31T00:00:00"/>
    <s v="ORD-001796"/>
    <x v="3"/>
    <x v="12"/>
    <n v="64239.53"/>
    <s v="Central"/>
    <n v="68824.39"/>
    <n v="4584.8599999999997"/>
    <n v="20"/>
    <n v="4"/>
    <s v="July"/>
    <n v="2024"/>
    <x v="0"/>
    <x v="0"/>
  </r>
  <r>
    <d v="2024-08-06T00:00:00"/>
    <s v="ORD-001797"/>
    <x v="2"/>
    <x v="10"/>
    <n v="449.39"/>
    <s v="East"/>
    <n v="557.6"/>
    <n v="108.21"/>
    <n v="15"/>
    <n v="4"/>
    <s v="August"/>
    <n v="2024"/>
    <x v="0"/>
    <x v="0"/>
  </r>
  <r>
    <d v="2025-06-18T00:00:00"/>
    <s v="ORD-001798"/>
    <x v="0"/>
    <x v="8"/>
    <n v="2329.86"/>
    <s v="East"/>
    <n v="5913.29"/>
    <n v="3583.43"/>
    <n v="0"/>
    <n v="3"/>
    <s v="June"/>
    <n v="2025"/>
    <x v="2"/>
    <x v="1"/>
  </r>
  <r>
    <d v="2023-06-10T00:00:00"/>
    <s v="ORD-001799"/>
    <x v="0"/>
    <x v="8"/>
    <n v="1088.1500000000001"/>
    <s v="North"/>
    <n v="2783.32"/>
    <n v="1695.17"/>
    <n v="0"/>
    <n v="5"/>
    <s v="June"/>
    <n v="2023"/>
    <x v="2"/>
    <x v="1"/>
  </r>
  <r>
    <d v="2023-10-16T00:00:00"/>
    <s v="ORD-001800"/>
    <x v="2"/>
    <x v="13"/>
    <n v="401.51"/>
    <s v="Central"/>
    <n v="823.24"/>
    <n v="421.73"/>
    <n v="0"/>
    <n v="5"/>
    <s v="October"/>
    <n v="2023"/>
    <x v="2"/>
    <x v="1"/>
  </r>
  <r>
    <d v="2025-09-13T00:00:00"/>
    <s v="ORD-001801"/>
    <x v="5"/>
    <x v="20"/>
    <n v="2389.17"/>
    <s v="South"/>
    <n v="2466.9899999999998"/>
    <n v="77.819999999999993"/>
    <n v="30"/>
    <n v="4"/>
    <s v="September"/>
    <n v="2025"/>
    <x v="0"/>
    <x v="2"/>
  </r>
  <r>
    <d v="2023-05-26T00:00:00"/>
    <s v="ORD-001802"/>
    <x v="5"/>
    <x v="20"/>
    <n v="4179.43"/>
    <s v="North"/>
    <n v="6866.11"/>
    <n v="2686.68"/>
    <n v="10"/>
    <n v="3"/>
    <s v="May"/>
    <n v="2023"/>
    <x v="1"/>
    <x v="1"/>
  </r>
  <r>
    <d v="2024-05-30T00:00:00"/>
    <s v="ORD-001803"/>
    <x v="2"/>
    <x v="13"/>
    <n v="171.23"/>
    <s v="West"/>
    <n v="222.25"/>
    <n v="51.02"/>
    <n v="10"/>
    <n v="3"/>
    <s v="May"/>
    <n v="2024"/>
    <x v="1"/>
    <x v="1"/>
  </r>
  <r>
    <d v="2024-02-18T00:00:00"/>
    <s v="ORD-001804"/>
    <x v="4"/>
    <x v="26"/>
    <n v="14742.78"/>
    <s v="East"/>
    <n v="14801.89"/>
    <n v="59.11"/>
    <n v="23"/>
    <n v="3"/>
    <s v="February"/>
    <n v="2024"/>
    <x v="0"/>
    <x v="2"/>
  </r>
  <r>
    <d v="2023-12-18T00:00:00"/>
    <s v="ORD-001805"/>
    <x v="5"/>
    <x v="20"/>
    <n v="658.89"/>
    <s v="West"/>
    <n v="1074.46"/>
    <n v="415.57"/>
    <n v="10"/>
    <n v="1"/>
    <s v="December"/>
    <n v="2023"/>
    <x v="1"/>
    <x v="1"/>
  </r>
  <r>
    <d v="2024-10-03T00:00:00"/>
    <s v="ORD-001806"/>
    <x v="2"/>
    <x v="2"/>
    <n v="57.26"/>
    <s v="East"/>
    <n v="71.78"/>
    <n v="14.52"/>
    <n v="25"/>
    <n v="1"/>
    <s v="October"/>
    <n v="2024"/>
    <x v="0"/>
    <x v="2"/>
  </r>
  <r>
    <d v="2024-07-30T00:00:00"/>
    <s v="ORD-001807"/>
    <x v="2"/>
    <x v="13"/>
    <n v="3170.33"/>
    <s v="West"/>
    <n v="4076.91"/>
    <n v="906.58"/>
    <n v="15"/>
    <n v="4"/>
    <s v="July"/>
    <n v="2024"/>
    <x v="0"/>
    <x v="0"/>
  </r>
  <r>
    <d v="2025-10-02T00:00:00"/>
    <s v="ORD-001808"/>
    <x v="3"/>
    <x v="12"/>
    <n v="2766.5"/>
    <s v="West"/>
    <n v="2912.31"/>
    <n v="145.81"/>
    <n v="20"/>
    <n v="4"/>
    <s v="October"/>
    <n v="2025"/>
    <x v="0"/>
    <x v="0"/>
  </r>
  <r>
    <d v="2023-09-26T00:00:00"/>
    <s v="ORD-001809"/>
    <x v="3"/>
    <x v="3"/>
    <n v="86068.61"/>
    <s v="South"/>
    <n v="90704.62"/>
    <n v="4636.01"/>
    <n v="25"/>
    <n v="6"/>
    <s v="September"/>
    <n v="2023"/>
    <x v="0"/>
    <x v="2"/>
  </r>
  <r>
    <d v="2024-03-17T00:00:00"/>
    <s v="ORD-001810"/>
    <x v="5"/>
    <x v="14"/>
    <n v="37023.82"/>
    <s v="East"/>
    <n v="62860.13"/>
    <n v="25836.31"/>
    <n v="0"/>
    <n v="10"/>
    <s v="March"/>
    <n v="2024"/>
    <x v="2"/>
    <x v="1"/>
  </r>
  <r>
    <d v="2024-04-20T00:00:00"/>
    <s v="ORD-001811"/>
    <x v="5"/>
    <x v="16"/>
    <n v="5353.25"/>
    <s v="East"/>
    <n v="10660.06"/>
    <n v="5306.81"/>
    <n v="0"/>
    <n v="5"/>
    <s v="April"/>
    <n v="2024"/>
    <x v="2"/>
    <x v="1"/>
  </r>
  <r>
    <d v="2025-03-05T00:00:00"/>
    <s v="ORD-001812"/>
    <x v="3"/>
    <x v="34"/>
    <n v="13085.68"/>
    <s v="East"/>
    <n v="14190.52"/>
    <n v="1104.8399999999999"/>
    <n v="20"/>
    <n v="3"/>
    <s v="March"/>
    <n v="2025"/>
    <x v="0"/>
    <x v="0"/>
  </r>
  <r>
    <d v="2024-08-28T00:00:00"/>
    <s v="ORD-001813"/>
    <x v="5"/>
    <x v="33"/>
    <n v="4437.88"/>
    <s v="West"/>
    <n v="6461.87"/>
    <n v="2023.99"/>
    <n v="20"/>
    <n v="10"/>
    <s v="August"/>
    <n v="2024"/>
    <x v="0"/>
    <x v="0"/>
  </r>
  <r>
    <d v="2024-02-29T00:00:00"/>
    <s v="ORD-001814"/>
    <x v="0"/>
    <x v="21"/>
    <n v="1079.54"/>
    <s v="West"/>
    <n v="1356.91"/>
    <n v="277.37"/>
    <n v="20"/>
    <n v="3"/>
    <s v="February"/>
    <n v="2024"/>
    <x v="0"/>
    <x v="0"/>
  </r>
  <r>
    <d v="2024-02-06T00:00:00"/>
    <s v="ORD-001815"/>
    <x v="3"/>
    <x v="28"/>
    <n v="4116.84"/>
    <s v="South"/>
    <n v="4289.0600000000004"/>
    <n v="172.22"/>
    <n v="15"/>
    <n v="3"/>
    <s v="February"/>
    <n v="2024"/>
    <x v="0"/>
    <x v="0"/>
  </r>
  <r>
    <d v="2024-04-03T00:00:00"/>
    <s v="ORD-001816"/>
    <x v="4"/>
    <x v="39"/>
    <n v="4230.07"/>
    <s v="South"/>
    <n v="6444.81"/>
    <n v="2214.7399999999998"/>
    <n v="10"/>
    <n v="3"/>
    <s v="April"/>
    <n v="2024"/>
    <x v="1"/>
    <x v="1"/>
  </r>
  <r>
    <d v="2024-12-19T00:00:00"/>
    <s v="ORD-001817"/>
    <x v="3"/>
    <x v="28"/>
    <n v="46710.35"/>
    <s v="South"/>
    <n v="59953.42"/>
    <n v="13243.07"/>
    <n v="5"/>
    <n v="6"/>
    <s v="December"/>
    <n v="2024"/>
    <x v="1"/>
    <x v="1"/>
  </r>
  <r>
    <d v="2024-07-03T00:00:00"/>
    <s v="ORD-001818"/>
    <x v="4"/>
    <x v="26"/>
    <n v="17094.29"/>
    <s v="East"/>
    <n v="21209.34"/>
    <n v="4115.05"/>
    <n v="5"/>
    <n v="1"/>
    <s v="July"/>
    <n v="2024"/>
    <x v="1"/>
    <x v="1"/>
  </r>
  <r>
    <d v="2023-09-26T00:00:00"/>
    <s v="ORD-001819"/>
    <x v="4"/>
    <x v="42"/>
    <n v="6103.63"/>
    <s v="West"/>
    <n v="8782.23"/>
    <n v="2678.6"/>
    <n v="5"/>
    <n v="2"/>
    <s v="September"/>
    <n v="2023"/>
    <x v="1"/>
    <x v="1"/>
  </r>
  <r>
    <d v="2025-07-17T00:00:00"/>
    <s v="ORD-001820"/>
    <x v="0"/>
    <x v="4"/>
    <n v="1784.33"/>
    <s v="Central"/>
    <n v="2487.84"/>
    <n v="703.51"/>
    <n v="20"/>
    <n v="3"/>
    <s v="July"/>
    <n v="2025"/>
    <x v="0"/>
    <x v="0"/>
  </r>
  <r>
    <d v="2025-03-25T00:00:00"/>
    <s v="ORD-001821"/>
    <x v="5"/>
    <x v="33"/>
    <n v="516.47"/>
    <s v="East"/>
    <n v="746.87"/>
    <n v="230.4"/>
    <n v="5"/>
    <n v="1"/>
    <s v="March"/>
    <n v="2025"/>
    <x v="1"/>
    <x v="1"/>
  </r>
  <r>
    <d v="2024-05-22T00:00:00"/>
    <s v="ORD-001822"/>
    <x v="2"/>
    <x v="35"/>
    <n v="358.89"/>
    <s v="Central"/>
    <n v="703.43"/>
    <n v="344.54"/>
    <n v="0"/>
    <n v="1"/>
    <s v="May"/>
    <n v="2024"/>
    <x v="2"/>
    <x v="1"/>
  </r>
  <r>
    <d v="2023-09-22T00:00:00"/>
    <s v="ORD-001823"/>
    <x v="3"/>
    <x v="15"/>
    <n v="2438.11"/>
    <s v="South"/>
    <n v="2662.5"/>
    <n v="224.39"/>
    <n v="20"/>
    <n v="2"/>
    <s v="September"/>
    <n v="2023"/>
    <x v="0"/>
    <x v="0"/>
  </r>
  <r>
    <d v="2023-05-04T00:00:00"/>
    <s v="ORD-001824"/>
    <x v="2"/>
    <x v="10"/>
    <n v="8122.63"/>
    <s v="South"/>
    <n v="13929.7"/>
    <n v="5807.07"/>
    <n v="15"/>
    <n v="10"/>
    <s v="May"/>
    <n v="2023"/>
    <x v="0"/>
    <x v="0"/>
  </r>
  <r>
    <d v="2024-01-30T00:00:00"/>
    <s v="ORD-001825"/>
    <x v="0"/>
    <x v="6"/>
    <n v="2909.71"/>
    <s v="Central"/>
    <n v="3920.74"/>
    <n v="1011.03"/>
    <n v="20"/>
    <n v="5"/>
    <s v="January"/>
    <n v="2024"/>
    <x v="0"/>
    <x v="0"/>
  </r>
  <r>
    <d v="2025-06-05T00:00:00"/>
    <s v="ORD-001826"/>
    <x v="3"/>
    <x v="3"/>
    <n v="17624.47"/>
    <s v="West"/>
    <n v="23369.3"/>
    <n v="5744.83"/>
    <n v="10"/>
    <n v="1"/>
    <s v="June"/>
    <n v="2025"/>
    <x v="1"/>
    <x v="1"/>
  </r>
  <r>
    <d v="2025-01-16T00:00:00"/>
    <s v="ORD-001827"/>
    <x v="3"/>
    <x v="28"/>
    <n v="10839.54"/>
    <s v="Central"/>
    <n v="11962.82"/>
    <n v="1123.28"/>
    <n v="10"/>
    <n v="3"/>
    <s v="January"/>
    <n v="2025"/>
    <x v="1"/>
    <x v="1"/>
  </r>
  <r>
    <d v="2024-07-15T00:00:00"/>
    <s v="ORD-001828"/>
    <x v="2"/>
    <x v="31"/>
    <n v="345"/>
    <s v="North"/>
    <n v="653.22"/>
    <n v="308.22000000000003"/>
    <n v="0"/>
    <n v="2"/>
    <s v="July"/>
    <n v="2024"/>
    <x v="2"/>
    <x v="1"/>
  </r>
  <r>
    <d v="2024-12-31T00:00:00"/>
    <s v="ORD-001829"/>
    <x v="1"/>
    <x v="24"/>
    <n v="18199.71"/>
    <s v="Central"/>
    <n v="27053.18"/>
    <n v="8853.4699999999993"/>
    <n v="0"/>
    <n v="2"/>
    <s v="December"/>
    <n v="2024"/>
    <x v="2"/>
    <x v="1"/>
  </r>
  <r>
    <d v="2023-12-17T00:00:00"/>
    <s v="ORD-001830"/>
    <x v="5"/>
    <x v="16"/>
    <n v="498.76"/>
    <s v="West"/>
    <n v="825.97"/>
    <n v="327.20999999999998"/>
    <n v="10"/>
    <n v="1"/>
    <s v="December"/>
    <n v="2023"/>
    <x v="1"/>
    <x v="1"/>
  </r>
  <r>
    <d v="2023-11-25T00:00:00"/>
    <s v="ORD-001831"/>
    <x v="1"/>
    <x v="1"/>
    <n v="30796.26"/>
    <s v="Central"/>
    <n v="47307.61"/>
    <n v="16511.349999999999"/>
    <n v="0"/>
    <n v="3"/>
    <s v="November"/>
    <n v="2023"/>
    <x v="2"/>
    <x v="1"/>
  </r>
  <r>
    <d v="2023-01-05T00:00:00"/>
    <s v="ORD-001832"/>
    <x v="3"/>
    <x v="34"/>
    <n v="9667.49"/>
    <s v="West"/>
    <n v="10023.4"/>
    <n v="355.91"/>
    <n v="20"/>
    <n v="5"/>
    <s v="January"/>
    <n v="2023"/>
    <x v="0"/>
    <x v="0"/>
  </r>
  <r>
    <d v="2024-08-30T00:00:00"/>
    <s v="ORD-001833"/>
    <x v="0"/>
    <x v="41"/>
    <n v="2329.2800000000002"/>
    <s v="West"/>
    <n v="2763.83"/>
    <n v="434.55"/>
    <n v="30"/>
    <n v="3"/>
    <s v="August"/>
    <n v="2024"/>
    <x v="0"/>
    <x v="2"/>
  </r>
  <r>
    <d v="2025-07-19T00:00:00"/>
    <s v="ORD-001834"/>
    <x v="2"/>
    <x v="13"/>
    <n v="757.56"/>
    <s v="North"/>
    <n v="1519.75"/>
    <n v="762.19"/>
    <n v="0"/>
    <n v="1"/>
    <s v="July"/>
    <n v="2025"/>
    <x v="2"/>
    <x v="1"/>
  </r>
  <r>
    <d v="2023-06-06T00:00:00"/>
    <s v="ORD-001835"/>
    <x v="5"/>
    <x v="14"/>
    <n v="8372.2199999999993"/>
    <s v="Central"/>
    <n v="13970.74"/>
    <n v="5598.52"/>
    <n v="0"/>
    <n v="10"/>
    <s v="June"/>
    <n v="2023"/>
    <x v="2"/>
    <x v="1"/>
  </r>
  <r>
    <d v="2023-06-26T00:00:00"/>
    <s v="ORD-001836"/>
    <x v="1"/>
    <x v="19"/>
    <n v="8547.92"/>
    <s v="West"/>
    <n v="9009.42"/>
    <n v="461.5"/>
    <n v="25"/>
    <n v="1"/>
    <s v="June"/>
    <n v="2023"/>
    <x v="0"/>
    <x v="2"/>
  </r>
  <r>
    <d v="2025-11-25T00:00:00"/>
    <s v="ORD-001837"/>
    <x v="5"/>
    <x v="20"/>
    <n v="1364.25"/>
    <s v="North"/>
    <n v="2668.32"/>
    <n v="1304.07"/>
    <n v="5"/>
    <n v="2"/>
    <s v="November"/>
    <n v="2025"/>
    <x v="1"/>
    <x v="1"/>
  </r>
  <r>
    <d v="2025-09-16T00:00:00"/>
    <s v="ORD-001838"/>
    <x v="4"/>
    <x v="39"/>
    <n v="7036.53"/>
    <s v="Central"/>
    <n v="11145.07"/>
    <n v="4108.54"/>
    <n v="0"/>
    <n v="3"/>
    <s v="September"/>
    <n v="2025"/>
    <x v="2"/>
    <x v="1"/>
  </r>
  <r>
    <d v="2025-03-20T00:00:00"/>
    <s v="ORD-001839"/>
    <x v="5"/>
    <x v="27"/>
    <n v="1734.23"/>
    <s v="North"/>
    <n v="2504.79"/>
    <n v="770.56"/>
    <n v="10"/>
    <n v="5"/>
    <s v="March"/>
    <n v="2025"/>
    <x v="1"/>
    <x v="1"/>
  </r>
  <r>
    <d v="2023-09-12T00:00:00"/>
    <s v="ORD-001840"/>
    <x v="5"/>
    <x v="20"/>
    <n v="14746.7"/>
    <s v="East"/>
    <n v="28987.25"/>
    <n v="14240.55"/>
    <n v="20"/>
    <n v="8"/>
    <s v="September"/>
    <n v="2023"/>
    <x v="0"/>
    <x v="0"/>
  </r>
  <r>
    <d v="2023-09-23T00:00:00"/>
    <s v="ORD-001841"/>
    <x v="1"/>
    <x v="19"/>
    <n v="16098.27"/>
    <s v="Central"/>
    <n v="17783.07"/>
    <n v="1684.8"/>
    <n v="15"/>
    <n v="5"/>
    <s v="September"/>
    <n v="2023"/>
    <x v="0"/>
    <x v="0"/>
  </r>
  <r>
    <d v="2023-01-22T00:00:00"/>
    <s v="ORD-001842"/>
    <x v="0"/>
    <x v="6"/>
    <n v="1040.97"/>
    <s v="North"/>
    <n v="2199.31"/>
    <n v="1158.3399999999999"/>
    <n v="10"/>
    <n v="4"/>
    <s v="January"/>
    <n v="2023"/>
    <x v="1"/>
    <x v="1"/>
  </r>
  <r>
    <d v="2025-06-14T00:00:00"/>
    <s v="ORD-001843"/>
    <x v="0"/>
    <x v="41"/>
    <n v="613.67999999999995"/>
    <s v="North"/>
    <n v="1112.96"/>
    <n v="499.28"/>
    <n v="10"/>
    <n v="3"/>
    <s v="June"/>
    <n v="2025"/>
    <x v="1"/>
    <x v="1"/>
  </r>
  <r>
    <d v="2025-10-12T00:00:00"/>
    <s v="ORD-001844"/>
    <x v="0"/>
    <x v="8"/>
    <n v="2256.91"/>
    <s v="North"/>
    <n v="2934.47"/>
    <n v="677.56"/>
    <n v="20"/>
    <n v="2"/>
    <s v="October"/>
    <n v="2025"/>
    <x v="0"/>
    <x v="0"/>
  </r>
  <r>
    <d v="2024-08-29T00:00:00"/>
    <s v="ORD-001845"/>
    <x v="5"/>
    <x v="36"/>
    <n v="417.62"/>
    <s v="South"/>
    <n v="734.31"/>
    <n v="316.69"/>
    <n v="25"/>
    <n v="2"/>
    <s v="August"/>
    <n v="2024"/>
    <x v="0"/>
    <x v="2"/>
  </r>
  <r>
    <d v="2023-09-20T00:00:00"/>
    <s v="ORD-001846"/>
    <x v="2"/>
    <x v="38"/>
    <n v="251.48"/>
    <s v="East"/>
    <n v="356.03"/>
    <n v="104.55"/>
    <n v="15"/>
    <n v="1"/>
    <s v="September"/>
    <n v="2023"/>
    <x v="0"/>
    <x v="0"/>
  </r>
  <r>
    <d v="2025-08-01T00:00:00"/>
    <s v="ORD-001847"/>
    <x v="1"/>
    <x v="9"/>
    <n v="7732.97"/>
    <s v="South"/>
    <n v="8177.81"/>
    <n v="444.84"/>
    <n v="15"/>
    <n v="8"/>
    <s v="August"/>
    <n v="2025"/>
    <x v="0"/>
    <x v="0"/>
  </r>
  <r>
    <d v="2025-06-08T00:00:00"/>
    <s v="ORD-001848"/>
    <x v="0"/>
    <x v="41"/>
    <n v="566.64"/>
    <s v="South"/>
    <n v="968.72"/>
    <n v="402.08"/>
    <n v="5"/>
    <n v="2"/>
    <s v="June"/>
    <n v="2025"/>
    <x v="1"/>
    <x v="1"/>
  </r>
  <r>
    <d v="2023-02-20T00:00:00"/>
    <s v="ORD-001849"/>
    <x v="3"/>
    <x v="22"/>
    <n v="12389.23"/>
    <s v="South"/>
    <n v="17774.650000000001"/>
    <n v="5385.42"/>
    <n v="0"/>
    <n v="1"/>
    <s v="February"/>
    <n v="2023"/>
    <x v="2"/>
    <x v="1"/>
  </r>
  <r>
    <d v="2023-06-29T00:00:00"/>
    <s v="ORD-001850"/>
    <x v="4"/>
    <x v="42"/>
    <n v="44164.68"/>
    <s v="North"/>
    <n v="57498.36"/>
    <n v="13333.68"/>
    <n v="5"/>
    <n v="4"/>
    <s v="June"/>
    <n v="2023"/>
    <x v="1"/>
    <x v="1"/>
  </r>
  <r>
    <d v="2025-01-19T00:00:00"/>
    <s v="ORD-001851"/>
    <x v="5"/>
    <x v="16"/>
    <n v="888.24"/>
    <s v="East"/>
    <n v="2099.27"/>
    <n v="1211.03"/>
    <n v="0"/>
    <n v="1"/>
    <s v="January"/>
    <n v="2025"/>
    <x v="2"/>
    <x v="1"/>
  </r>
  <r>
    <d v="2023-04-22T00:00:00"/>
    <s v="ORD-001852"/>
    <x v="3"/>
    <x v="34"/>
    <n v="114835.32"/>
    <s v="East"/>
    <n v="126022.88"/>
    <n v="11187.56"/>
    <n v="20"/>
    <n v="5"/>
    <s v="April"/>
    <n v="2023"/>
    <x v="0"/>
    <x v="0"/>
  </r>
  <r>
    <d v="2024-11-29T00:00:00"/>
    <s v="ORD-001853"/>
    <x v="5"/>
    <x v="18"/>
    <n v="1091.73"/>
    <s v="North"/>
    <n v="1890.13"/>
    <n v="798.4"/>
    <n v="5"/>
    <n v="1"/>
    <s v="November"/>
    <n v="2024"/>
    <x v="1"/>
    <x v="1"/>
  </r>
  <r>
    <d v="2024-03-27T00:00:00"/>
    <s v="ORD-001854"/>
    <x v="2"/>
    <x v="10"/>
    <n v="660.25"/>
    <s v="East"/>
    <n v="952.37"/>
    <n v="292.12"/>
    <n v="20"/>
    <n v="3"/>
    <s v="March"/>
    <n v="2024"/>
    <x v="0"/>
    <x v="0"/>
  </r>
  <r>
    <d v="2023-08-09T00:00:00"/>
    <s v="ORD-001855"/>
    <x v="5"/>
    <x v="14"/>
    <n v="1556.61"/>
    <s v="North"/>
    <n v="1660.74"/>
    <n v="104.13"/>
    <n v="30"/>
    <n v="1"/>
    <s v="August"/>
    <n v="2023"/>
    <x v="0"/>
    <x v="2"/>
  </r>
  <r>
    <d v="2024-02-22T00:00:00"/>
    <s v="ORD-001856"/>
    <x v="0"/>
    <x v="17"/>
    <n v="10235.48"/>
    <s v="South"/>
    <n v="19647.12"/>
    <n v="9411.64"/>
    <n v="10"/>
    <n v="5"/>
    <s v="February"/>
    <n v="2024"/>
    <x v="1"/>
    <x v="1"/>
  </r>
  <r>
    <d v="2024-09-19T00:00:00"/>
    <s v="ORD-001857"/>
    <x v="2"/>
    <x v="13"/>
    <n v="158.31"/>
    <s v="South"/>
    <n v="220.63"/>
    <n v="62.32"/>
    <n v="5"/>
    <n v="2"/>
    <s v="September"/>
    <n v="2024"/>
    <x v="1"/>
    <x v="1"/>
  </r>
  <r>
    <d v="2024-02-06T00:00:00"/>
    <s v="ORD-001858"/>
    <x v="1"/>
    <x v="23"/>
    <n v="23847.79"/>
    <s v="South"/>
    <n v="31998.03"/>
    <n v="8150.24"/>
    <n v="10"/>
    <n v="3"/>
    <s v="February"/>
    <n v="2024"/>
    <x v="1"/>
    <x v="1"/>
  </r>
  <r>
    <d v="2023-01-16T00:00:00"/>
    <s v="ORD-001859"/>
    <x v="4"/>
    <x v="40"/>
    <n v="25600.12"/>
    <s v="South"/>
    <n v="35911.5"/>
    <n v="10311.379999999999"/>
    <n v="10"/>
    <n v="2"/>
    <s v="January"/>
    <n v="2023"/>
    <x v="1"/>
    <x v="1"/>
  </r>
  <r>
    <d v="2025-09-20T00:00:00"/>
    <s v="ORD-001860"/>
    <x v="5"/>
    <x v="33"/>
    <n v="600.74"/>
    <s v="West"/>
    <n v="945.74"/>
    <n v="345"/>
    <n v="10"/>
    <n v="1"/>
    <s v="September"/>
    <n v="2025"/>
    <x v="1"/>
    <x v="1"/>
  </r>
  <r>
    <d v="2025-05-16T00:00:00"/>
    <s v="ORD-001861"/>
    <x v="4"/>
    <x v="39"/>
    <n v="27220.38"/>
    <s v="East"/>
    <n v="33499.699999999997"/>
    <n v="6279.32"/>
    <n v="15"/>
    <n v="4"/>
    <s v="May"/>
    <n v="2025"/>
    <x v="0"/>
    <x v="0"/>
  </r>
  <r>
    <d v="2025-06-10T00:00:00"/>
    <s v="ORD-001862"/>
    <x v="2"/>
    <x v="31"/>
    <n v="1925.67"/>
    <s v="North"/>
    <n v="2629.01"/>
    <n v="703.34"/>
    <n v="25"/>
    <n v="3"/>
    <s v="June"/>
    <n v="2025"/>
    <x v="0"/>
    <x v="2"/>
  </r>
  <r>
    <d v="2025-06-16T00:00:00"/>
    <s v="ORD-001863"/>
    <x v="2"/>
    <x v="10"/>
    <n v="1582.43"/>
    <s v="East"/>
    <n v="2236.52"/>
    <n v="654.09"/>
    <n v="5"/>
    <n v="4"/>
    <s v="June"/>
    <n v="2025"/>
    <x v="1"/>
    <x v="1"/>
  </r>
  <r>
    <d v="2025-12-27T00:00:00"/>
    <s v="ORD-001864"/>
    <x v="2"/>
    <x v="2"/>
    <n v="3365.3"/>
    <s v="East"/>
    <n v="4186.75"/>
    <n v="821.45"/>
    <n v="20"/>
    <n v="3"/>
    <s v="December"/>
    <n v="2025"/>
    <x v="0"/>
    <x v="0"/>
  </r>
  <r>
    <d v="2024-10-18T00:00:00"/>
    <s v="ORD-001865"/>
    <x v="5"/>
    <x v="33"/>
    <n v="7045.93"/>
    <s v="West"/>
    <n v="17431.689999999999"/>
    <n v="10385.76"/>
    <n v="0"/>
    <n v="4"/>
    <s v="October"/>
    <n v="2024"/>
    <x v="2"/>
    <x v="1"/>
  </r>
  <r>
    <d v="2023-10-21T00:00:00"/>
    <s v="ORD-001866"/>
    <x v="1"/>
    <x v="5"/>
    <n v="2946.2"/>
    <s v="South"/>
    <n v="3948.03"/>
    <n v="1001.83"/>
    <n v="15"/>
    <n v="2"/>
    <s v="October"/>
    <n v="2023"/>
    <x v="0"/>
    <x v="0"/>
  </r>
  <r>
    <d v="2023-08-18T00:00:00"/>
    <s v="ORD-001867"/>
    <x v="3"/>
    <x v="34"/>
    <n v="66034.880000000005"/>
    <s v="South"/>
    <n v="79817.8"/>
    <n v="13782.92"/>
    <n v="10"/>
    <n v="4"/>
    <s v="August"/>
    <n v="2023"/>
    <x v="1"/>
    <x v="1"/>
  </r>
  <r>
    <d v="2025-07-28T00:00:00"/>
    <s v="ORD-001868"/>
    <x v="4"/>
    <x v="42"/>
    <n v="8732.89"/>
    <s v="East"/>
    <n v="10420.08"/>
    <n v="1687.19"/>
    <n v="10"/>
    <n v="3"/>
    <s v="July"/>
    <n v="2025"/>
    <x v="1"/>
    <x v="1"/>
  </r>
  <r>
    <d v="2023-09-13T00:00:00"/>
    <s v="ORD-001869"/>
    <x v="3"/>
    <x v="32"/>
    <n v="15186.71"/>
    <s v="South"/>
    <n v="19049.240000000002"/>
    <n v="3862.53"/>
    <n v="10"/>
    <n v="2"/>
    <s v="September"/>
    <n v="2023"/>
    <x v="1"/>
    <x v="1"/>
  </r>
  <r>
    <d v="2025-07-30T00:00:00"/>
    <s v="ORD-001870"/>
    <x v="2"/>
    <x v="13"/>
    <n v="874.36"/>
    <s v="West"/>
    <n v="1359.76"/>
    <n v="485.4"/>
    <n v="0"/>
    <n v="3"/>
    <s v="July"/>
    <n v="2025"/>
    <x v="2"/>
    <x v="1"/>
  </r>
  <r>
    <d v="2024-12-15T00:00:00"/>
    <s v="ORD-001871"/>
    <x v="4"/>
    <x v="42"/>
    <n v="3255.33"/>
    <s v="West"/>
    <n v="3603.26"/>
    <n v="347.93"/>
    <n v="15"/>
    <n v="1"/>
    <s v="December"/>
    <n v="2024"/>
    <x v="0"/>
    <x v="0"/>
  </r>
  <r>
    <d v="2023-07-26T00:00:00"/>
    <s v="ORD-001872"/>
    <x v="0"/>
    <x v="8"/>
    <n v="6502.42"/>
    <s v="North"/>
    <n v="8021.86"/>
    <n v="1519.44"/>
    <n v="20"/>
    <n v="3"/>
    <s v="July"/>
    <n v="2023"/>
    <x v="0"/>
    <x v="0"/>
  </r>
  <r>
    <d v="2024-06-15T00:00:00"/>
    <s v="ORD-001873"/>
    <x v="0"/>
    <x v="41"/>
    <n v="3006.65"/>
    <s v="West"/>
    <n v="4312.8999999999996"/>
    <n v="1306.25"/>
    <n v="10"/>
    <n v="2"/>
    <s v="June"/>
    <n v="2024"/>
    <x v="1"/>
    <x v="1"/>
  </r>
  <r>
    <d v="2024-10-27T00:00:00"/>
    <s v="ORD-001874"/>
    <x v="3"/>
    <x v="3"/>
    <n v="6100.41"/>
    <s v="Central"/>
    <n v="7267"/>
    <n v="1166.5899999999999"/>
    <n v="10"/>
    <n v="3"/>
    <s v="October"/>
    <n v="2024"/>
    <x v="1"/>
    <x v="1"/>
  </r>
  <r>
    <d v="2024-12-19T00:00:00"/>
    <s v="ORD-001875"/>
    <x v="2"/>
    <x v="2"/>
    <n v="98.89"/>
    <s v="South"/>
    <n v="190.2"/>
    <n v="91.31"/>
    <n v="10"/>
    <n v="1"/>
    <s v="December"/>
    <n v="2024"/>
    <x v="1"/>
    <x v="1"/>
  </r>
  <r>
    <d v="2023-12-03T00:00:00"/>
    <s v="ORD-001876"/>
    <x v="5"/>
    <x v="18"/>
    <n v="714.79"/>
    <s v="West"/>
    <n v="1281.9100000000001"/>
    <n v="567.12"/>
    <n v="0"/>
    <n v="1"/>
    <s v="December"/>
    <n v="2023"/>
    <x v="2"/>
    <x v="1"/>
  </r>
  <r>
    <d v="2024-04-11T00:00:00"/>
    <s v="ORD-001877"/>
    <x v="0"/>
    <x v="4"/>
    <n v="1753.31"/>
    <s v="East"/>
    <n v="2816.74"/>
    <n v="1063.43"/>
    <n v="0"/>
    <n v="1"/>
    <s v="April"/>
    <n v="2024"/>
    <x v="2"/>
    <x v="1"/>
  </r>
  <r>
    <d v="2024-04-09T00:00:00"/>
    <s v="ORD-001878"/>
    <x v="3"/>
    <x v="12"/>
    <n v="2847.93"/>
    <s v="East"/>
    <n v="3641.08"/>
    <n v="793.15"/>
    <n v="15"/>
    <n v="1"/>
    <s v="April"/>
    <n v="2024"/>
    <x v="0"/>
    <x v="0"/>
  </r>
  <r>
    <d v="2024-03-18T00:00:00"/>
    <s v="ORD-001879"/>
    <x v="4"/>
    <x v="30"/>
    <n v="2806.94"/>
    <s v="West"/>
    <n v="3658.63"/>
    <n v="851.69"/>
    <n v="15"/>
    <n v="1"/>
    <s v="March"/>
    <n v="2024"/>
    <x v="0"/>
    <x v="0"/>
  </r>
  <r>
    <d v="2024-09-19T00:00:00"/>
    <s v="ORD-001880"/>
    <x v="0"/>
    <x v="0"/>
    <n v="10874.07"/>
    <s v="West"/>
    <n v="19210.099999999999"/>
    <n v="8336.0300000000007"/>
    <n v="5"/>
    <n v="8"/>
    <s v="September"/>
    <n v="2024"/>
    <x v="1"/>
    <x v="1"/>
  </r>
  <r>
    <d v="2023-12-14T00:00:00"/>
    <s v="ORD-001881"/>
    <x v="1"/>
    <x v="9"/>
    <n v="19633.650000000001"/>
    <s v="South"/>
    <n v="25144.85"/>
    <n v="5511.2"/>
    <n v="15"/>
    <n v="4"/>
    <s v="December"/>
    <n v="2023"/>
    <x v="0"/>
    <x v="0"/>
  </r>
  <r>
    <d v="2024-04-27T00:00:00"/>
    <s v="ORD-001882"/>
    <x v="4"/>
    <x v="11"/>
    <n v="3732.87"/>
    <s v="North"/>
    <n v="5181.04"/>
    <n v="1448.17"/>
    <n v="10"/>
    <n v="2"/>
    <s v="April"/>
    <n v="2024"/>
    <x v="1"/>
    <x v="1"/>
  </r>
  <r>
    <d v="2024-10-28T00:00:00"/>
    <s v="ORD-001883"/>
    <x v="2"/>
    <x v="13"/>
    <n v="214.71"/>
    <s v="West"/>
    <n v="450.53"/>
    <n v="235.82"/>
    <n v="10"/>
    <n v="3"/>
    <s v="October"/>
    <n v="2024"/>
    <x v="1"/>
    <x v="1"/>
  </r>
  <r>
    <d v="2023-06-08T00:00:00"/>
    <s v="ORD-001884"/>
    <x v="4"/>
    <x v="42"/>
    <n v="24575.74"/>
    <s v="East"/>
    <n v="26943.09"/>
    <n v="2367.35"/>
    <n v="20"/>
    <n v="3"/>
    <s v="June"/>
    <n v="2023"/>
    <x v="0"/>
    <x v="0"/>
  </r>
  <r>
    <d v="2025-04-25T00:00:00"/>
    <s v="ORD-001885"/>
    <x v="5"/>
    <x v="18"/>
    <n v="3599.43"/>
    <s v="Central"/>
    <n v="6349.89"/>
    <n v="2750.46"/>
    <n v="10"/>
    <n v="6"/>
    <s v="April"/>
    <n v="2025"/>
    <x v="1"/>
    <x v="1"/>
  </r>
  <r>
    <d v="2025-06-06T00:00:00"/>
    <s v="ORD-001886"/>
    <x v="3"/>
    <x v="28"/>
    <n v="5486.09"/>
    <s v="North"/>
    <n v="6918.59"/>
    <n v="1432.5"/>
    <n v="0"/>
    <n v="1"/>
    <s v="June"/>
    <n v="2025"/>
    <x v="2"/>
    <x v="1"/>
  </r>
  <r>
    <d v="2023-11-08T00:00:00"/>
    <s v="ORD-001887"/>
    <x v="2"/>
    <x v="38"/>
    <n v="474.12"/>
    <s v="West"/>
    <n v="853.41"/>
    <n v="379.29"/>
    <n v="10"/>
    <n v="2"/>
    <s v="November"/>
    <n v="2023"/>
    <x v="1"/>
    <x v="1"/>
  </r>
  <r>
    <d v="2025-12-30T00:00:00"/>
    <s v="ORD-001888"/>
    <x v="2"/>
    <x v="2"/>
    <n v="733.05"/>
    <s v="South"/>
    <n v="1150.23"/>
    <n v="417.18"/>
    <n v="10"/>
    <n v="1"/>
    <s v="December"/>
    <n v="2025"/>
    <x v="1"/>
    <x v="1"/>
  </r>
  <r>
    <d v="2025-04-24T00:00:00"/>
    <s v="ORD-001889"/>
    <x v="0"/>
    <x v="17"/>
    <n v="1082.6199999999999"/>
    <s v="East"/>
    <n v="1582.57"/>
    <n v="499.95"/>
    <n v="5"/>
    <n v="2"/>
    <s v="April"/>
    <n v="2025"/>
    <x v="1"/>
    <x v="1"/>
  </r>
  <r>
    <d v="2024-01-14T00:00:00"/>
    <s v="ORD-001890"/>
    <x v="0"/>
    <x v="8"/>
    <n v="5753.15"/>
    <s v="West"/>
    <n v="8432.57"/>
    <n v="2679.42"/>
    <n v="25"/>
    <n v="4"/>
    <s v="January"/>
    <n v="2024"/>
    <x v="0"/>
    <x v="2"/>
  </r>
  <r>
    <d v="2023-05-06T00:00:00"/>
    <s v="ORD-001891"/>
    <x v="3"/>
    <x v="22"/>
    <n v="15627.74"/>
    <s v="South"/>
    <n v="20561.73"/>
    <n v="4933.99"/>
    <n v="5"/>
    <n v="2"/>
    <s v="May"/>
    <n v="2023"/>
    <x v="1"/>
    <x v="1"/>
  </r>
  <r>
    <d v="2025-01-21T00:00:00"/>
    <s v="ORD-001892"/>
    <x v="3"/>
    <x v="37"/>
    <n v="8820.67"/>
    <s v="North"/>
    <n v="8863.98"/>
    <n v="43.31"/>
    <n v="17"/>
    <n v="1"/>
    <s v="January"/>
    <n v="2025"/>
    <x v="0"/>
    <x v="0"/>
  </r>
  <r>
    <d v="2025-03-08T00:00:00"/>
    <s v="ORD-001893"/>
    <x v="3"/>
    <x v="37"/>
    <n v="18164.47"/>
    <s v="West"/>
    <n v="20787.939999999999"/>
    <n v="2623.47"/>
    <n v="20"/>
    <n v="1"/>
    <s v="March"/>
    <n v="2025"/>
    <x v="0"/>
    <x v="0"/>
  </r>
  <r>
    <d v="2024-12-22T00:00:00"/>
    <s v="ORD-001894"/>
    <x v="3"/>
    <x v="28"/>
    <n v="1300.6400000000001"/>
    <s v="North"/>
    <n v="1742.38"/>
    <n v="441.74"/>
    <n v="10"/>
    <n v="1"/>
    <s v="December"/>
    <n v="2024"/>
    <x v="1"/>
    <x v="1"/>
  </r>
  <r>
    <d v="2024-10-05T00:00:00"/>
    <s v="ORD-001895"/>
    <x v="0"/>
    <x v="41"/>
    <n v="1351.52"/>
    <s v="North"/>
    <n v="3233.98"/>
    <n v="1882.46"/>
    <n v="5"/>
    <n v="10"/>
    <s v="October"/>
    <n v="2024"/>
    <x v="1"/>
    <x v="1"/>
  </r>
  <r>
    <d v="2025-12-03T00:00:00"/>
    <s v="ORD-001896"/>
    <x v="3"/>
    <x v="15"/>
    <n v="6309.54"/>
    <s v="South"/>
    <n v="7417.57"/>
    <n v="1108.03"/>
    <n v="10"/>
    <n v="1"/>
    <s v="December"/>
    <n v="2025"/>
    <x v="1"/>
    <x v="1"/>
  </r>
  <r>
    <d v="2023-01-08T00:00:00"/>
    <s v="ORD-001897"/>
    <x v="5"/>
    <x v="14"/>
    <n v="4255.1099999999997"/>
    <s v="South"/>
    <n v="7549.1"/>
    <n v="3293.99"/>
    <n v="10"/>
    <n v="3"/>
    <s v="January"/>
    <n v="2023"/>
    <x v="1"/>
    <x v="1"/>
  </r>
  <r>
    <d v="2025-10-09T00:00:00"/>
    <s v="ORD-001898"/>
    <x v="0"/>
    <x v="17"/>
    <n v="541.41"/>
    <s v="North"/>
    <n v="948.24"/>
    <n v="406.83"/>
    <n v="5"/>
    <n v="1"/>
    <s v="October"/>
    <n v="2025"/>
    <x v="1"/>
    <x v="1"/>
  </r>
  <r>
    <d v="2023-03-11T00:00:00"/>
    <s v="ORD-001899"/>
    <x v="5"/>
    <x v="36"/>
    <n v="4163.29"/>
    <s v="South"/>
    <n v="6554.73"/>
    <n v="2391.44"/>
    <n v="0"/>
    <n v="6"/>
    <s v="March"/>
    <n v="2023"/>
    <x v="2"/>
    <x v="1"/>
  </r>
  <r>
    <d v="2025-09-27T00:00:00"/>
    <s v="ORD-001900"/>
    <x v="3"/>
    <x v="3"/>
    <n v="47435.68"/>
    <s v="Central"/>
    <n v="65788.59"/>
    <n v="18352.91"/>
    <n v="0"/>
    <n v="8"/>
    <s v="September"/>
    <n v="2025"/>
    <x v="2"/>
    <x v="1"/>
  </r>
  <r>
    <d v="2024-05-09T00:00:00"/>
    <s v="ORD-001901"/>
    <x v="3"/>
    <x v="15"/>
    <n v="13932.07"/>
    <s v="East"/>
    <n v="15688.1"/>
    <n v="1756.03"/>
    <n v="15"/>
    <n v="4"/>
    <s v="May"/>
    <n v="2024"/>
    <x v="0"/>
    <x v="0"/>
  </r>
  <r>
    <d v="2023-02-12T00:00:00"/>
    <s v="ORD-001902"/>
    <x v="5"/>
    <x v="27"/>
    <n v="2064.16"/>
    <s v="North"/>
    <n v="3828.85"/>
    <n v="1764.69"/>
    <n v="15"/>
    <n v="2"/>
    <s v="February"/>
    <n v="2023"/>
    <x v="0"/>
    <x v="0"/>
  </r>
  <r>
    <d v="2024-12-09T00:00:00"/>
    <s v="ORD-001903"/>
    <x v="4"/>
    <x v="11"/>
    <n v="15423.31"/>
    <s v="South"/>
    <n v="21315.66"/>
    <n v="5892.35"/>
    <n v="0"/>
    <n v="3"/>
    <s v="December"/>
    <n v="2024"/>
    <x v="2"/>
    <x v="1"/>
  </r>
  <r>
    <d v="2025-09-15T00:00:00"/>
    <s v="ORD-001904"/>
    <x v="1"/>
    <x v="19"/>
    <n v="11895.28"/>
    <s v="South"/>
    <n v="12310.93"/>
    <n v="415.65"/>
    <n v="25"/>
    <n v="2"/>
    <s v="September"/>
    <n v="2025"/>
    <x v="0"/>
    <x v="2"/>
  </r>
  <r>
    <d v="2024-02-23T00:00:00"/>
    <s v="ORD-001905"/>
    <x v="5"/>
    <x v="20"/>
    <n v="3134.76"/>
    <s v="East"/>
    <n v="4487.04"/>
    <n v="1352.28"/>
    <n v="10"/>
    <n v="3"/>
    <s v="February"/>
    <n v="2024"/>
    <x v="1"/>
    <x v="1"/>
  </r>
  <r>
    <d v="2025-08-30T00:00:00"/>
    <s v="ORD-001906"/>
    <x v="4"/>
    <x v="30"/>
    <n v="82528.78"/>
    <s v="South"/>
    <n v="125899.59"/>
    <n v="43370.81"/>
    <n v="10"/>
    <n v="6"/>
    <s v="August"/>
    <n v="2025"/>
    <x v="1"/>
    <x v="1"/>
  </r>
  <r>
    <d v="2025-05-27T00:00:00"/>
    <s v="ORD-001907"/>
    <x v="3"/>
    <x v="3"/>
    <n v="10280.02"/>
    <s v="North"/>
    <n v="10313.26"/>
    <n v="33.24"/>
    <n v="15"/>
    <n v="2"/>
    <s v="May"/>
    <n v="2025"/>
    <x v="0"/>
    <x v="0"/>
  </r>
  <r>
    <d v="2024-08-22T00:00:00"/>
    <s v="ORD-001908"/>
    <x v="3"/>
    <x v="15"/>
    <n v="36085.370000000003"/>
    <s v="West"/>
    <n v="37167.93"/>
    <n v="1082.56"/>
    <n v="20"/>
    <n v="4"/>
    <s v="August"/>
    <n v="2024"/>
    <x v="0"/>
    <x v="0"/>
  </r>
  <r>
    <d v="2025-11-17T00:00:00"/>
    <s v="ORD-001909"/>
    <x v="3"/>
    <x v="32"/>
    <n v="1467.92"/>
    <s v="Central"/>
    <n v="1530.81"/>
    <n v="62.89"/>
    <n v="25"/>
    <n v="1"/>
    <s v="November"/>
    <n v="2025"/>
    <x v="0"/>
    <x v="2"/>
  </r>
  <r>
    <d v="2025-08-01T00:00:00"/>
    <s v="ORD-001910"/>
    <x v="5"/>
    <x v="14"/>
    <n v="13259.75"/>
    <s v="West"/>
    <n v="24051.25"/>
    <n v="10791.5"/>
    <n v="0"/>
    <n v="10"/>
    <s v="August"/>
    <n v="2025"/>
    <x v="2"/>
    <x v="1"/>
  </r>
  <r>
    <d v="2024-06-23T00:00:00"/>
    <s v="ORD-001911"/>
    <x v="3"/>
    <x v="22"/>
    <n v="1249.6400000000001"/>
    <s v="North"/>
    <n v="1803.51"/>
    <n v="553.87"/>
    <n v="0"/>
    <n v="1"/>
    <s v="June"/>
    <n v="2024"/>
    <x v="2"/>
    <x v="1"/>
  </r>
  <r>
    <d v="2024-09-15T00:00:00"/>
    <s v="ORD-001912"/>
    <x v="4"/>
    <x v="39"/>
    <n v="9864.43"/>
    <s v="West"/>
    <n v="12709.34"/>
    <n v="2844.91"/>
    <n v="10"/>
    <n v="1"/>
    <s v="September"/>
    <n v="2024"/>
    <x v="1"/>
    <x v="1"/>
  </r>
  <r>
    <d v="2025-02-01T00:00:00"/>
    <s v="ORD-001913"/>
    <x v="1"/>
    <x v="9"/>
    <n v="2862.5"/>
    <s v="South"/>
    <n v="4415.8900000000003"/>
    <n v="1553.39"/>
    <n v="0"/>
    <n v="2"/>
    <s v="February"/>
    <n v="2025"/>
    <x v="2"/>
    <x v="1"/>
  </r>
  <r>
    <d v="2023-07-09T00:00:00"/>
    <s v="ORD-001914"/>
    <x v="5"/>
    <x v="14"/>
    <n v="324.44"/>
    <s v="Central"/>
    <n v="699.52"/>
    <n v="375.08"/>
    <n v="0"/>
    <n v="1"/>
    <s v="July"/>
    <n v="2023"/>
    <x v="2"/>
    <x v="1"/>
  </r>
  <r>
    <d v="2023-09-27T00:00:00"/>
    <s v="ORD-001915"/>
    <x v="2"/>
    <x v="35"/>
    <n v="271.25"/>
    <s v="South"/>
    <n v="322.51"/>
    <n v="51.26"/>
    <n v="20"/>
    <n v="2"/>
    <s v="September"/>
    <n v="2023"/>
    <x v="0"/>
    <x v="0"/>
  </r>
  <r>
    <d v="2023-09-15T00:00:00"/>
    <s v="ORD-001916"/>
    <x v="5"/>
    <x v="18"/>
    <n v="2076.42"/>
    <s v="North"/>
    <n v="4562.8999999999996"/>
    <n v="2486.48"/>
    <n v="10"/>
    <n v="5"/>
    <s v="September"/>
    <n v="2023"/>
    <x v="1"/>
    <x v="1"/>
  </r>
  <r>
    <d v="2024-08-10T00:00:00"/>
    <s v="ORD-001917"/>
    <x v="3"/>
    <x v="37"/>
    <n v="29993.599999999999"/>
    <s v="West"/>
    <n v="30048.99"/>
    <n v="55.39"/>
    <n v="16"/>
    <n v="3"/>
    <s v="August"/>
    <n v="2024"/>
    <x v="0"/>
    <x v="0"/>
  </r>
  <r>
    <d v="2024-05-20T00:00:00"/>
    <s v="ORD-001918"/>
    <x v="0"/>
    <x v="17"/>
    <n v="2071.15"/>
    <s v="West"/>
    <n v="2717.59"/>
    <n v="646.44000000000005"/>
    <n v="20"/>
    <n v="4"/>
    <s v="May"/>
    <n v="2024"/>
    <x v="0"/>
    <x v="0"/>
  </r>
  <r>
    <d v="2024-01-19T00:00:00"/>
    <s v="ORD-001919"/>
    <x v="3"/>
    <x v="3"/>
    <n v="29139.53"/>
    <s v="North"/>
    <n v="29242.48"/>
    <n v="102.95"/>
    <n v="17"/>
    <n v="6"/>
    <s v="January"/>
    <n v="2024"/>
    <x v="0"/>
    <x v="0"/>
  </r>
  <r>
    <d v="2025-10-03T00:00:00"/>
    <s v="ORD-001920"/>
    <x v="5"/>
    <x v="27"/>
    <n v="2783.27"/>
    <s v="North"/>
    <n v="3640.54"/>
    <n v="857.27"/>
    <n v="20"/>
    <n v="1"/>
    <s v="October"/>
    <n v="2025"/>
    <x v="0"/>
    <x v="0"/>
  </r>
  <r>
    <d v="2023-02-25T00:00:00"/>
    <s v="ORD-001921"/>
    <x v="0"/>
    <x v="8"/>
    <n v="3436.94"/>
    <s v="South"/>
    <n v="6568.11"/>
    <n v="3131.17"/>
    <n v="0"/>
    <n v="2"/>
    <s v="February"/>
    <n v="2023"/>
    <x v="2"/>
    <x v="1"/>
  </r>
  <r>
    <d v="2024-07-03T00:00:00"/>
    <s v="ORD-001922"/>
    <x v="3"/>
    <x v="15"/>
    <n v="20981.49"/>
    <s v="West"/>
    <n v="24649.89"/>
    <n v="3668.4"/>
    <n v="10"/>
    <n v="3"/>
    <s v="July"/>
    <n v="2024"/>
    <x v="1"/>
    <x v="1"/>
  </r>
  <r>
    <d v="2024-10-10T00:00:00"/>
    <s v="ORD-001923"/>
    <x v="2"/>
    <x v="2"/>
    <n v="1398.85"/>
    <s v="West"/>
    <n v="2007.96"/>
    <n v="609.11"/>
    <n v="0"/>
    <n v="8"/>
    <s v="October"/>
    <n v="2024"/>
    <x v="2"/>
    <x v="1"/>
  </r>
  <r>
    <d v="2025-03-29T00:00:00"/>
    <s v="ORD-001924"/>
    <x v="4"/>
    <x v="40"/>
    <n v="9164.58"/>
    <s v="East"/>
    <n v="12535.95"/>
    <n v="3371.37"/>
    <n v="10"/>
    <n v="5"/>
    <s v="March"/>
    <n v="2025"/>
    <x v="1"/>
    <x v="1"/>
  </r>
  <r>
    <d v="2025-03-10T00:00:00"/>
    <s v="ORD-001925"/>
    <x v="0"/>
    <x v="17"/>
    <n v="666.63"/>
    <s v="East"/>
    <n v="826.33"/>
    <n v="159.69999999999999"/>
    <n v="30"/>
    <n v="1"/>
    <s v="March"/>
    <n v="2025"/>
    <x v="0"/>
    <x v="2"/>
  </r>
  <r>
    <d v="2025-02-03T00:00:00"/>
    <s v="ORD-001926"/>
    <x v="5"/>
    <x v="36"/>
    <n v="5607.12"/>
    <s v="Central"/>
    <n v="11373.81"/>
    <n v="5766.69"/>
    <n v="0"/>
    <n v="8"/>
    <s v="February"/>
    <n v="2025"/>
    <x v="2"/>
    <x v="1"/>
  </r>
  <r>
    <d v="2023-06-03T00:00:00"/>
    <s v="ORD-001927"/>
    <x v="2"/>
    <x v="25"/>
    <n v="242.48"/>
    <s v="Central"/>
    <n v="477.66"/>
    <n v="235.18"/>
    <n v="0"/>
    <n v="2"/>
    <s v="June"/>
    <n v="2023"/>
    <x v="2"/>
    <x v="1"/>
  </r>
  <r>
    <d v="2024-03-27T00:00:00"/>
    <s v="ORD-001928"/>
    <x v="5"/>
    <x v="16"/>
    <n v="1781.42"/>
    <s v="West"/>
    <n v="2666.66"/>
    <n v="885.24"/>
    <n v="10"/>
    <n v="2"/>
    <s v="March"/>
    <n v="2024"/>
    <x v="1"/>
    <x v="1"/>
  </r>
  <r>
    <d v="2023-05-18T00:00:00"/>
    <s v="ORD-001929"/>
    <x v="3"/>
    <x v="15"/>
    <n v="12729.43"/>
    <s v="North"/>
    <n v="14948.11"/>
    <n v="2218.6799999999998"/>
    <n v="5"/>
    <n v="5"/>
    <s v="May"/>
    <n v="2023"/>
    <x v="1"/>
    <x v="1"/>
  </r>
  <r>
    <d v="2025-01-12T00:00:00"/>
    <s v="ORD-001930"/>
    <x v="1"/>
    <x v="19"/>
    <n v="3190.23"/>
    <s v="North"/>
    <n v="4202.29"/>
    <n v="1012.06"/>
    <n v="15"/>
    <n v="2"/>
    <s v="January"/>
    <n v="2025"/>
    <x v="0"/>
    <x v="0"/>
  </r>
  <r>
    <d v="2024-11-13T00:00:00"/>
    <s v="ORD-001931"/>
    <x v="4"/>
    <x v="11"/>
    <n v="5327.45"/>
    <s v="North"/>
    <n v="6955.28"/>
    <n v="1627.83"/>
    <n v="15"/>
    <n v="2"/>
    <s v="November"/>
    <n v="2024"/>
    <x v="0"/>
    <x v="0"/>
  </r>
  <r>
    <d v="2025-01-20T00:00:00"/>
    <s v="ORD-001932"/>
    <x v="0"/>
    <x v="8"/>
    <n v="1874.8"/>
    <s v="North"/>
    <n v="3944.8"/>
    <n v="2070"/>
    <n v="10"/>
    <n v="3"/>
    <s v="January"/>
    <n v="2025"/>
    <x v="1"/>
    <x v="1"/>
  </r>
  <r>
    <d v="2024-10-11T00:00:00"/>
    <s v="ORD-001933"/>
    <x v="3"/>
    <x v="32"/>
    <n v="2601.36"/>
    <s v="South"/>
    <n v="3227.28"/>
    <n v="625.91999999999996"/>
    <n v="10"/>
    <n v="1"/>
    <s v="October"/>
    <n v="2024"/>
    <x v="1"/>
    <x v="1"/>
  </r>
  <r>
    <d v="2023-05-07T00:00:00"/>
    <s v="ORD-001934"/>
    <x v="3"/>
    <x v="34"/>
    <n v="21359.06"/>
    <s v="South"/>
    <n v="21999.83"/>
    <n v="640.77"/>
    <n v="25"/>
    <n v="1"/>
    <s v="May"/>
    <n v="2023"/>
    <x v="0"/>
    <x v="2"/>
  </r>
  <r>
    <d v="2023-12-03T00:00:00"/>
    <s v="ORD-001935"/>
    <x v="2"/>
    <x v="13"/>
    <n v="1037.45"/>
    <s v="East"/>
    <n v="1880.38"/>
    <n v="842.93"/>
    <n v="0"/>
    <n v="5"/>
    <s v="December"/>
    <n v="2023"/>
    <x v="2"/>
    <x v="1"/>
  </r>
  <r>
    <d v="2025-07-06T00:00:00"/>
    <s v="ORD-001936"/>
    <x v="1"/>
    <x v="24"/>
    <n v="8244.2000000000007"/>
    <s v="West"/>
    <n v="10361.77"/>
    <n v="2117.5700000000002"/>
    <n v="5"/>
    <n v="5"/>
    <s v="July"/>
    <n v="2025"/>
    <x v="1"/>
    <x v="1"/>
  </r>
  <r>
    <d v="2025-10-20T00:00:00"/>
    <s v="ORD-001937"/>
    <x v="3"/>
    <x v="12"/>
    <n v="4946.6899999999996"/>
    <s v="West"/>
    <n v="5541.64"/>
    <n v="594.95000000000005"/>
    <n v="20"/>
    <n v="4"/>
    <s v="October"/>
    <n v="2025"/>
    <x v="0"/>
    <x v="0"/>
  </r>
  <r>
    <d v="2025-01-07T00:00:00"/>
    <s v="ORD-001938"/>
    <x v="0"/>
    <x v="6"/>
    <n v="987.4"/>
    <s v="North"/>
    <n v="1370.57"/>
    <n v="383.17"/>
    <n v="25"/>
    <n v="1"/>
    <s v="January"/>
    <n v="2025"/>
    <x v="0"/>
    <x v="2"/>
  </r>
  <r>
    <d v="2025-08-19T00:00:00"/>
    <s v="ORD-001939"/>
    <x v="0"/>
    <x v="17"/>
    <n v="4337.76"/>
    <s v="South"/>
    <n v="8920.0499999999993"/>
    <n v="4582.29"/>
    <n v="10"/>
    <n v="2"/>
    <s v="August"/>
    <n v="2025"/>
    <x v="1"/>
    <x v="1"/>
  </r>
  <r>
    <d v="2023-04-27T00:00:00"/>
    <s v="ORD-001940"/>
    <x v="0"/>
    <x v="21"/>
    <n v="903.88"/>
    <s v="West"/>
    <n v="1301.6199999999999"/>
    <n v="397.74"/>
    <n v="15"/>
    <n v="5"/>
    <s v="April"/>
    <n v="2023"/>
    <x v="0"/>
    <x v="0"/>
  </r>
  <r>
    <d v="2024-06-07T00:00:00"/>
    <s v="ORD-001941"/>
    <x v="3"/>
    <x v="22"/>
    <n v="44559.42"/>
    <s v="South"/>
    <n v="63029.47"/>
    <n v="18470.05"/>
    <n v="5"/>
    <n v="3"/>
    <s v="June"/>
    <n v="2024"/>
    <x v="1"/>
    <x v="1"/>
  </r>
  <r>
    <d v="2024-06-27T00:00:00"/>
    <s v="ORD-001942"/>
    <x v="0"/>
    <x v="8"/>
    <n v="2698.84"/>
    <s v="North"/>
    <n v="6002.29"/>
    <n v="3303.45"/>
    <n v="15"/>
    <n v="2"/>
    <s v="June"/>
    <n v="2024"/>
    <x v="0"/>
    <x v="0"/>
  </r>
  <r>
    <d v="2025-06-02T00:00:00"/>
    <s v="ORD-001943"/>
    <x v="0"/>
    <x v="8"/>
    <n v="2645.53"/>
    <s v="Central"/>
    <n v="3906.79"/>
    <n v="1261.26"/>
    <n v="20"/>
    <n v="4"/>
    <s v="June"/>
    <n v="2025"/>
    <x v="0"/>
    <x v="0"/>
  </r>
  <r>
    <d v="2025-01-21T00:00:00"/>
    <s v="ORD-001944"/>
    <x v="5"/>
    <x v="14"/>
    <n v="29740.14"/>
    <s v="West"/>
    <n v="64851.48"/>
    <n v="35111.339999999997"/>
    <n v="0"/>
    <n v="10"/>
    <s v="January"/>
    <n v="2025"/>
    <x v="2"/>
    <x v="1"/>
  </r>
  <r>
    <d v="2023-01-03T00:00:00"/>
    <s v="ORD-001945"/>
    <x v="3"/>
    <x v="32"/>
    <n v="4420.75"/>
    <s v="North"/>
    <n v="6285.94"/>
    <n v="1865.19"/>
    <n v="5"/>
    <n v="6"/>
    <s v="January"/>
    <n v="2023"/>
    <x v="1"/>
    <x v="1"/>
  </r>
  <r>
    <d v="2025-04-01T00:00:00"/>
    <s v="ORD-001946"/>
    <x v="1"/>
    <x v="19"/>
    <n v="23816.47"/>
    <s v="West"/>
    <n v="27957.57"/>
    <n v="4141.1000000000004"/>
    <n v="15"/>
    <n v="2"/>
    <s v="April"/>
    <n v="2025"/>
    <x v="0"/>
    <x v="0"/>
  </r>
  <r>
    <d v="2024-11-22T00:00:00"/>
    <s v="ORD-001947"/>
    <x v="3"/>
    <x v="3"/>
    <n v="893.91"/>
    <s v="South"/>
    <n v="1037.3699999999999"/>
    <n v="143.46"/>
    <n v="5"/>
    <n v="1"/>
    <s v="November"/>
    <n v="2024"/>
    <x v="1"/>
    <x v="1"/>
  </r>
  <r>
    <d v="2023-05-26T00:00:00"/>
    <s v="ORD-001948"/>
    <x v="1"/>
    <x v="24"/>
    <n v="9678.09"/>
    <s v="North"/>
    <n v="12354.89"/>
    <n v="2676.8"/>
    <n v="10"/>
    <n v="4"/>
    <s v="May"/>
    <n v="2023"/>
    <x v="1"/>
    <x v="1"/>
  </r>
  <r>
    <d v="2024-09-05T00:00:00"/>
    <s v="ORD-001949"/>
    <x v="0"/>
    <x v="0"/>
    <n v="1715.62"/>
    <s v="Central"/>
    <n v="2871.9"/>
    <n v="1156.28"/>
    <n v="25"/>
    <n v="5"/>
    <s v="September"/>
    <n v="2024"/>
    <x v="0"/>
    <x v="2"/>
  </r>
  <r>
    <d v="2024-03-01T00:00:00"/>
    <s v="ORD-001950"/>
    <x v="3"/>
    <x v="37"/>
    <n v="1720.02"/>
    <s v="East"/>
    <n v="1809.48"/>
    <n v="89.46"/>
    <n v="15"/>
    <n v="2"/>
    <s v="March"/>
    <n v="2024"/>
    <x v="0"/>
    <x v="0"/>
  </r>
  <r>
    <d v="2023-06-11T00:00:00"/>
    <s v="ORD-001951"/>
    <x v="4"/>
    <x v="26"/>
    <n v="34334.75"/>
    <s v="West"/>
    <n v="37717.53"/>
    <n v="3382.78"/>
    <n v="30"/>
    <n v="3"/>
    <s v="June"/>
    <n v="2023"/>
    <x v="0"/>
    <x v="2"/>
  </r>
  <r>
    <d v="2023-07-26T00:00:00"/>
    <s v="ORD-001952"/>
    <x v="0"/>
    <x v="21"/>
    <n v="5222.18"/>
    <s v="Central"/>
    <n v="11189.01"/>
    <n v="5966.83"/>
    <n v="5"/>
    <n v="4"/>
    <s v="July"/>
    <n v="2023"/>
    <x v="1"/>
    <x v="1"/>
  </r>
  <r>
    <d v="2025-04-24T00:00:00"/>
    <s v="ORD-001953"/>
    <x v="3"/>
    <x v="37"/>
    <n v="8742.19"/>
    <s v="West"/>
    <n v="9609.08"/>
    <n v="866.89"/>
    <n v="20"/>
    <n v="6"/>
    <s v="April"/>
    <n v="2025"/>
    <x v="0"/>
    <x v="0"/>
  </r>
  <r>
    <d v="2024-11-22T00:00:00"/>
    <s v="ORD-001954"/>
    <x v="2"/>
    <x v="35"/>
    <n v="1016.01"/>
    <s v="West"/>
    <n v="1595.07"/>
    <n v="579.05999999999995"/>
    <n v="25"/>
    <n v="3"/>
    <s v="November"/>
    <n v="2024"/>
    <x v="0"/>
    <x v="2"/>
  </r>
  <r>
    <d v="2025-06-23T00:00:00"/>
    <s v="ORD-001955"/>
    <x v="4"/>
    <x v="11"/>
    <n v="16065.71"/>
    <s v="South"/>
    <n v="20578.55"/>
    <n v="4512.84"/>
    <n v="5"/>
    <n v="1"/>
    <s v="June"/>
    <n v="2025"/>
    <x v="1"/>
    <x v="1"/>
  </r>
  <r>
    <d v="2023-06-28T00:00:00"/>
    <s v="ORD-001956"/>
    <x v="4"/>
    <x v="7"/>
    <n v="20225.14"/>
    <s v="West"/>
    <n v="20831.89"/>
    <n v="606.75"/>
    <n v="24"/>
    <n v="6"/>
    <s v="June"/>
    <n v="2023"/>
    <x v="0"/>
    <x v="2"/>
  </r>
  <r>
    <d v="2025-04-21T00:00:00"/>
    <s v="ORD-001957"/>
    <x v="5"/>
    <x v="14"/>
    <n v="747.9"/>
    <s v="South"/>
    <n v="1184.1400000000001"/>
    <n v="436.24"/>
    <n v="20"/>
    <n v="1"/>
    <s v="April"/>
    <n v="2025"/>
    <x v="0"/>
    <x v="0"/>
  </r>
  <r>
    <d v="2024-11-22T00:00:00"/>
    <s v="ORD-001958"/>
    <x v="0"/>
    <x v="6"/>
    <n v="907.56"/>
    <s v="South"/>
    <n v="1934.29"/>
    <n v="1026.73"/>
    <n v="5"/>
    <n v="2"/>
    <s v="November"/>
    <n v="2024"/>
    <x v="1"/>
    <x v="1"/>
  </r>
  <r>
    <d v="2025-12-18T00:00:00"/>
    <s v="ORD-001959"/>
    <x v="2"/>
    <x v="38"/>
    <n v="528.34"/>
    <s v="Central"/>
    <n v="1053.18"/>
    <n v="524.84"/>
    <n v="10"/>
    <n v="2"/>
    <s v="December"/>
    <n v="2025"/>
    <x v="1"/>
    <x v="1"/>
  </r>
  <r>
    <d v="2025-02-15T00:00:00"/>
    <s v="ORD-001960"/>
    <x v="3"/>
    <x v="34"/>
    <n v="7705.98"/>
    <s v="North"/>
    <n v="9876.5400000000009"/>
    <n v="2170.56"/>
    <n v="5"/>
    <n v="2"/>
    <s v="February"/>
    <n v="2025"/>
    <x v="1"/>
    <x v="1"/>
  </r>
  <r>
    <d v="2023-03-27T00:00:00"/>
    <s v="ORD-001961"/>
    <x v="0"/>
    <x v="8"/>
    <n v="607.17999999999995"/>
    <s v="South"/>
    <n v="1350.35"/>
    <n v="743.17"/>
    <n v="5"/>
    <n v="3"/>
    <s v="March"/>
    <n v="2023"/>
    <x v="1"/>
    <x v="1"/>
  </r>
  <r>
    <d v="2024-01-31T00:00:00"/>
    <s v="ORD-001962"/>
    <x v="3"/>
    <x v="28"/>
    <n v="11468.65"/>
    <s v="West"/>
    <n v="14175.28"/>
    <n v="2706.63"/>
    <n v="5"/>
    <n v="1"/>
    <s v="January"/>
    <n v="2024"/>
    <x v="1"/>
    <x v="1"/>
  </r>
  <r>
    <d v="2023-01-13T00:00:00"/>
    <s v="ORD-001963"/>
    <x v="4"/>
    <x v="26"/>
    <n v="3825.64"/>
    <s v="West"/>
    <n v="3995.67"/>
    <n v="170.03"/>
    <n v="25"/>
    <n v="1"/>
    <s v="January"/>
    <n v="2023"/>
    <x v="0"/>
    <x v="2"/>
  </r>
  <r>
    <d v="2024-01-06T00:00:00"/>
    <s v="ORD-001964"/>
    <x v="5"/>
    <x v="14"/>
    <n v="15238.66"/>
    <s v="East"/>
    <n v="37607.1"/>
    <n v="22368.44"/>
    <n v="0"/>
    <n v="6"/>
    <s v="January"/>
    <n v="2024"/>
    <x v="2"/>
    <x v="1"/>
  </r>
  <r>
    <d v="2024-03-18T00:00:00"/>
    <s v="ORD-001965"/>
    <x v="4"/>
    <x v="11"/>
    <n v="13388.22"/>
    <s v="West"/>
    <n v="16460.47"/>
    <n v="3072.25"/>
    <n v="15"/>
    <n v="1"/>
    <s v="March"/>
    <n v="2024"/>
    <x v="0"/>
    <x v="0"/>
  </r>
  <r>
    <d v="2023-08-24T00:00:00"/>
    <s v="ORD-001966"/>
    <x v="4"/>
    <x v="30"/>
    <n v="3846.09"/>
    <s v="South"/>
    <n v="4973.9399999999996"/>
    <n v="1127.8499999999999"/>
    <n v="5"/>
    <n v="2"/>
    <s v="August"/>
    <n v="2023"/>
    <x v="1"/>
    <x v="1"/>
  </r>
  <r>
    <d v="2025-04-23T00:00:00"/>
    <s v="ORD-001967"/>
    <x v="2"/>
    <x v="10"/>
    <n v="500.39"/>
    <s v="South"/>
    <n v="765.07"/>
    <n v="264.68"/>
    <n v="30"/>
    <n v="1"/>
    <s v="April"/>
    <n v="2025"/>
    <x v="0"/>
    <x v="2"/>
  </r>
  <r>
    <d v="2024-12-18T00:00:00"/>
    <s v="ORD-001968"/>
    <x v="2"/>
    <x v="13"/>
    <n v="254.83"/>
    <s v="West"/>
    <n v="383.33"/>
    <n v="128.5"/>
    <n v="25"/>
    <n v="2"/>
    <s v="December"/>
    <n v="2024"/>
    <x v="0"/>
    <x v="2"/>
  </r>
  <r>
    <d v="2023-04-11T00:00:00"/>
    <s v="ORD-001969"/>
    <x v="0"/>
    <x v="0"/>
    <n v="6733.18"/>
    <s v="West"/>
    <n v="12472.18"/>
    <n v="5739"/>
    <n v="5"/>
    <n v="4"/>
    <s v="April"/>
    <n v="2023"/>
    <x v="1"/>
    <x v="1"/>
  </r>
  <r>
    <d v="2025-12-27T00:00:00"/>
    <s v="ORD-001970"/>
    <x v="0"/>
    <x v="41"/>
    <n v="2911.25"/>
    <s v="Central"/>
    <n v="5253.91"/>
    <n v="2342.66"/>
    <n v="10"/>
    <n v="3"/>
    <s v="December"/>
    <n v="2025"/>
    <x v="1"/>
    <x v="1"/>
  </r>
  <r>
    <d v="2023-01-05T00:00:00"/>
    <s v="ORD-001971"/>
    <x v="3"/>
    <x v="3"/>
    <n v="6803.93"/>
    <s v="North"/>
    <n v="9738.17"/>
    <n v="2934.24"/>
    <n v="0"/>
    <n v="2"/>
    <s v="January"/>
    <n v="2023"/>
    <x v="2"/>
    <x v="1"/>
  </r>
  <r>
    <d v="2023-12-16T00:00:00"/>
    <s v="ORD-001972"/>
    <x v="1"/>
    <x v="5"/>
    <n v="29955.9"/>
    <s v="Central"/>
    <n v="39554.400000000001"/>
    <n v="9598.5"/>
    <n v="5"/>
    <n v="8"/>
    <s v="December"/>
    <n v="2023"/>
    <x v="1"/>
    <x v="1"/>
  </r>
  <r>
    <d v="2025-03-23T00:00:00"/>
    <s v="ORD-001973"/>
    <x v="0"/>
    <x v="6"/>
    <n v="2070.0300000000002"/>
    <s v="East"/>
    <n v="4223.4799999999996"/>
    <n v="2153.4499999999998"/>
    <n v="5"/>
    <n v="1"/>
    <s v="March"/>
    <n v="2025"/>
    <x v="1"/>
    <x v="1"/>
  </r>
  <r>
    <d v="2023-05-23T00:00:00"/>
    <s v="ORD-001974"/>
    <x v="4"/>
    <x v="42"/>
    <n v="11237.81"/>
    <s v="South"/>
    <n v="13365.81"/>
    <n v="2128"/>
    <n v="10"/>
    <n v="3"/>
    <s v="May"/>
    <n v="2023"/>
    <x v="1"/>
    <x v="1"/>
  </r>
  <r>
    <d v="2025-01-19T00:00:00"/>
    <s v="ORD-001975"/>
    <x v="0"/>
    <x v="4"/>
    <n v="12936.45"/>
    <s v="East"/>
    <n v="16577.25"/>
    <n v="3640.8"/>
    <n v="30"/>
    <n v="6"/>
    <s v="January"/>
    <n v="2025"/>
    <x v="0"/>
    <x v="2"/>
  </r>
  <r>
    <d v="2023-10-26T00:00:00"/>
    <s v="ORD-001976"/>
    <x v="3"/>
    <x v="15"/>
    <n v="12065.46"/>
    <s v="South"/>
    <n v="12402.31"/>
    <n v="336.85"/>
    <n v="30"/>
    <n v="2"/>
    <s v="October"/>
    <n v="2023"/>
    <x v="0"/>
    <x v="2"/>
  </r>
  <r>
    <d v="2025-06-30T00:00:00"/>
    <s v="ORD-001977"/>
    <x v="2"/>
    <x v="31"/>
    <n v="811.62"/>
    <s v="North"/>
    <n v="1413.12"/>
    <n v="601.5"/>
    <n v="5"/>
    <n v="4"/>
    <s v="June"/>
    <n v="2025"/>
    <x v="1"/>
    <x v="1"/>
  </r>
  <r>
    <d v="2025-10-13T00:00:00"/>
    <s v="ORD-001978"/>
    <x v="3"/>
    <x v="12"/>
    <n v="14982.03"/>
    <s v="South"/>
    <n v="15014.53"/>
    <n v="32.5"/>
    <n v="15"/>
    <n v="8"/>
    <s v="October"/>
    <n v="2025"/>
    <x v="0"/>
    <x v="0"/>
  </r>
  <r>
    <d v="2025-07-03T00:00:00"/>
    <s v="ORD-001979"/>
    <x v="0"/>
    <x v="0"/>
    <n v="9261.44"/>
    <s v="West"/>
    <n v="12183.27"/>
    <n v="2921.83"/>
    <n v="15"/>
    <n v="4"/>
    <s v="July"/>
    <n v="2025"/>
    <x v="0"/>
    <x v="0"/>
  </r>
  <r>
    <d v="2023-10-16T00:00:00"/>
    <s v="ORD-001980"/>
    <x v="2"/>
    <x v="13"/>
    <n v="1369.46"/>
    <s v="West"/>
    <n v="1930.56"/>
    <n v="561.1"/>
    <n v="15"/>
    <n v="3"/>
    <s v="October"/>
    <n v="2023"/>
    <x v="0"/>
    <x v="0"/>
  </r>
  <r>
    <d v="2024-04-29T00:00:00"/>
    <s v="ORD-001981"/>
    <x v="1"/>
    <x v="9"/>
    <n v="27671.09"/>
    <s v="East"/>
    <n v="32986.25"/>
    <n v="5315.16"/>
    <n v="10"/>
    <n v="3"/>
    <s v="April"/>
    <n v="2024"/>
    <x v="1"/>
    <x v="1"/>
  </r>
  <r>
    <d v="2023-07-03T00:00:00"/>
    <s v="ORD-001982"/>
    <x v="5"/>
    <x v="20"/>
    <n v="1770.13"/>
    <s v="North"/>
    <n v="3896.34"/>
    <n v="2126.21"/>
    <n v="10"/>
    <n v="1"/>
    <s v="July"/>
    <n v="2023"/>
    <x v="1"/>
    <x v="1"/>
  </r>
  <r>
    <d v="2025-11-21T00:00:00"/>
    <s v="ORD-001983"/>
    <x v="4"/>
    <x v="11"/>
    <n v="4134.26"/>
    <s v="Central"/>
    <n v="5021.38"/>
    <n v="887.12"/>
    <n v="5"/>
    <n v="2"/>
    <s v="November"/>
    <n v="2025"/>
    <x v="1"/>
    <x v="1"/>
  </r>
  <r>
    <d v="2023-01-07T00:00:00"/>
    <s v="ORD-001984"/>
    <x v="4"/>
    <x v="26"/>
    <n v="76834.960000000006"/>
    <s v="West"/>
    <n v="81873.7"/>
    <n v="5038.74"/>
    <n v="25"/>
    <n v="8"/>
    <s v="January"/>
    <n v="2023"/>
    <x v="0"/>
    <x v="2"/>
  </r>
  <r>
    <d v="2025-10-29T00:00:00"/>
    <s v="ORD-001985"/>
    <x v="2"/>
    <x v="10"/>
    <n v="1564.36"/>
    <s v="East"/>
    <n v="1840.49"/>
    <n v="276.13"/>
    <n v="25"/>
    <n v="2"/>
    <s v="October"/>
    <n v="2025"/>
    <x v="0"/>
    <x v="2"/>
  </r>
  <r>
    <d v="2025-03-23T00:00:00"/>
    <s v="ORD-001986"/>
    <x v="0"/>
    <x v="21"/>
    <n v="2479.2600000000002"/>
    <s v="West"/>
    <n v="3114.59"/>
    <n v="635.33000000000004"/>
    <n v="25"/>
    <n v="3"/>
    <s v="March"/>
    <n v="2025"/>
    <x v="0"/>
    <x v="2"/>
  </r>
  <r>
    <d v="2025-10-04T00:00:00"/>
    <s v="ORD-001987"/>
    <x v="2"/>
    <x v="10"/>
    <n v="973.16"/>
    <s v="Central"/>
    <n v="1640.5"/>
    <n v="667.34"/>
    <n v="0"/>
    <n v="5"/>
    <s v="October"/>
    <n v="2025"/>
    <x v="2"/>
    <x v="1"/>
  </r>
  <r>
    <d v="2023-12-13T00:00:00"/>
    <s v="ORD-001988"/>
    <x v="0"/>
    <x v="8"/>
    <n v="1537.52"/>
    <s v="West"/>
    <n v="2437.3000000000002"/>
    <n v="899.78"/>
    <n v="0"/>
    <n v="1"/>
    <s v="December"/>
    <n v="2023"/>
    <x v="2"/>
    <x v="1"/>
  </r>
  <r>
    <d v="2023-07-21T00:00:00"/>
    <s v="ORD-001989"/>
    <x v="2"/>
    <x v="10"/>
    <n v="399.49"/>
    <s v="West"/>
    <n v="641.04"/>
    <n v="241.55"/>
    <n v="5"/>
    <n v="1"/>
    <s v="July"/>
    <n v="2023"/>
    <x v="1"/>
    <x v="1"/>
  </r>
  <r>
    <d v="2025-12-05T00:00:00"/>
    <s v="ORD-001990"/>
    <x v="0"/>
    <x v="8"/>
    <n v="1618.84"/>
    <s v="South"/>
    <n v="3640.19"/>
    <n v="2021.35"/>
    <n v="0"/>
    <n v="3"/>
    <s v="December"/>
    <n v="2025"/>
    <x v="2"/>
    <x v="1"/>
  </r>
  <r>
    <d v="2024-04-07T00:00:00"/>
    <s v="ORD-001991"/>
    <x v="2"/>
    <x v="38"/>
    <n v="319.29000000000002"/>
    <s v="North"/>
    <n v="440.17"/>
    <n v="120.88"/>
    <n v="20"/>
    <n v="3"/>
    <s v="April"/>
    <n v="2024"/>
    <x v="0"/>
    <x v="0"/>
  </r>
  <r>
    <d v="2023-06-14T00:00:00"/>
    <s v="ORD-001992"/>
    <x v="5"/>
    <x v="16"/>
    <n v="3105.13"/>
    <s v="South"/>
    <n v="3895.65"/>
    <n v="790.52"/>
    <n v="15"/>
    <n v="1"/>
    <s v="June"/>
    <n v="2023"/>
    <x v="0"/>
    <x v="0"/>
  </r>
  <r>
    <d v="2023-09-28T00:00:00"/>
    <s v="ORD-001993"/>
    <x v="1"/>
    <x v="24"/>
    <n v="23863.43"/>
    <s v="North"/>
    <n v="26726.84"/>
    <n v="2863.41"/>
    <n v="20"/>
    <n v="6"/>
    <s v="September"/>
    <n v="2023"/>
    <x v="0"/>
    <x v="0"/>
  </r>
  <r>
    <d v="2024-02-06T00:00:00"/>
    <s v="ORD-001994"/>
    <x v="1"/>
    <x v="1"/>
    <n v="14424.47"/>
    <s v="West"/>
    <n v="18156.59"/>
    <n v="3732.12"/>
    <n v="5"/>
    <n v="4"/>
    <s v="February"/>
    <n v="2024"/>
    <x v="1"/>
    <x v="1"/>
  </r>
  <r>
    <d v="2025-12-03T00:00:00"/>
    <s v="ORD-001995"/>
    <x v="2"/>
    <x v="25"/>
    <n v="240.77"/>
    <s v="Central"/>
    <n v="464.73"/>
    <n v="223.96"/>
    <n v="0"/>
    <n v="5"/>
    <s v="December"/>
    <n v="2025"/>
    <x v="2"/>
    <x v="1"/>
  </r>
  <r>
    <d v="2025-05-24T00:00:00"/>
    <s v="ORD-001996"/>
    <x v="3"/>
    <x v="32"/>
    <n v="40101.94"/>
    <s v="South"/>
    <n v="55857.84"/>
    <n v="15755.9"/>
    <n v="5"/>
    <n v="3"/>
    <s v="May"/>
    <n v="2025"/>
    <x v="1"/>
    <x v="1"/>
  </r>
  <r>
    <d v="2023-04-17T00:00:00"/>
    <s v="ORD-001997"/>
    <x v="5"/>
    <x v="14"/>
    <n v="587.67999999999995"/>
    <s v="South"/>
    <n v="1114.69"/>
    <n v="527.01"/>
    <n v="10"/>
    <n v="2"/>
    <s v="April"/>
    <n v="2023"/>
    <x v="1"/>
    <x v="1"/>
  </r>
  <r>
    <d v="2024-01-01T00:00:00"/>
    <s v="ORD-001998"/>
    <x v="0"/>
    <x v="4"/>
    <n v="336.54"/>
    <s v="Central"/>
    <n v="800.94"/>
    <n v="464.4"/>
    <n v="0"/>
    <n v="2"/>
    <s v="January"/>
    <n v="2024"/>
    <x v="2"/>
    <x v="1"/>
  </r>
  <r>
    <d v="2024-02-12T00:00:00"/>
    <s v="ORD-001999"/>
    <x v="5"/>
    <x v="20"/>
    <n v="3813.4"/>
    <s v="North"/>
    <n v="7949.45"/>
    <n v="4136.05"/>
    <n v="15"/>
    <n v="5"/>
    <s v="February"/>
    <n v="2024"/>
    <x v="0"/>
    <x v="0"/>
  </r>
  <r>
    <d v="2024-05-13T00:00:00"/>
    <s v="ORD-002000"/>
    <x v="5"/>
    <x v="14"/>
    <n v="3624.59"/>
    <s v="East"/>
    <n v="5735.23"/>
    <n v="2110.64"/>
    <n v="15"/>
    <n v="2"/>
    <s v="May"/>
    <n v="202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D96F7-910C-4844-932C-55DA4B820CCD}" name="Total profit" cacheId="6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E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Sales" fld="0" baseField="0" baseItem="1" numFmtId="1"/>
    <dataField name="Total Profit" fld="1" baseField="0" baseItem="1" numFmtId="1"/>
    <dataField name="Avg Discount %" fld="2" subtotal="average" baseField="0" baseItem="2"/>
    <dataField name=" Cost of products" fld="3" baseField="0" baseItem="3" numFmtId="1"/>
    <dataField name="Quantity sold" fld="4" baseField="0" baseItem="4"/>
  </dataFields>
  <formats count="5">
    <format dxfId="208">
      <pivotArea outline="0" collapsedLevelsAreSubtotals="1" fieldPosition="0">
        <references count="1">
          <reference field="4294967294" count="1" selected="0">
            <x v="0"/>
          </reference>
        </references>
      </pivotArea>
    </format>
    <format dxfId="207">
      <pivotArea outline="0" collapsedLevelsAreSubtotals="1" fieldPosition="0">
        <references count="1">
          <reference field="4294967294" count="1" selected="0">
            <x v="1"/>
          </reference>
        </references>
      </pivotArea>
    </format>
    <format dxfId="206">
      <pivotArea outline="0" collapsedLevelsAreSubtotals="1" fieldPosition="0">
        <references count="1">
          <reference field="4294967294" count="1" selected="0">
            <x v="3"/>
          </reference>
        </references>
      </pivotArea>
    </format>
    <format dxfId="205">
      <pivotArea outline="0" collapsedLevelsAreSubtotals="1" fieldPosition="0">
        <references count="1">
          <reference field="4294967294" count="1" selected="0">
            <x v="4"/>
          </reference>
        </references>
      </pivotArea>
    </format>
    <format dxfId="204">
      <pivotArea outline="0" collapsedLevelsAreSubtotals="1" fieldPosition="0">
        <references count="1">
          <reference field="4294967294" count="4" selected="0">
            <x v="0"/>
            <x v="1"/>
            <x v="2"/>
            <x v="3"/>
          </reference>
        </references>
      </pivotArea>
    </format>
  </format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Avg Discount %"/>
    <pivotHierarchy dragToData="1" caption=" Cost of products"/>
    <pivotHierarchy dragToData="1" caption="Quantity sold"/>
    <pivotHierarchy dragToData="1" caption="Distinct Count of quantity sold"/>
    <pivotHierarchy dragToData="1"/>
    <pivotHierarchy dragToData="1" caption="Average of profit"/>
    <pivotHierarchy dragToData="1" caption="Min of profi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6CC25-E82F-4190-83B6-439ADFF751EB}" name="PivotTable8" cacheId="6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Name ">
  <location ref="C1:C45"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llDrilled="1" subtotalTop="0" showAll="0" dataSourceSort="1" defaultSubtotal="0" defaultAttributeDrillState="1"/>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3D377-258F-4F98-A41A-56D90C16432A}" name="PivotTable6" cacheId="6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3:B9" firstHeaderRow="1" firstDataRow="1" firstDataCol="1"/>
  <pivotFields count="2">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53DAE2-3976-4751-853B-1E828899E201}" name="PivotTable4" cacheId="6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A10" firstHeaderRow="1" firstDataRow="1" firstDataCol="1"/>
  <pivotFields count="2">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7">
    <i>
      <x/>
    </i>
    <i>
      <x v="1"/>
    </i>
    <i>
      <x v="2"/>
    </i>
    <i>
      <x v="3"/>
    </i>
    <i>
      <x v="4"/>
    </i>
    <i>
      <x v="5"/>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2666F-1379-40BC-BD4A-3C33B1779C2D}" name="PivotTable11" cacheId="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E3:E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69FFCC-5112-4710-BD63-4C388399D129}" name="PivotTable10" cacheId="6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D3:D7"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6D6602-D0D4-49C1-82BF-35EE0DC034E8}" name="PivotTable4" cacheId="6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
  <location ref="E3:E24"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C40D69-145D-45E1-81F7-A2F16F97DBBD}" name="PivotTable2" cacheId="63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A11:C1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sales" fld="1" baseField="0" baseItem="0"/>
    <dataField name="Sum of profit" fld="2" baseField="0" baseItem="0"/>
  </dataFields>
  <formats count="2">
    <format dxfId="197">
      <pivotArea collapsedLevelsAreSubtotals="1" fieldPosition="0">
        <references count="1">
          <reference field="0" count="0"/>
        </references>
      </pivotArea>
    </format>
    <format dxfId="196">
      <pivotArea grandRow="1" outline="0" collapsedLevelsAreSubtotals="1" fieldPosition="0"/>
    </format>
  </formats>
  <chartFormats count="4">
    <chartFormat chart="2" format="3"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0" count="1" selected="0">
            <x v="5"/>
          </reference>
        </references>
      </pivotArea>
    </chartFormat>
  </chartFormat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B5DBB0-6365-433E-94DA-09D9359D35A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3:J17" firstHeaderRow="0" firstDataRow="1" firstDataCol="1"/>
  <pivotFields count="14">
    <pivotField numFmtId="14"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axis="axisRow" showAll="0">
      <items count="4">
        <item x="1"/>
        <item x="0"/>
        <item x="2"/>
        <item t="default"/>
      </items>
    </pivotField>
  </pivotFields>
  <rowFields count="1">
    <field x="13"/>
  </rowFields>
  <rowItems count="4">
    <i>
      <x/>
    </i>
    <i>
      <x v="1"/>
    </i>
    <i>
      <x v="2"/>
    </i>
    <i t="grand">
      <x/>
    </i>
  </rowItems>
  <colFields count="1">
    <field x="-2"/>
  </colFields>
  <colItems count="2">
    <i>
      <x/>
    </i>
    <i i="1">
      <x v="1"/>
    </i>
  </colItems>
  <dataFields count="2">
    <dataField name="Sum of sales" fld="6" baseField="0" baseItem="0"/>
    <dataField name="Sum of profit" fld="7" baseField="0" baseItem="0"/>
  </dataFields>
  <formats count="2">
    <format dxfId="199">
      <pivotArea field="13" type="button" dataOnly="0" labelOnly="1" outline="0" axis="axisRow" fieldPosition="0"/>
    </format>
    <format dxfId="198">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FEFD74-EBE3-4814-8BF3-C066B69EC7C1}" name="PivotTable3" cacheId="6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C3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ales" fld="1" baseField="0" baseItem="0"/>
    <dataField name="Profit" fld="2" baseField="0" baseItem="0"/>
  </dataFields>
  <formats count="1">
    <format dxfId="200">
      <pivotArea outline="0" collapsedLevelsAreSubtotals="1" fieldPosition="0"/>
    </format>
  </formats>
  <chartFormats count="2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2"/>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2" format="8">
      <pivotArea type="data" outline="0" fieldPosition="0">
        <references count="2">
          <reference field="4294967294" count="1" selected="0">
            <x v="1"/>
          </reference>
          <reference field="0" count="1" selected="0">
            <x v="1"/>
          </reference>
        </references>
      </pivotArea>
    </chartFormat>
    <chartFormat chart="2" format="9">
      <pivotArea type="data" outline="0" fieldPosition="0">
        <references count="2">
          <reference field="4294967294" count="1" selected="0">
            <x v="1"/>
          </reference>
          <reference field="0" count="1" selected="0">
            <x v="5"/>
          </reference>
        </references>
      </pivotArea>
    </chartFormat>
    <chartFormat chart="2" format="10">
      <pivotArea type="data" outline="0" fieldPosition="0">
        <references count="2">
          <reference field="4294967294" count="1" selected="0">
            <x v="1"/>
          </reference>
          <reference field="0" count="1" selected="0">
            <x v="6"/>
          </reference>
        </references>
      </pivotArea>
    </chartFormat>
    <chartFormat chart="2" format="11">
      <pivotArea type="data" outline="0" fieldPosition="0">
        <references count="2">
          <reference field="4294967294" count="1" selected="0">
            <x v="1"/>
          </reference>
          <reference field="0" count="1" selected="0">
            <x v="8"/>
          </reference>
        </references>
      </pivotArea>
    </chartFormat>
    <chartFormat chart="2" format="12">
      <pivotArea type="data" outline="0" fieldPosition="0">
        <references count="2">
          <reference field="4294967294" count="1" selected="0">
            <x v="1"/>
          </reference>
          <reference field="0" count="1" selected="0">
            <x v="9"/>
          </reference>
        </references>
      </pivotArea>
    </chartFormat>
    <chartFormat chart="2" format="13">
      <pivotArea type="data" outline="0" fieldPosition="0">
        <references count="2">
          <reference field="4294967294" count="1" selected="0">
            <x v="1"/>
          </reference>
          <reference field="0" count="1" selected="0">
            <x v="11"/>
          </reference>
        </references>
      </pivotArea>
    </chartFormat>
    <chartFormat chart="2" format="14">
      <pivotArea type="data" outline="0" fieldPosition="0">
        <references count="2">
          <reference field="4294967294" count="1" selected="0">
            <x v="1"/>
          </reference>
          <reference field="0" count="1" selected="0">
            <x v="10"/>
          </reference>
        </references>
      </pivotArea>
    </chartFormat>
    <chartFormat chart="2" format="15">
      <pivotArea type="data" outline="0" fieldPosition="0">
        <references count="2">
          <reference field="4294967294" count="1" selected="0">
            <x v="1"/>
          </reference>
          <reference field="0" count="1" selected="0">
            <x v="7"/>
          </reference>
        </references>
      </pivotArea>
    </chartFormat>
    <chartFormat chart="2" format="16">
      <pivotArea type="data" outline="0" fieldPosition="0">
        <references count="2">
          <reference field="4294967294" count="1" selected="0">
            <x v="1"/>
          </reference>
          <reference field="0" count="1" selected="0">
            <x v="3"/>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pivotArea type="data" outline="0" fieldPosition="0">
        <references count="2">
          <reference field="4294967294" count="1" selected="0">
            <x v="0"/>
          </reference>
          <reference field="0" count="1" selected="0">
            <x v="1"/>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2" format="20">
      <pivotArea type="data" outline="0" fieldPosition="0">
        <references count="2">
          <reference field="4294967294" count="1" selected="0">
            <x v="0"/>
          </reference>
          <reference field="0" count="1" selected="0">
            <x v="3"/>
          </reference>
        </references>
      </pivotArea>
    </chartFormat>
    <chartFormat chart="2" format="21">
      <pivotArea type="data" outline="0" fieldPosition="0">
        <references count="2">
          <reference field="4294967294" count="1" selected="0">
            <x v="0"/>
          </reference>
          <reference field="0" count="1" selected="0">
            <x v="4"/>
          </reference>
        </references>
      </pivotArea>
    </chartFormat>
    <chartFormat chart="2" format="22">
      <pivotArea type="data" outline="0" fieldPosition="0">
        <references count="2">
          <reference field="4294967294" count="1" selected="0">
            <x v="0"/>
          </reference>
          <reference field="0" count="1" selected="0">
            <x v="11"/>
          </reference>
        </references>
      </pivotArea>
    </chartFormat>
    <chartFormat chart="2" format="23">
      <pivotArea type="data" outline="0" fieldPosition="0">
        <references count="2">
          <reference field="4294967294" count="1" selected="0">
            <x v="0"/>
          </reference>
          <reference field="0" count="1" selected="0">
            <x v="10"/>
          </reference>
        </references>
      </pivotArea>
    </chartFormat>
    <chartFormat chart="2" format="24">
      <pivotArea type="data" outline="0" fieldPosition="0">
        <references count="2">
          <reference field="4294967294" count="1" selected="0">
            <x v="0"/>
          </reference>
          <reference field="0" count="1" selected="0">
            <x v="9"/>
          </reference>
        </references>
      </pivotArea>
    </chartFormat>
    <chartFormat chart="2" format="25">
      <pivotArea type="data" outline="0" fieldPosition="0">
        <references count="2">
          <reference field="4294967294" count="1" selected="0">
            <x v="0"/>
          </reference>
          <reference field="0" count="1" selected="0">
            <x v="7"/>
          </reference>
        </references>
      </pivotArea>
    </chartFormat>
    <chartFormat chart="2" format="26">
      <pivotArea type="data" outline="0" fieldPosition="0">
        <references count="2">
          <reference field="4294967294" count="1" selected="0">
            <x v="0"/>
          </reference>
          <reference field="0" count="1" selected="0">
            <x v="6"/>
          </reference>
        </references>
      </pivotArea>
    </chartFormat>
    <chartFormat chart="2" format="27">
      <pivotArea type="data" outline="0" fieldPosition="0">
        <references count="2">
          <reference field="4294967294" count="1" selected="0">
            <x v="0"/>
          </reference>
          <reference field="0" count="1" selected="0">
            <x v="5"/>
          </reference>
        </references>
      </pivotArea>
    </chartFormat>
    <chartFormat chart="2" format="28">
      <pivotArea type="data" outline="0" fieldPosition="0">
        <references count="2">
          <reference field="4294967294" count="1" selected="0">
            <x v="0"/>
          </reference>
          <reference field="0" count="1" selected="0">
            <x v="8"/>
          </reference>
        </references>
      </pivotArea>
    </chartFormat>
  </chartFormat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38B1DF-EDFF-47C1-BFDC-64F68521A77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I10" firstHeaderRow="0" firstDataRow="1" firstDataCol="1" rowPageCount="1" colPageCount="1"/>
  <pivotFields count="14">
    <pivotField numFmtId="14" showAll="0"/>
    <pivotField showAll="0"/>
    <pivotField axis="axisRow" showAll="0">
      <items count="7">
        <item x="0"/>
        <item x="5"/>
        <item x="3"/>
        <item x="4"/>
        <item x="1"/>
        <item x="2"/>
        <item t="default"/>
      </items>
    </pivotField>
    <pivotField showAll="0">
      <items count="44">
        <item x="5"/>
        <item x="33"/>
        <item x="13"/>
        <item x="32"/>
        <item x="39"/>
        <item x="16"/>
        <item x="23"/>
        <item x="40"/>
        <item x="12"/>
        <item x="18"/>
        <item x="31"/>
        <item x="9"/>
        <item x="4"/>
        <item x="30"/>
        <item x="21"/>
        <item x="25"/>
        <item x="7"/>
        <item x="27"/>
        <item x="6"/>
        <item x="8"/>
        <item x="1"/>
        <item x="20"/>
        <item x="14"/>
        <item x="15"/>
        <item x="0"/>
        <item x="29"/>
        <item x="38"/>
        <item x="26"/>
        <item x="41"/>
        <item x="22"/>
        <item x="35"/>
        <item x="24"/>
        <item x="34"/>
        <item x="36"/>
        <item x="42"/>
        <item x="17"/>
        <item x="28"/>
        <item x="10"/>
        <item x="11"/>
        <item x="19"/>
        <item x="37"/>
        <item x="2"/>
        <item x="3"/>
        <item t="default"/>
      </items>
    </pivotField>
    <pivotField showAll="0"/>
    <pivotField showAll="0"/>
    <pivotField dataField="1" showAll="0"/>
    <pivotField dataField="1" showAll="0"/>
    <pivotField showAll="0"/>
    <pivotField showAll="0"/>
    <pivotField showAll="0"/>
    <pivotField showAll="0"/>
    <pivotField axis="axisPage" multipleItemSelectionAllowed="1" showAll="0">
      <items count="4">
        <item h="1" x="0"/>
        <item x="1"/>
        <item x="2"/>
        <item t="default"/>
      </items>
    </pivotField>
    <pivotField showAll="0"/>
  </pivotFields>
  <rowFields count="1">
    <field x="2"/>
  </rowFields>
  <rowItems count="7">
    <i>
      <x/>
    </i>
    <i>
      <x v="1"/>
    </i>
    <i>
      <x v="2"/>
    </i>
    <i>
      <x v="3"/>
    </i>
    <i>
      <x v="4"/>
    </i>
    <i>
      <x v="5"/>
    </i>
    <i t="grand">
      <x/>
    </i>
  </rowItems>
  <colFields count="1">
    <field x="-2"/>
  </colFields>
  <colItems count="2">
    <i>
      <x/>
    </i>
    <i i="1">
      <x v="1"/>
    </i>
  </colItems>
  <pageFields count="1">
    <pageField fld="12" hier="-1"/>
  </pageFields>
  <dataFields count="2">
    <dataField name="Sum of sales" fld="6" baseField="0" baseItem="0"/>
    <dataField name="Sum of profit" fld="7" baseField="0" baseItem="0"/>
  </dataFields>
  <formats count="1">
    <format dxfId="201">
      <pivotArea outline="0" collapsedLevelsAreSubtotals="1" fieldPosition="0"/>
    </format>
  </formats>
  <chartFormats count="14">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2" count="1" selected="0">
            <x v="0"/>
          </reference>
        </references>
      </pivotArea>
    </chartFormat>
    <chartFormat chart="2" format="25">
      <pivotArea type="data" outline="0" fieldPosition="0">
        <references count="2">
          <reference field="4294967294" count="1" selected="0">
            <x v="1"/>
          </reference>
          <reference field="2" count="1" selected="0">
            <x v="1"/>
          </reference>
        </references>
      </pivotArea>
    </chartFormat>
    <chartFormat chart="2" format="26">
      <pivotArea type="data" outline="0" fieldPosition="0">
        <references count="2">
          <reference field="4294967294" count="1" selected="0">
            <x v="1"/>
          </reference>
          <reference field="2" count="1" selected="0">
            <x v="2"/>
          </reference>
        </references>
      </pivotArea>
    </chartFormat>
    <chartFormat chart="2" format="27">
      <pivotArea type="data" outline="0" fieldPosition="0">
        <references count="2">
          <reference field="4294967294" count="1" selected="0">
            <x v="1"/>
          </reference>
          <reference field="2" count="1" selected="0">
            <x v="3"/>
          </reference>
        </references>
      </pivotArea>
    </chartFormat>
    <chartFormat chart="2" format="28">
      <pivotArea type="data" outline="0" fieldPosition="0">
        <references count="2">
          <reference field="4294967294" count="1" selected="0">
            <x v="1"/>
          </reference>
          <reference field="2" count="1" selected="0">
            <x v="4"/>
          </reference>
        </references>
      </pivotArea>
    </chartFormat>
    <chartFormat chart="2" format="29">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CB36C7-874C-4359-B952-003C4FCCBAC9}" name="PivotTable1" cacheId="6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ales" fld="1" baseField="0" baseItem="0"/>
    <dataField name="Profit" fld="2" baseField="0" baseItem="0"/>
  </dataFields>
  <formats count="1">
    <format dxfId="202">
      <pivotArea outline="0" collapsedLevelsAreSubtotals="1" fieldPosition="0"/>
    </format>
  </format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2" format="8">
      <pivotArea type="data" outline="0" fieldPosition="0">
        <references count="2">
          <reference field="4294967294" count="1" selected="0">
            <x v="1"/>
          </reference>
          <reference field="0" count="1" selected="0">
            <x v="2"/>
          </reference>
        </references>
      </pivotArea>
    </chartFormat>
    <chartFormat chart="2" format="9">
      <pivotArea type="data" outline="0" fieldPosition="0">
        <references count="2">
          <reference field="4294967294" count="1" selected="0">
            <x v="1"/>
          </reference>
          <reference field="0" count="1" selected="0">
            <x v="3"/>
          </reference>
        </references>
      </pivotArea>
    </chartFormat>
    <chartFormat chart="2" format="10">
      <pivotArea type="data" outline="0" fieldPosition="0">
        <references count="2">
          <reference field="4294967294" count="1" selected="0">
            <x v="1"/>
          </reference>
          <reference field="0" count="1" selected="0">
            <x v="4"/>
          </reference>
        </references>
      </pivotArea>
    </chartFormat>
  </chartFormats>
  <pivotHierarchies count="26">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EEDD25-7738-4036-B861-FE3BDF70E4A5}" name="PivotTable8" cacheId="6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6" firstHeaderRow="1" firstDataRow="1" firstDataCol="1"/>
  <pivotFields count="3">
    <pivotField dataField="1" subtotalTop="0" showAll="0" defaultSubtotal="0"/>
    <pivotField axis="axisRow" allDrilled="1" subtotalTop="0" showAll="0" dataSourceSort="1" defaultSubtotal="0" defaultAttributeDrillState="1">
      <items count="10">
        <item s="1" x="0"/>
        <item s="1" x="1"/>
        <item s="1" x="2"/>
        <item s="1" x="3"/>
        <item s="1" x="4"/>
        <item s="1" x="5"/>
        <item s="1" x="6"/>
        <item s="1" x="7"/>
        <item s="1" x="8"/>
        <item s="1"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0" baseField="0" baseItem="0" numFmtId="1"/>
  </dataFields>
  <formats count="1">
    <format dxfId="203">
      <pivotArea outline="0" collapsedLevelsAreSubtotals="1" fieldPosition="0"/>
    </format>
  </formats>
  <chartFormats count="10">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5"/>
          </reference>
        </references>
      </pivotArea>
    </chartFormat>
    <chartFormat chart="8" format="4">
      <pivotArea type="data" outline="0" fieldPosition="0">
        <references count="2">
          <reference field="4294967294" count="1" selected="0">
            <x v="0"/>
          </reference>
          <reference field="1" count="1" selected="0">
            <x v="2"/>
          </reference>
        </references>
      </pivotArea>
    </chartFormat>
    <chartFormat chart="8" format="5">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4"/>
          </reference>
        </references>
      </pivotArea>
    </chartFormat>
    <chartFormat chart="8" format="8">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2">
          <reference field="4294967294" count="1" selected="0">
            <x v="0"/>
          </reference>
          <reference field="1" count="1" selected="0">
            <x v="6"/>
          </reference>
        </references>
      </pivotArea>
    </chartFormat>
    <chartFormat chart="8" format="10">
      <pivotArea type="data" outline="0" fieldPosition="0">
        <references count="2">
          <reference field="4294967294" count="1" selected="0">
            <x v="0"/>
          </reference>
          <reference field="1" count="1" selected="0">
            <x v="8"/>
          </reference>
        </references>
      </pivotArea>
    </chartFormat>
    <chartFormat chart="8" format="11">
      <pivotArea type="data" outline="0" fieldPosition="0">
        <references count="2">
          <reference field="4294967294" count="1" selected="0">
            <x v="0"/>
          </reference>
          <reference field="1" count="1" selected="0">
            <x v="7"/>
          </reference>
        </references>
      </pivotArea>
    </chartFormat>
  </chartFormats>
  <pivotHierarchies count="2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iscount_impact_on_profit_2000_rows">
        <x15:activeTabTopLevelEntity name="[discount_impact_on_profit_2000_row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77F274-6D03-43BC-86AC-D8CC7E17986D}" autoFormatId="16" applyNumberFormats="0" applyBorderFormats="0" applyFontFormats="0" applyPatternFormats="0" applyAlignmentFormats="0" applyWidthHeightFormats="0">
  <queryTableRefresh nextId="15" unboundColumnsRight="4">
    <queryTableFields count="14">
      <queryTableField id="1" name="order date" tableColumnId="1"/>
      <queryTableField id="2" name="order id" tableColumnId="2"/>
      <queryTableField id="3" name="product category" tableColumnId="3"/>
      <queryTableField id="4" name="product name" tableColumnId="4"/>
      <queryTableField id="5" name="Cost of products" tableColumnId="5"/>
      <queryTableField id="6" name="region" tableColumnId="6"/>
      <queryTableField id="7" name="sales" tableColumnId="7"/>
      <queryTableField id="8" name="profit" tableColumnId="8"/>
      <queryTableField id="9" name="Discount %" tableColumnId="9"/>
      <queryTableField id="10" name="quantity sold"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61D9A8-39FD-49EA-85B5-A1507EFC0104}" sourceName="[discount_impact_on_profit_2000_rows].[product category]">
  <pivotTables>
    <pivotTable tabId="7" name="PivotTable11"/>
    <pivotTable tabId="3" name="Total profit"/>
    <pivotTable tabId="9" name="PivotTable1"/>
    <pivotTable tabId="9" name="PivotTable2"/>
    <pivotTable tabId="9" name="PivotTable3"/>
    <pivotTable tabId="9" name="PivotTable4"/>
    <pivotTable tabId="9" name="PivotTable8"/>
    <pivotTable tabId="7" name="PivotTable10"/>
    <pivotTable tabId="7" name="PivotTable4"/>
    <pivotTable tabId="7" name="PivotTable6"/>
    <pivotTable tabId="7" name="PivotTable8"/>
  </pivotTables>
  <data>
    <olap pivotCacheId="1705880783">
      <levels count="2">
        <level uniqueName="[discount_impact_on_profit_2000_rows].[product category].[(All)]" sourceCaption="(All)" count="0"/>
        <level uniqueName="[discount_impact_on_profit_2000_rows].[product category].[product category]" sourceCaption="product category" count="6">
          <ranges>
            <range startItem="0">
              <i n="[discount_impact_on_profit_2000_rows].[product category].&amp;[Beauty &amp; Personal Care]" c="Beauty &amp; Personal Care"/>
              <i n="[discount_impact_on_profit_2000_rows].[product category].&amp;[Clothing]" c="Clothing"/>
              <i n="[discount_impact_on_profit_2000_rows].[product category].&amp;[Electronics]" c="Electronics"/>
              <i n="[discount_impact_on_profit_2000_rows].[product category].&amp;[Furniture]" c="Furniture"/>
              <i n="[discount_impact_on_profit_2000_rows].[product category].&amp;[Home Appliances]" c="Home Appliances"/>
              <i n="[discount_impact_on_profit_2000_rows].[product category].&amp;[Office Supplies]" c="Office Supplies"/>
            </range>
          </ranges>
        </level>
      </levels>
      <selections count="1">
        <selection n="[discount_impact_on_profit_2000_row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9420BE50-36AF-47E5-A990-850E06C6E6C2}" sourceName="[discount_impact_on_profit_2000_rows].[order date (Month)]">
  <pivotTables>
    <pivotTable tabId="7" name="PivotTable11"/>
    <pivotTable tabId="3" name="Total profit"/>
    <pivotTable tabId="9" name="PivotTable1"/>
    <pivotTable tabId="9" name="PivotTable2"/>
    <pivotTable tabId="9" name="PivotTable3"/>
    <pivotTable tabId="9" name="PivotTable4"/>
    <pivotTable tabId="9" name="PivotTable8"/>
    <pivotTable tabId="7" name="PivotTable10"/>
    <pivotTable tabId="7" name="PivotTable4"/>
    <pivotTable tabId="7" name="PivotTable6"/>
    <pivotTable tabId="7" name="PivotTable8"/>
  </pivotTables>
  <data>
    <olap pivotCacheId="1705880783">
      <levels count="2">
        <level uniqueName="[discount_impact_on_profit_2000_rows].[order date (Month)].[(All)]" sourceCaption="(All)" count="0"/>
        <level uniqueName="[discount_impact_on_profit_2000_rows].[order date (Month)].[order date (Month)]" sourceCaption="order date (Month)" count="12">
          <ranges>
            <range startItem="0">
              <i n="[discount_impact_on_profit_2000_rows].[order date (Month)].&amp;[Jan]" c="Jan"/>
              <i n="[discount_impact_on_profit_2000_rows].[order date (Month)].&amp;[Feb]" c="Feb"/>
              <i n="[discount_impact_on_profit_2000_rows].[order date (Month)].&amp;[Mar]" c="Mar"/>
              <i n="[discount_impact_on_profit_2000_rows].[order date (Month)].&amp;[Apr]" c="Apr"/>
              <i n="[discount_impact_on_profit_2000_rows].[order date (Month)].&amp;[May]" c="May"/>
              <i n="[discount_impact_on_profit_2000_rows].[order date (Month)].&amp;[Jun]" c="Jun"/>
              <i n="[discount_impact_on_profit_2000_rows].[order date (Month)].&amp;[Jul]" c="Jul"/>
              <i n="[discount_impact_on_profit_2000_rows].[order date (Month)].&amp;[Aug]" c="Aug"/>
              <i n="[discount_impact_on_profit_2000_rows].[order date (Month)].&amp;[Sep]" c="Sep"/>
              <i n="[discount_impact_on_profit_2000_rows].[order date (Month)].&amp;[Oct]" c="Oct"/>
              <i n="[discount_impact_on_profit_2000_rows].[order date (Month)].&amp;[Nov]" c="Nov"/>
              <i n="[discount_impact_on_profit_2000_rows].[order date (Month)].&amp;[Dec]" c="Dec"/>
            </range>
          </ranges>
        </level>
      </levels>
      <selections count="1">
        <selection n="[discount_impact_on_profit_2000_rows].[order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C1F06AE-899F-4FD0-96A7-2EA3E39446EE}" sourceName="[discount_impact_on_profit_2000_rows].[order date (Year)]">
  <pivotTables>
    <pivotTable tabId="7" name="PivotTable11"/>
    <pivotTable tabId="3" name="Total profit"/>
    <pivotTable tabId="9" name="PivotTable1"/>
    <pivotTable tabId="9" name="PivotTable2"/>
    <pivotTable tabId="9" name="PivotTable3"/>
    <pivotTable tabId="9" name="PivotTable4"/>
    <pivotTable tabId="9" name="PivotTable8"/>
    <pivotTable tabId="7" name="PivotTable10"/>
    <pivotTable tabId="7" name="PivotTable4"/>
    <pivotTable tabId="7" name="PivotTable6"/>
    <pivotTable tabId="7" name="PivotTable8"/>
  </pivotTables>
  <data>
    <olap pivotCacheId="1705880783">
      <levels count="2">
        <level uniqueName="[discount_impact_on_profit_2000_rows].[order date (Year)].[(All)]" sourceCaption="(All)" count="0"/>
        <level uniqueName="[discount_impact_on_profit_2000_rows].[order date (Year)].[order date (Year)]" sourceCaption="order date (Year)" count="3">
          <ranges>
            <range startItem="0">
              <i n="[discount_impact_on_profit_2000_rows].[order date (Year)].&amp;[2023]" c="2023"/>
              <i n="[discount_impact_on_profit_2000_rows].[order date (Year)].&amp;[2024]" c="2024"/>
              <i n="[discount_impact_on_profit_2000_rows].[order date (Year)].&amp;[2025]" c="2025"/>
            </range>
          </ranges>
        </level>
      </levels>
      <selections count="1">
        <selection n="[discount_impact_on_profit_2000_row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E7CBE2-30E8-4A3F-9E7A-6C009016D378}" sourceName="[discount_impact_on_profit_2000_rows].[region]">
  <pivotTables>
    <pivotTable tabId="7" name="PivotTable11"/>
    <pivotTable tabId="3" name="Total profit"/>
    <pivotTable tabId="9" name="PivotTable1"/>
    <pivotTable tabId="9" name="PivotTable2"/>
    <pivotTable tabId="9" name="PivotTable3"/>
    <pivotTable tabId="9" name="PivotTable4"/>
    <pivotTable tabId="7" name="PivotTable10"/>
    <pivotTable tabId="7" name="PivotTable4"/>
    <pivotTable tabId="7" name="PivotTable6"/>
    <pivotTable tabId="7" name="PivotTable8"/>
  </pivotTables>
  <data>
    <olap pivotCacheId="1705880783">
      <levels count="2">
        <level uniqueName="[discount_impact_on_profit_2000_rows].[region].[(All)]" sourceCaption="(All)" count="0"/>
        <level uniqueName="[discount_impact_on_profit_2000_rows].[region].[region]" sourceCaption="region" count="5">
          <ranges>
            <range startItem="0">
              <i n="[discount_impact_on_profit_2000_rows].[region].&amp;[Central]" c="Central"/>
              <i n="[discount_impact_on_profit_2000_rows].[region].&amp;[East]" c="East"/>
              <i n="[discount_impact_on_profit_2000_rows].[region].&amp;[North]" c="North"/>
              <i n="[discount_impact_on_profit_2000_rows].[region].&amp;[South]" c="South"/>
              <i n="[discount_impact_on_profit_2000_rows].[region].&amp;[West]" c="West"/>
            </range>
          </ranges>
        </level>
      </levels>
      <selections count="1">
        <selection n="[discount_impact_on_profit_2000_row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868B816-30F8-4952-9DD6-DAF8BF38F035}" cache="Slicer_product_category" caption="product category" level="1" style="SlicerStyleOther1" rowHeight="247650"/>
  <slicer name="order date (Month)" xr10:uid="{8772AAC1-192E-4B13-94DB-E511114745D3}" cache="Slicer_order_date__Month" caption="order (Month)" startItem="8" level="1" style="SlicerStyleOther1" rowHeight="247650"/>
  <slicer name="order date (Year)" xr10:uid="{57FD6A2C-F469-47D8-B854-81FD76746258}" cache="Slicer_order_date__Year" caption="order (Year)" level="1" style="SlicerStyleOther1" rowHeight="247650"/>
  <slicer name="region" xr10:uid="{930966BC-77E1-42A0-850E-DECB25833402}" cache="Slicer_region" caption="region" level="1"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1335-473C-4273-AB46-20E7D82991F6}" name="discount_impact_on_profit_2000_rows" displayName="discount_impact_on_profit_2000_rows" ref="A1:N2001" tableType="queryTable" totalsRowShown="0">
  <autoFilter ref="A1:N2001" xr:uid="{5AE81335-473C-4273-AB46-20E7D82991F6}"/>
  <tableColumns count="14">
    <tableColumn id="1" xr3:uid="{2B7F7ADA-C8AE-4924-93A3-E831042DCD0E}" uniqueName="1" name="order date" queryTableFieldId="1" dataDxfId="217"/>
    <tableColumn id="2" xr3:uid="{BE32FC98-09E4-4AC1-848B-8BC12B56D07B}" uniqueName="2" name="order id" queryTableFieldId="2" dataDxfId="216"/>
    <tableColumn id="3" xr3:uid="{7D2B8C0A-D8CF-49F4-9167-32E5BE78E67F}" uniqueName="3" name="product category" queryTableFieldId="3" dataDxfId="215"/>
    <tableColumn id="4" xr3:uid="{1F23D64D-411C-4035-8EBD-BF89C1871353}" uniqueName="4" name="product name" queryTableFieldId="4" dataDxfId="214"/>
    <tableColumn id="5" xr3:uid="{2088D6FB-F8AD-4868-B0F1-BFB05B01961B}" uniqueName="5" name="Cost of products" queryTableFieldId="5"/>
    <tableColumn id="6" xr3:uid="{0152760E-F615-4565-8B7D-02B7F99E48E0}" uniqueName="6" name="region" queryTableFieldId="6" dataDxfId="213"/>
    <tableColumn id="7" xr3:uid="{2058A88C-E9FF-4805-8C7D-1D6A632EC4C5}" uniqueName="7" name="sales" queryTableFieldId="7"/>
    <tableColumn id="8" xr3:uid="{8E1E1D7A-72B8-4303-9FD2-B4F973E602CA}" uniqueName="8" name="profit" queryTableFieldId="8"/>
    <tableColumn id="9" xr3:uid="{CD006717-6375-47F4-9556-7A599F51DB42}" uniqueName="9" name="Discount %" queryTableFieldId="9"/>
    <tableColumn id="10" xr3:uid="{E4B3B12B-1526-4A91-93EA-9F29B321A84D}" uniqueName="10" name="quantity sold" queryTableFieldId="10"/>
    <tableColumn id="11" xr3:uid="{A810AD5A-7555-4E5D-8837-DFDD3C813F26}" uniqueName="11" name="order month" queryTableFieldId="11" dataDxfId="212">
      <calculatedColumnFormula>TEXT(discount_impact_on_profit_2000_rows[[#This Row],[order date]],"mmmm")</calculatedColumnFormula>
    </tableColumn>
    <tableColumn id="12" xr3:uid="{785CFF74-003C-44D7-A4EC-14A45D18101B}" uniqueName="12" name="order year" queryTableFieldId="12" dataDxfId="211">
      <calculatedColumnFormula>YEAR(discount_impact_on_profit_2000_rows[[#This Row],[order date]])</calculatedColumnFormula>
    </tableColumn>
    <tableColumn id="13" xr3:uid="{E1A6961E-B634-4B92-9537-72BB2ED08B79}" uniqueName="13" name="Discount type" queryTableFieldId="13" dataDxfId="210">
      <calculatedColumnFormula>IF(discount_impact_on_profit_2000_rows[[#This Row],[Discount %]]=0,"Zero Discount",IF(discount_impact_on_profit_2000_rows[[#This Row],[Discount %]]&lt;=10,"Low Discount","High Discount"))</calculatedColumnFormula>
    </tableColumn>
    <tableColumn id="14" xr3:uid="{4D7573F0-8A3B-4614-BC31-72D08E1BF96B}" uniqueName="14" name="discount range" queryTableFieldId="14" dataDxfId="209">
      <calculatedColumnFormula>IF(I2&lt;=10,"0-10%",IF(I2&lt;=20,"10-20%",IF(I2&lt;=30,"20-30%","30%+")))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4202-2190-47A3-BCAE-7A1AB1FE4C43}">
  <dimension ref="A1:N2001"/>
  <sheetViews>
    <sheetView workbookViewId="0">
      <selection activeCell="N2" sqref="N2"/>
    </sheetView>
  </sheetViews>
  <sheetFormatPr defaultRowHeight="14.4"/>
  <cols>
    <col min="1" max="1" width="11.77734375" bestFit="1" customWidth="1"/>
    <col min="2" max="2" width="11.33203125" bestFit="1" customWidth="1"/>
    <col min="3" max="3" width="19.88671875" bestFit="1" customWidth="1"/>
    <col min="4" max="4" width="20.5546875" bestFit="1" customWidth="1"/>
    <col min="5" max="5" width="16.77734375" bestFit="1" customWidth="1"/>
    <col min="6" max="6" width="8.33203125" bestFit="1" customWidth="1"/>
    <col min="7" max="7" width="10" bestFit="1" customWidth="1"/>
    <col min="8" max="8" width="9" bestFit="1" customWidth="1"/>
    <col min="9" max="9" width="12.44140625" bestFit="1" customWidth="1"/>
    <col min="10" max="10" width="14" bestFit="1" customWidth="1"/>
    <col min="11" max="11" width="13.33203125" bestFit="1" customWidth="1"/>
    <col min="12" max="12" width="11.5546875" bestFit="1" customWidth="1"/>
    <col min="13" max="13" width="14.5546875" bestFit="1" customWidth="1"/>
    <col min="14" max="14" width="15.44140625" bestFit="1" customWidth="1"/>
  </cols>
  <sheetData>
    <row r="1" spans="1:14">
      <c r="A1" t="s">
        <v>0</v>
      </c>
      <c r="B1" t="s">
        <v>1</v>
      </c>
      <c r="C1" t="s">
        <v>2</v>
      </c>
      <c r="D1" t="s">
        <v>3</v>
      </c>
      <c r="E1" t="s">
        <v>4</v>
      </c>
      <c r="F1" t="s">
        <v>5</v>
      </c>
      <c r="G1" t="s">
        <v>6</v>
      </c>
      <c r="H1" t="s">
        <v>7</v>
      </c>
      <c r="I1" t="s">
        <v>8</v>
      </c>
      <c r="J1" t="s">
        <v>9</v>
      </c>
      <c r="K1" t="s">
        <v>2088</v>
      </c>
      <c r="L1" t="s">
        <v>2089</v>
      </c>
      <c r="M1" t="s">
        <v>2095</v>
      </c>
      <c r="N1" t="s">
        <v>2096</v>
      </c>
    </row>
    <row r="2" spans="1:14">
      <c r="A2" s="1">
        <v>45394</v>
      </c>
      <c r="B2" t="s">
        <v>10</v>
      </c>
      <c r="C2" t="s">
        <v>11</v>
      </c>
      <c r="D2" t="s">
        <v>12</v>
      </c>
      <c r="E2">
        <v>395.64</v>
      </c>
      <c r="F2" t="s">
        <v>13</v>
      </c>
      <c r="G2">
        <v>569.76</v>
      </c>
      <c r="H2">
        <v>174.12</v>
      </c>
      <c r="I2">
        <v>20</v>
      </c>
      <c r="J2">
        <v>1</v>
      </c>
      <c r="K2" s="5" t="str">
        <f>TEXT(discount_impact_on_profit_2000_rows[[#This Row],[order date]],"mmmm")</f>
        <v>April</v>
      </c>
      <c r="L2">
        <f>YEAR(discount_impact_on_profit_2000_rows[[#This Row],[order date]])</f>
        <v>2024</v>
      </c>
      <c r="M2" t="str">
        <f>IF(discount_impact_on_profit_2000_rows[[#This Row],[Discount %]]=0,"Zero Discount",IF(discount_impact_on_profit_2000_rows[[#This Row],[Discount %]]&lt;=10,"Low Discount","High Discount"))</f>
        <v>High Discount</v>
      </c>
      <c r="N2" t="str">
        <f>IF(I2&lt;=10,"0-10%",IF(I2&lt;=20,"10-20%",IF(I2&lt;=30,"20-30%","30%+")))</f>
        <v>10-20%</v>
      </c>
    </row>
    <row r="3" spans="1:14">
      <c r="A3" s="1">
        <v>45320</v>
      </c>
      <c r="B3" t="s">
        <v>14</v>
      </c>
      <c r="C3" t="s">
        <v>15</v>
      </c>
      <c r="D3" t="s">
        <v>16</v>
      </c>
      <c r="E3">
        <v>3332.28</v>
      </c>
      <c r="F3" t="s">
        <v>13</v>
      </c>
      <c r="G3">
        <v>4181.0600000000004</v>
      </c>
      <c r="H3">
        <v>848.78</v>
      </c>
      <c r="I3">
        <v>20</v>
      </c>
      <c r="J3">
        <v>4</v>
      </c>
      <c r="K3" t="str">
        <f>TEXT(discount_impact_on_profit_2000_rows[[#This Row],[order date]],"mmmm")</f>
        <v>January</v>
      </c>
      <c r="L3">
        <f>YEAR(discount_impact_on_profit_2000_rows[[#This Row],[order date]])</f>
        <v>2024</v>
      </c>
      <c r="M3" t="str">
        <f>IF(discount_impact_on_profit_2000_rows[[#This Row],[Discount %]]=0,"Zero Discount",IF(discount_impact_on_profit_2000_rows[[#This Row],[Discount %]]&lt;=10,"Low Discount","High Discount"))</f>
        <v>High Discount</v>
      </c>
      <c r="N3" t="str">
        <f t="shared" ref="N2:N65" si="0">IF(I3&lt;=10,"0-10%",IF(I3&lt;=20,"10-20%",IF(I3&lt;=30,"20-30%","30%+")))</f>
        <v>10-20%</v>
      </c>
    </row>
    <row r="4" spans="1:14">
      <c r="A4" s="1">
        <v>45025</v>
      </c>
      <c r="B4" t="s">
        <v>17</v>
      </c>
      <c r="C4" t="s">
        <v>18</v>
      </c>
      <c r="D4" t="s">
        <v>19</v>
      </c>
      <c r="E4">
        <v>375.41</v>
      </c>
      <c r="F4" t="s">
        <v>13</v>
      </c>
      <c r="G4">
        <v>766.51</v>
      </c>
      <c r="H4">
        <v>391.1</v>
      </c>
      <c r="I4">
        <v>5</v>
      </c>
      <c r="J4">
        <v>1</v>
      </c>
      <c r="K4" t="str">
        <f>TEXT(discount_impact_on_profit_2000_rows[[#This Row],[order date]],"mmmm")</f>
        <v>April</v>
      </c>
      <c r="L4">
        <f>YEAR(discount_impact_on_profit_2000_rows[[#This Row],[order date]])</f>
        <v>2023</v>
      </c>
      <c r="M4" t="str">
        <f>IF(discount_impact_on_profit_2000_rows[[#This Row],[Discount %]]=0,"Zero Discount",IF(discount_impact_on_profit_2000_rows[[#This Row],[Discount %]]&lt;=10,"Low Discount","High Discount"))</f>
        <v>Low Discount</v>
      </c>
      <c r="N4" t="str">
        <f t="shared" si="0"/>
        <v>0-10%</v>
      </c>
    </row>
    <row r="5" spans="1:14">
      <c r="A5" s="1">
        <v>45184</v>
      </c>
      <c r="B5" t="s">
        <v>20</v>
      </c>
      <c r="C5" t="s">
        <v>21</v>
      </c>
      <c r="D5" t="s">
        <v>22</v>
      </c>
      <c r="E5">
        <v>16504.97</v>
      </c>
      <c r="F5" t="s">
        <v>23</v>
      </c>
      <c r="G5">
        <v>22063.14</v>
      </c>
      <c r="H5">
        <v>5558.17</v>
      </c>
      <c r="I5">
        <v>10</v>
      </c>
      <c r="J5">
        <v>1</v>
      </c>
      <c r="K5" t="str">
        <f>TEXT(discount_impact_on_profit_2000_rows[[#This Row],[order date]],"mmmm")</f>
        <v>September</v>
      </c>
      <c r="L5">
        <f>YEAR(discount_impact_on_profit_2000_rows[[#This Row],[order date]])</f>
        <v>2023</v>
      </c>
      <c r="M5" t="str">
        <f>IF(discount_impact_on_profit_2000_rows[[#This Row],[Discount %]]=0,"Zero Discount",IF(discount_impact_on_profit_2000_rows[[#This Row],[Discount %]]&lt;=10,"Low Discount","High Discount"))</f>
        <v>Low Discount</v>
      </c>
      <c r="N5" t="str">
        <f t="shared" si="0"/>
        <v>0-10%</v>
      </c>
    </row>
    <row r="6" spans="1:14">
      <c r="A6" s="1">
        <v>45504</v>
      </c>
      <c r="B6" t="s">
        <v>24</v>
      </c>
      <c r="C6" t="s">
        <v>11</v>
      </c>
      <c r="D6" t="s">
        <v>25</v>
      </c>
      <c r="E6">
        <v>1296.6400000000001</v>
      </c>
      <c r="F6" t="s">
        <v>26</v>
      </c>
      <c r="G6">
        <v>1540.17</v>
      </c>
      <c r="H6">
        <v>243.53</v>
      </c>
      <c r="I6">
        <v>25</v>
      </c>
      <c r="J6">
        <v>3</v>
      </c>
      <c r="K6" t="str">
        <f>TEXT(discount_impact_on_profit_2000_rows[[#This Row],[order date]],"mmmm")</f>
        <v>July</v>
      </c>
      <c r="L6">
        <f>YEAR(discount_impact_on_profit_2000_rows[[#This Row],[order date]])</f>
        <v>2024</v>
      </c>
      <c r="M6" t="str">
        <f>IF(discount_impact_on_profit_2000_rows[[#This Row],[Discount %]]=0,"Zero Discount",IF(discount_impact_on_profit_2000_rows[[#This Row],[Discount %]]&lt;=10,"Low Discount","High Discount"))</f>
        <v>High Discount</v>
      </c>
      <c r="N6" t="str">
        <f t="shared" si="0"/>
        <v>20-30%</v>
      </c>
    </row>
    <row r="7" spans="1:14">
      <c r="A7" s="1">
        <v>45674</v>
      </c>
      <c r="B7" t="s">
        <v>27</v>
      </c>
      <c r="C7" t="s">
        <v>15</v>
      </c>
      <c r="D7" t="s">
        <v>28</v>
      </c>
      <c r="E7">
        <v>3244.57</v>
      </c>
      <c r="F7" t="s">
        <v>23</v>
      </c>
      <c r="G7">
        <v>4514.63</v>
      </c>
      <c r="H7">
        <v>1270.06</v>
      </c>
      <c r="I7">
        <v>5</v>
      </c>
      <c r="J7">
        <v>2</v>
      </c>
      <c r="K7" t="str">
        <f>TEXT(discount_impact_on_profit_2000_rows[[#This Row],[order date]],"mmmm")</f>
        <v>January</v>
      </c>
      <c r="L7">
        <f>YEAR(discount_impact_on_profit_2000_rows[[#This Row],[order date]])</f>
        <v>2025</v>
      </c>
      <c r="M7" t="str">
        <f>IF(discount_impact_on_profit_2000_rows[[#This Row],[Discount %]]=0,"Zero Discount",IF(discount_impact_on_profit_2000_rows[[#This Row],[Discount %]]&lt;=10,"Low Discount","High Discount"))</f>
        <v>Low Discount</v>
      </c>
      <c r="N7" t="str">
        <f t="shared" si="0"/>
        <v>0-10%</v>
      </c>
    </row>
    <row r="8" spans="1:14">
      <c r="A8" s="1">
        <v>45895</v>
      </c>
      <c r="B8" t="s">
        <v>29</v>
      </c>
      <c r="C8" t="s">
        <v>11</v>
      </c>
      <c r="D8" t="s">
        <v>30</v>
      </c>
      <c r="E8">
        <v>1892.44</v>
      </c>
      <c r="F8" t="s">
        <v>31</v>
      </c>
      <c r="G8">
        <v>3675.02</v>
      </c>
      <c r="H8">
        <v>1782.58</v>
      </c>
      <c r="I8">
        <v>15</v>
      </c>
      <c r="J8">
        <v>8</v>
      </c>
      <c r="K8" t="str">
        <f>TEXT(discount_impact_on_profit_2000_rows[[#This Row],[order date]],"mmmm")</f>
        <v>August</v>
      </c>
      <c r="L8">
        <f>YEAR(discount_impact_on_profit_2000_rows[[#This Row],[order date]])</f>
        <v>2025</v>
      </c>
      <c r="M8" t="str">
        <f>IF(discount_impact_on_profit_2000_rows[[#This Row],[Discount %]]=0,"Zero Discount",IF(discount_impact_on_profit_2000_rows[[#This Row],[Discount %]]&lt;=10,"Low Discount","High Discount"))</f>
        <v>High Discount</v>
      </c>
      <c r="N8" t="str">
        <f t="shared" si="0"/>
        <v>10-20%</v>
      </c>
    </row>
    <row r="9" spans="1:14">
      <c r="A9" s="1">
        <v>45047</v>
      </c>
      <c r="B9" t="s">
        <v>32</v>
      </c>
      <c r="C9" t="s">
        <v>33</v>
      </c>
      <c r="D9" t="s">
        <v>34</v>
      </c>
      <c r="E9">
        <v>8320.23</v>
      </c>
      <c r="F9" t="s">
        <v>26</v>
      </c>
      <c r="G9">
        <v>9865.7099999999991</v>
      </c>
      <c r="H9">
        <v>1545.48</v>
      </c>
      <c r="I9">
        <v>25</v>
      </c>
      <c r="J9">
        <v>5</v>
      </c>
      <c r="K9" t="str">
        <f>TEXT(discount_impact_on_profit_2000_rows[[#This Row],[order date]],"mmmm")</f>
        <v>May</v>
      </c>
      <c r="L9">
        <f>YEAR(discount_impact_on_profit_2000_rows[[#This Row],[order date]])</f>
        <v>2023</v>
      </c>
      <c r="M9" t="str">
        <f>IF(discount_impact_on_profit_2000_rows[[#This Row],[Discount %]]=0,"Zero Discount",IF(discount_impact_on_profit_2000_rows[[#This Row],[Discount %]]&lt;=10,"Low Discount","High Discount"))</f>
        <v>High Discount</v>
      </c>
      <c r="N9" t="str">
        <f t="shared" si="0"/>
        <v>20-30%</v>
      </c>
    </row>
    <row r="10" spans="1:14">
      <c r="A10" s="1">
        <v>45807</v>
      </c>
      <c r="B10" t="s">
        <v>35</v>
      </c>
      <c r="C10" t="s">
        <v>18</v>
      </c>
      <c r="D10" t="s">
        <v>19</v>
      </c>
      <c r="E10">
        <v>1031.6600000000001</v>
      </c>
      <c r="F10" t="s">
        <v>36</v>
      </c>
      <c r="G10">
        <v>2269.77</v>
      </c>
      <c r="H10">
        <v>1238.1099999999999</v>
      </c>
      <c r="I10">
        <v>0</v>
      </c>
      <c r="J10">
        <v>6</v>
      </c>
      <c r="K10" t="str">
        <f>TEXT(discount_impact_on_profit_2000_rows[[#This Row],[order date]],"mmmm")</f>
        <v>May</v>
      </c>
      <c r="L10">
        <f>YEAR(discount_impact_on_profit_2000_rows[[#This Row],[order date]])</f>
        <v>2025</v>
      </c>
      <c r="M10" t="str">
        <f>IF(discount_impact_on_profit_2000_rows[[#This Row],[Discount %]]=0,"Zero Discount",IF(discount_impact_on_profit_2000_rows[[#This Row],[Discount %]]&lt;=10,"Low Discount","High Discount"))</f>
        <v>Zero Discount</v>
      </c>
      <c r="N10" t="str">
        <f t="shared" si="0"/>
        <v>0-10%</v>
      </c>
    </row>
    <row r="11" spans="1:14">
      <c r="A11" s="1">
        <v>45773</v>
      </c>
      <c r="B11" t="s">
        <v>37</v>
      </c>
      <c r="C11" t="s">
        <v>11</v>
      </c>
      <c r="D11" t="s">
        <v>38</v>
      </c>
      <c r="E11">
        <v>317.20999999999998</v>
      </c>
      <c r="F11" t="s">
        <v>13</v>
      </c>
      <c r="G11">
        <v>595.85</v>
      </c>
      <c r="H11">
        <v>278.64</v>
      </c>
      <c r="I11">
        <v>25</v>
      </c>
      <c r="J11">
        <v>1</v>
      </c>
      <c r="K11" t="str">
        <f>TEXT(discount_impact_on_profit_2000_rows[[#This Row],[order date]],"mmmm")</f>
        <v>April</v>
      </c>
      <c r="L11">
        <f>YEAR(discount_impact_on_profit_2000_rows[[#This Row],[order date]])</f>
        <v>2025</v>
      </c>
      <c r="M11" t="str">
        <f>IF(discount_impact_on_profit_2000_rows[[#This Row],[Discount %]]=0,"Zero Discount",IF(discount_impact_on_profit_2000_rows[[#This Row],[Discount %]]&lt;=10,"Low Discount","High Discount"))</f>
        <v>High Discount</v>
      </c>
      <c r="N11" t="str">
        <f t="shared" si="0"/>
        <v>20-30%</v>
      </c>
    </row>
    <row r="12" spans="1:14">
      <c r="A12" s="1">
        <v>45778</v>
      </c>
      <c r="B12" t="s">
        <v>39</v>
      </c>
      <c r="C12" t="s">
        <v>15</v>
      </c>
      <c r="D12" t="s">
        <v>40</v>
      </c>
      <c r="E12">
        <v>8222.5400000000009</v>
      </c>
      <c r="F12" t="s">
        <v>36</v>
      </c>
      <c r="G12">
        <v>8574.67</v>
      </c>
      <c r="H12">
        <v>352.13</v>
      </c>
      <c r="I12">
        <v>25</v>
      </c>
      <c r="J12">
        <v>1</v>
      </c>
      <c r="K12" t="str">
        <f>TEXT(discount_impact_on_profit_2000_rows[[#This Row],[order date]],"mmmm")</f>
        <v>May</v>
      </c>
      <c r="L12">
        <f>YEAR(discount_impact_on_profit_2000_rows[[#This Row],[order date]])</f>
        <v>2025</v>
      </c>
      <c r="M12" t="str">
        <f>IF(discount_impact_on_profit_2000_rows[[#This Row],[Discount %]]=0,"Zero Discount",IF(discount_impact_on_profit_2000_rows[[#This Row],[Discount %]]&lt;=10,"Low Discount","High Discount"))</f>
        <v>High Discount</v>
      </c>
      <c r="N12" t="str">
        <f t="shared" si="0"/>
        <v>20-30%</v>
      </c>
    </row>
    <row r="13" spans="1:14">
      <c r="A13" s="1">
        <v>45347</v>
      </c>
      <c r="B13" t="s">
        <v>41</v>
      </c>
      <c r="C13" t="s">
        <v>18</v>
      </c>
      <c r="D13" t="s">
        <v>42</v>
      </c>
      <c r="E13">
        <v>1095.56</v>
      </c>
      <c r="F13" t="s">
        <v>36</v>
      </c>
      <c r="G13">
        <v>1405.67</v>
      </c>
      <c r="H13">
        <v>310.11</v>
      </c>
      <c r="I13">
        <v>20</v>
      </c>
      <c r="J13">
        <v>1</v>
      </c>
      <c r="K13" t="str">
        <f>TEXT(discount_impact_on_profit_2000_rows[[#This Row],[order date]],"mmmm")</f>
        <v>February</v>
      </c>
      <c r="L13">
        <f>YEAR(discount_impact_on_profit_2000_rows[[#This Row],[order date]])</f>
        <v>2024</v>
      </c>
      <c r="M13" t="str">
        <f>IF(discount_impact_on_profit_2000_rows[[#This Row],[Discount %]]=0,"Zero Discount",IF(discount_impact_on_profit_2000_rows[[#This Row],[Discount %]]&lt;=10,"Low Discount","High Discount"))</f>
        <v>High Discount</v>
      </c>
      <c r="N13" t="str">
        <f t="shared" si="0"/>
        <v>10-20%</v>
      </c>
    </row>
    <row r="14" spans="1:14">
      <c r="A14" s="1">
        <v>44983</v>
      </c>
      <c r="B14" t="s">
        <v>43</v>
      </c>
      <c r="C14" t="s">
        <v>33</v>
      </c>
      <c r="D14" t="s">
        <v>44</v>
      </c>
      <c r="E14">
        <v>70470.58</v>
      </c>
      <c r="F14" t="s">
        <v>23</v>
      </c>
      <c r="G14">
        <v>94494.63</v>
      </c>
      <c r="H14">
        <v>24024.05</v>
      </c>
      <c r="I14">
        <v>20</v>
      </c>
      <c r="J14">
        <v>5</v>
      </c>
      <c r="K14" t="str">
        <f>TEXT(discount_impact_on_profit_2000_rows[[#This Row],[order date]],"mmmm")</f>
        <v>February</v>
      </c>
      <c r="L14">
        <f>YEAR(discount_impact_on_profit_2000_rows[[#This Row],[order date]])</f>
        <v>2023</v>
      </c>
      <c r="M14" t="str">
        <f>IF(discount_impact_on_profit_2000_rows[[#This Row],[Discount %]]=0,"Zero Discount",IF(discount_impact_on_profit_2000_rows[[#This Row],[Discount %]]&lt;=10,"Low Discount","High Discount"))</f>
        <v>High Discount</v>
      </c>
      <c r="N14" t="str">
        <f t="shared" si="0"/>
        <v>10-20%</v>
      </c>
    </row>
    <row r="15" spans="1:14">
      <c r="A15" s="1">
        <v>45225</v>
      </c>
      <c r="B15" t="s">
        <v>45</v>
      </c>
      <c r="C15" t="s">
        <v>21</v>
      </c>
      <c r="D15" t="s">
        <v>46</v>
      </c>
      <c r="E15">
        <v>8036.4</v>
      </c>
      <c r="F15" t="s">
        <v>26</v>
      </c>
      <c r="G15">
        <v>8310.1200000000008</v>
      </c>
      <c r="H15">
        <v>273.72000000000003</v>
      </c>
      <c r="I15">
        <v>15</v>
      </c>
      <c r="J15">
        <v>1</v>
      </c>
      <c r="K15" t="str">
        <f>TEXT(discount_impact_on_profit_2000_rows[[#This Row],[order date]],"mmmm")</f>
        <v>October</v>
      </c>
      <c r="L15">
        <f>YEAR(discount_impact_on_profit_2000_rows[[#This Row],[order date]])</f>
        <v>2023</v>
      </c>
      <c r="M15" t="str">
        <f>IF(discount_impact_on_profit_2000_rows[[#This Row],[Discount %]]=0,"Zero Discount",IF(discount_impact_on_profit_2000_rows[[#This Row],[Discount %]]&lt;=10,"Low Discount","High Discount"))</f>
        <v>High Discount</v>
      </c>
      <c r="N15" t="str">
        <f t="shared" si="0"/>
        <v>10-20%</v>
      </c>
    </row>
    <row r="16" spans="1:14">
      <c r="A16" s="1">
        <v>46006</v>
      </c>
      <c r="B16" t="s">
        <v>47</v>
      </c>
      <c r="C16" t="s">
        <v>15</v>
      </c>
      <c r="D16" t="s">
        <v>16</v>
      </c>
      <c r="E16">
        <v>4811.51</v>
      </c>
      <c r="F16" t="s">
        <v>36</v>
      </c>
      <c r="G16">
        <v>6332.66</v>
      </c>
      <c r="H16">
        <v>1521.15</v>
      </c>
      <c r="I16">
        <v>15</v>
      </c>
      <c r="J16">
        <v>3</v>
      </c>
      <c r="K16" t="str">
        <f>TEXT(discount_impact_on_profit_2000_rows[[#This Row],[order date]],"mmmm")</f>
        <v>December</v>
      </c>
      <c r="L16">
        <f>YEAR(discount_impact_on_profit_2000_rows[[#This Row],[order date]])</f>
        <v>2025</v>
      </c>
      <c r="M16" t="str">
        <f>IF(discount_impact_on_profit_2000_rows[[#This Row],[Discount %]]=0,"Zero Discount",IF(discount_impact_on_profit_2000_rows[[#This Row],[Discount %]]&lt;=10,"Low Discount","High Discount"))</f>
        <v>High Discount</v>
      </c>
      <c r="N16" t="str">
        <f t="shared" si="0"/>
        <v>10-20%</v>
      </c>
    </row>
    <row r="17" spans="1:14">
      <c r="A17" s="1">
        <v>45016</v>
      </c>
      <c r="B17" t="s">
        <v>48</v>
      </c>
      <c r="C17" t="s">
        <v>15</v>
      </c>
      <c r="D17" t="s">
        <v>28</v>
      </c>
      <c r="E17">
        <v>7956.78</v>
      </c>
      <c r="F17" t="s">
        <v>31</v>
      </c>
      <c r="G17">
        <v>10124.68</v>
      </c>
      <c r="H17">
        <v>2167.9</v>
      </c>
      <c r="I17">
        <v>0</v>
      </c>
      <c r="J17">
        <v>3</v>
      </c>
      <c r="K17" t="str">
        <f>TEXT(discount_impact_on_profit_2000_rows[[#This Row],[order date]],"mmmm")</f>
        <v>March</v>
      </c>
      <c r="L17">
        <f>YEAR(discount_impact_on_profit_2000_rows[[#This Row],[order date]])</f>
        <v>2023</v>
      </c>
      <c r="M17" t="str">
        <f>IF(discount_impact_on_profit_2000_rows[[#This Row],[Discount %]]=0,"Zero Discount",IF(discount_impact_on_profit_2000_rows[[#This Row],[Discount %]]&lt;=10,"Low Discount","High Discount"))</f>
        <v>Zero Discount</v>
      </c>
      <c r="N17" t="str">
        <f t="shared" si="0"/>
        <v>0-10%</v>
      </c>
    </row>
    <row r="18" spans="1:14">
      <c r="A18" s="1">
        <v>45899</v>
      </c>
      <c r="B18" t="s">
        <v>49</v>
      </c>
      <c r="C18" t="s">
        <v>18</v>
      </c>
      <c r="D18" t="s">
        <v>50</v>
      </c>
      <c r="E18">
        <v>930.34</v>
      </c>
      <c r="F18" t="s">
        <v>31</v>
      </c>
      <c r="G18">
        <v>1910.32</v>
      </c>
      <c r="H18">
        <v>979.98</v>
      </c>
      <c r="I18">
        <v>10</v>
      </c>
      <c r="J18">
        <v>2</v>
      </c>
      <c r="K18" t="str">
        <f>TEXT(discount_impact_on_profit_2000_rows[[#This Row],[order date]],"mmmm")</f>
        <v>August</v>
      </c>
      <c r="L18">
        <f>YEAR(discount_impact_on_profit_2000_rows[[#This Row],[order date]])</f>
        <v>2025</v>
      </c>
      <c r="M18" t="str">
        <f>IF(discount_impact_on_profit_2000_rows[[#This Row],[Discount %]]=0,"Zero Discount",IF(discount_impact_on_profit_2000_rows[[#This Row],[Discount %]]&lt;=10,"Low Discount","High Discount"))</f>
        <v>Low Discount</v>
      </c>
      <c r="N18" t="str">
        <f t="shared" si="0"/>
        <v>0-10%</v>
      </c>
    </row>
    <row r="19" spans="1:14">
      <c r="A19" s="1">
        <v>45026</v>
      </c>
      <c r="B19" t="s">
        <v>51</v>
      </c>
      <c r="C19" t="s">
        <v>33</v>
      </c>
      <c r="D19" t="s">
        <v>44</v>
      </c>
      <c r="E19">
        <v>12817.41</v>
      </c>
      <c r="F19" t="s">
        <v>23</v>
      </c>
      <c r="G19">
        <v>16733.16</v>
      </c>
      <c r="H19">
        <v>3915.75</v>
      </c>
      <c r="I19">
        <v>10</v>
      </c>
      <c r="J19">
        <v>1</v>
      </c>
      <c r="K19" t="str">
        <f>TEXT(discount_impact_on_profit_2000_rows[[#This Row],[order date]],"mmmm")</f>
        <v>April</v>
      </c>
      <c r="L19">
        <f>YEAR(discount_impact_on_profit_2000_rows[[#This Row],[order date]])</f>
        <v>2023</v>
      </c>
      <c r="M19" t="str">
        <f>IF(discount_impact_on_profit_2000_rows[[#This Row],[Discount %]]=0,"Zero Discount",IF(discount_impact_on_profit_2000_rows[[#This Row],[Discount %]]&lt;=10,"Low Discount","High Discount"))</f>
        <v>Low Discount</v>
      </c>
      <c r="N19" t="str">
        <f t="shared" si="0"/>
        <v>0-10%</v>
      </c>
    </row>
    <row r="20" spans="1:14">
      <c r="A20" s="1">
        <v>44998</v>
      </c>
      <c r="B20" t="s">
        <v>52</v>
      </c>
      <c r="C20" t="s">
        <v>53</v>
      </c>
      <c r="D20" t="s">
        <v>54</v>
      </c>
      <c r="E20">
        <v>14939.93</v>
      </c>
      <c r="F20" t="s">
        <v>31</v>
      </c>
      <c r="G20">
        <v>22092.400000000001</v>
      </c>
      <c r="H20">
        <v>7152.47</v>
      </c>
      <c r="I20">
        <v>10</v>
      </c>
      <c r="J20">
        <v>5</v>
      </c>
      <c r="K20" t="str">
        <f>TEXT(discount_impact_on_profit_2000_rows[[#This Row],[order date]],"mmmm")</f>
        <v>March</v>
      </c>
      <c r="L20">
        <f>YEAR(discount_impact_on_profit_2000_rows[[#This Row],[order date]])</f>
        <v>2023</v>
      </c>
      <c r="M20" t="str">
        <f>IF(discount_impact_on_profit_2000_rows[[#This Row],[Discount %]]=0,"Zero Discount",IF(discount_impact_on_profit_2000_rows[[#This Row],[Discount %]]&lt;=10,"Low Discount","High Discount"))</f>
        <v>Low Discount</v>
      </c>
      <c r="N20" t="str">
        <f t="shared" si="0"/>
        <v>0-10%</v>
      </c>
    </row>
    <row r="21" spans="1:14">
      <c r="A21" s="1">
        <v>45439</v>
      </c>
      <c r="B21" t="s">
        <v>55</v>
      </c>
      <c r="C21" t="s">
        <v>33</v>
      </c>
      <c r="D21" t="s">
        <v>44</v>
      </c>
      <c r="E21">
        <v>3193.13</v>
      </c>
      <c r="F21" t="s">
        <v>26</v>
      </c>
      <c r="G21">
        <v>4297.16</v>
      </c>
      <c r="H21">
        <v>1104.03</v>
      </c>
      <c r="I21">
        <v>10</v>
      </c>
      <c r="J21">
        <v>1</v>
      </c>
      <c r="K21" t="str">
        <f>TEXT(discount_impact_on_profit_2000_rows[[#This Row],[order date]],"mmmm")</f>
        <v>May</v>
      </c>
      <c r="L21">
        <f>YEAR(discount_impact_on_profit_2000_rows[[#This Row],[order date]])</f>
        <v>2024</v>
      </c>
      <c r="M21" t="str">
        <f>IF(discount_impact_on_profit_2000_rows[[#This Row],[Discount %]]=0,"Zero Discount",IF(discount_impact_on_profit_2000_rows[[#This Row],[Discount %]]&lt;=10,"Low Discount","High Discount"))</f>
        <v>Low Discount</v>
      </c>
      <c r="N21" t="str">
        <f t="shared" si="0"/>
        <v>0-10%</v>
      </c>
    </row>
    <row r="22" spans="1:14">
      <c r="A22" s="1">
        <v>45867</v>
      </c>
      <c r="B22" t="s">
        <v>56</v>
      </c>
      <c r="C22" t="s">
        <v>21</v>
      </c>
      <c r="D22" t="s">
        <v>57</v>
      </c>
      <c r="E22">
        <v>33636.800000000003</v>
      </c>
      <c r="F22" t="s">
        <v>13</v>
      </c>
      <c r="G22">
        <v>33665.54</v>
      </c>
      <c r="H22">
        <v>28.74</v>
      </c>
      <c r="I22">
        <v>16</v>
      </c>
      <c r="J22">
        <v>5</v>
      </c>
      <c r="K22" t="str">
        <f>TEXT(discount_impact_on_profit_2000_rows[[#This Row],[order date]],"mmmm")</f>
        <v>July</v>
      </c>
      <c r="L22">
        <f>YEAR(discount_impact_on_profit_2000_rows[[#This Row],[order date]])</f>
        <v>2025</v>
      </c>
      <c r="M22" t="str">
        <f>IF(discount_impact_on_profit_2000_rows[[#This Row],[Discount %]]=0,"Zero Discount",IF(discount_impact_on_profit_2000_rows[[#This Row],[Discount %]]&lt;=10,"Low Discount","High Discount"))</f>
        <v>High Discount</v>
      </c>
      <c r="N22" t="str">
        <f t="shared" si="0"/>
        <v>10-20%</v>
      </c>
    </row>
    <row r="23" spans="1:14">
      <c r="A23" s="1">
        <v>45126</v>
      </c>
      <c r="B23" t="s">
        <v>58</v>
      </c>
      <c r="C23" t="s">
        <v>53</v>
      </c>
      <c r="D23" t="s">
        <v>59</v>
      </c>
      <c r="E23">
        <v>9460.25</v>
      </c>
      <c r="F23" t="s">
        <v>31</v>
      </c>
      <c r="G23">
        <v>16376.87</v>
      </c>
      <c r="H23">
        <v>6916.62</v>
      </c>
      <c r="I23">
        <v>5</v>
      </c>
      <c r="J23">
        <v>5</v>
      </c>
      <c r="K23" t="str">
        <f>TEXT(discount_impact_on_profit_2000_rows[[#This Row],[order date]],"mmmm")</f>
        <v>July</v>
      </c>
      <c r="L23">
        <f>YEAR(discount_impact_on_profit_2000_rows[[#This Row],[order date]])</f>
        <v>2023</v>
      </c>
      <c r="M23" t="str">
        <f>IF(discount_impact_on_profit_2000_rows[[#This Row],[Discount %]]=0,"Zero Discount",IF(discount_impact_on_profit_2000_rows[[#This Row],[Discount %]]&lt;=10,"Low Discount","High Discount"))</f>
        <v>Low Discount</v>
      </c>
      <c r="N23" t="str">
        <f t="shared" si="0"/>
        <v>0-10%</v>
      </c>
    </row>
    <row r="24" spans="1:14">
      <c r="A24" s="1">
        <v>45011</v>
      </c>
      <c r="B24" t="s">
        <v>60</v>
      </c>
      <c r="C24" t="s">
        <v>18</v>
      </c>
      <c r="D24" t="s">
        <v>19</v>
      </c>
      <c r="E24">
        <v>604.79999999999995</v>
      </c>
      <c r="F24" t="s">
        <v>26</v>
      </c>
      <c r="G24">
        <v>992.53</v>
      </c>
      <c r="H24">
        <v>387.73</v>
      </c>
      <c r="I24">
        <v>5</v>
      </c>
      <c r="J24">
        <v>1</v>
      </c>
      <c r="K24" t="str">
        <f>TEXT(discount_impact_on_profit_2000_rows[[#This Row],[order date]],"mmmm")</f>
        <v>March</v>
      </c>
      <c r="L24">
        <f>YEAR(discount_impact_on_profit_2000_rows[[#This Row],[order date]])</f>
        <v>2023</v>
      </c>
      <c r="M24" t="str">
        <f>IF(discount_impact_on_profit_2000_rows[[#This Row],[Discount %]]=0,"Zero Discount",IF(discount_impact_on_profit_2000_rows[[#This Row],[Discount %]]&lt;=10,"Low Discount","High Discount"))</f>
        <v>Low Discount</v>
      </c>
      <c r="N24" t="str">
        <f t="shared" si="0"/>
        <v>0-10%</v>
      </c>
    </row>
    <row r="25" spans="1:14">
      <c r="A25" s="1">
        <v>45123</v>
      </c>
      <c r="B25" t="s">
        <v>61</v>
      </c>
      <c r="C25" t="s">
        <v>53</v>
      </c>
      <c r="D25" t="s">
        <v>59</v>
      </c>
      <c r="E25">
        <v>6115.51</v>
      </c>
      <c r="F25" t="s">
        <v>26</v>
      </c>
      <c r="G25">
        <v>10777.12</v>
      </c>
      <c r="H25">
        <v>4661.6099999999997</v>
      </c>
      <c r="I25">
        <v>10</v>
      </c>
      <c r="J25">
        <v>3</v>
      </c>
      <c r="K25" t="str">
        <f>TEXT(discount_impact_on_profit_2000_rows[[#This Row],[order date]],"mmmm")</f>
        <v>July</v>
      </c>
      <c r="L25">
        <f>YEAR(discount_impact_on_profit_2000_rows[[#This Row],[order date]])</f>
        <v>2023</v>
      </c>
      <c r="M25" t="str">
        <f>IF(discount_impact_on_profit_2000_rows[[#This Row],[Discount %]]=0,"Zero Discount",IF(discount_impact_on_profit_2000_rows[[#This Row],[Discount %]]&lt;=10,"Low Discount","High Discount"))</f>
        <v>Low Discount</v>
      </c>
      <c r="N25" t="str">
        <f t="shared" si="0"/>
        <v>0-10%</v>
      </c>
    </row>
    <row r="26" spans="1:14">
      <c r="A26" s="1">
        <v>45907</v>
      </c>
      <c r="B26" t="s">
        <v>62</v>
      </c>
      <c r="C26" t="s">
        <v>11</v>
      </c>
      <c r="D26" t="s">
        <v>38</v>
      </c>
      <c r="E26">
        <v>507.6</v>
      </c>
      <c r="F26" t="s">
        <v>26</v>
      </c>
      <c r="G26">
        <v>952.01</v>
      </c>
      <c r="H26">
        <v>444.41</v>
      </c>
      <c r="I26">
        <v>10</v>
      </c>
      <c r="J26">
        <v>1</v>
      </c>
      <c r="K26" t="str">
        <f>TEXT(discount_impact_on_profit_2000_rows[[#This Row],[order date]],"mmmm")</f>
        <v>September</v>
      </c>
      <c r="L26">
        <f>YEAR(discount_impact_on_profit_2000_rows[[#This Row],[order date]])</f>
        <v>2025</v>
      </c>
      <c r="M26" t="str">
        <f>IF(discount_impact_on_profit_2000_rows[[#This Row],[Discount %]]=0,"Zero Discount",IF(discount_impact_on_profit_2000_rows[[#This Row],[Discount %]]&lt;=10,"Low Discount","High Discount"))</f>
        <v>Low Discount</v>
      </c>
      <c r="N26" t="str">
        <f t="shared" si="0"/>
        <v>0-10%</v>
      </c>
    </row>
    <row r="27" spans="1:14">
      <c r="A27" s="1">
        <v>45824</v>
      </c>
      <c r="B27" t="s">
        <v>63</v>
      </c>
      <c r="C27" t="s">
        <v>11</v>
      </c>
      <c r="D27" t="s">
        <v>64</v>
      </c>
      <c r="E27">
        <v>2155.8200000000002</v>
      </c>
      <c r="F27" t="s">
        <v>13</v>
      </c>
      <c r="G27">
        <v>3323.68</v>
      </c>
      <c r="H27">
        <v>1167.8599999999999</v>
      </c>
      <c r="I27">
        <v>10</v>
      </c>
      <c r="J27">
        <v>2</v>
      </c>
      <c r="K27" t="str">
        <f>TEXT(discount_impact_on_profit_2000_rows[[#This Row],[order date]],"mmmm")</f>
        <v>June</v>
      </c>
      <c r="L27">
        <f>YEAR(discount_impact_on_profit_2000_rows[[#This Row],[order date]])</f>
        <v>2025</v>
      </c>
      <c r="M27" t="str">
        <f>IF(discount_impact_on_profit_2000_rows[[#This Row],[Discount %]]=0,"Zero Discount",IF(discount_impact_on_profit_2000_rows[[#This Row],[Discount %]]&lt;=10,"Low Discount","High Discount"))</f>
        <v>Low Discount</v>
      </c>
      <c r="N27" t="str">
        <f t="shared" si="0"/>
        <v>0-10%</v>
      </c>
    </row>
    <row r="28" spans="1:14">
      <c r="A28" s="1">
        <v>45272</v>
      </c>
      <c r="B28" t="s">
        <v>65</v>
      </c>
      <c r="C28" t="s">
        <v>11</v>
      </c>
      <c r="D28" t="s">
        <v>38</v>
      </c>
      <c r="E28">
        <v>2341.98</v>
      </c>
      <c r="F28" t="s">
        <v>31</v>
      </c>
      <c r="G28">
        <v>4939.84</v>
      </c>
      <c r="H28">
        <v>2597.86</v>
      </c>
      <c r="I28">
        <v>10</v>
      </c>
      <c r="J28">
        <v>3</v>
      </c>
      <c r="K28" t="str">
        <f>TEXT(discount_impact_on_profit_2000_rows[[#This Row],[order date]],"mmmm")</f>
        <v>December</v>
      </c>
      <c r="L28">
        <f>YEAR(discount_impact_on_profit_2000_rows[[#This Row],[order date]])</f>
        <v>2023</v>
      </c>
      <c r="M28" t="str">
        <f>IF(discount_impact_on_profit_2000_rows[[#This Row],[Discount %]]=0,"Zero Discount",IF(discount_impact_on_profit_2000_rows[[#This Row],[Discount %]]&lt;=10,"Low Discount","High Discount"))</f>
        <v>Low Discount</v>
      </c>
      <c r="N28" t="str">
        <f t="shared" si="0"/>
        <v>0-10%</v>
      </c>
    </row>
    <row r="29" spans="1:14">
      <c r="A29" s="1">
        <v>45034</v>
      </c>
      <c r="B29" t="s">
        <v>66</v>
      </c>
      <c r="C29" t="s">
        <v>21</v>
      </c>
      <c r="D29" t="s">
        <v>22</v>
      </c>
      <c r="E29">
        <v>7030.18</v>
      </c>
      <c r="F29" t="s">
        <v>36</v>
      </c>
      <c r="G29">
        <v>8770.1200000000008</v>
      </c>
      <c r="H29">
        <v>1739.94</v>
      </c>
      <c r="I29">
        <v>5</v>
      </c>
      <c r="J29">
        <v>6</v>
      </c>
      <c r="K29" t="str">
        <f>TEXT(discount_impact_on_profit_2000_rows[[#This Row],[order date]],"mmmm")</f>
        <v>April</v>
      </c>
      <c r="L29">
        <f>YEAR(discount_impact_on_profit_2000_rows[[#This Row],[order date]])</f>
        <v>2023</v>
      </c>
      <c r="M29" t="str">
        <f>IF(discount_impact_on_profit_2000_rows[[#This Row],[Discount %]]=0,"Zero Discount",IF(discount_impact_on_profit_2000_rows[[#This Row],[Discount %]]&lt;=10,"Low Discount","High Discount"))</f>
        <v>Low Discount</v>
      </c>
      <c r="N29" t="str">
        <f t="shared" si="0"/>
        <v>0-10%</v>
      </c>
    </row>
    <row r="30" spans="1:14">
      <c r="A30" s="1">
        <v>45852</v>
      </c>
      <c r="B30" t="s">
        <v>67</v>
      </c>
      <c r="C30" t="s">
        <v>18</v>
      </c>
      <c r="D30" t="s">
        <v>42</v>
      </c>
      <c r="E30">
        <v>389.36</v>
      </c>
      <c r="F30" t="s">
        <v>36</v>
      </c>
      <c r="G30">
        <v>476.88</v>
      </c>
      <c r="H30">
        <v>87.52</v>
      </c>
      <c r="I30">
        <v>15</v>
      </c>
      <c r="J30">
        <v>3</v>
      </c>
      <c r="K30" t="str">
        <f>TEXT(discount_impact_on_profit_2000_rows[[#This Row],[order date]],"mmmm")</f>
        <v>July</v>
      </c>
      <c r="L30">
        <f>YEAR(discount_impact_on_profit_2000_rows[[#This Row],[order date]])</f>
        <v>2025</v>
      </c>
      <c r="M30" t="str">
        <f>IF(discount_impact_on_profit_2000_rows[[#This Row],[Discount %]]=0,"Zero Discount",IF(discount_impact_on_profit_2000_rows[[#This Row],[Discount %]]&lt;=10,"Low Discount","High Discount"))</f>
        <v>High Discount</v>
      </c>
      <c r="N30" t="str">
        <f t="shared" si="0"/>
        <v>10-20%</v>
      </c>
    </row>
    <row r="31" spans="1:14">
      <c r="A31" s="1">
        <v>45618</v>
      </c>
      <c r="B31" t="s">
        <v>68</v>
      </c>
      <c r="C31" t="s">
        <v>11</v>
      </c>
      <c r="D31" t="s">
        <v>64</v>
      </c>
      <c r="E31">
        <v>2743.7</v>
      </c>
      <c r="F31" t="s">
        <v>26</v>
      </c>
      <c r="G31">
        <v>5196.58</v>
      </c>
      <c r="H31">
        <v>2452.88</v>
      </c>
      <c r="I31">
        <v>25</v>
      </c>
      <c r="J31">
        <v>2</v>
      </c>
      <c r="K31" t="str">
        <f>TEXT(discount_impact_on_profit_2000_rows[[#This Row],[order date]],"mmmm")</f>
        <v>November</v>
      </c>
      <c r="L31">
        <f>YEAR(discount_impact_on_profit_2000_rows[[#This Row],[order date]])</f>
        <v>2024</v>
      </c>
      <c r="M31" t="str">
        <f>IF(discount_impact_on_profit_2000_rows[[#This Row],[Discount %]]=0,"Zero Discount",IF(discount_impact_on_profit_2000_rows[[#This Row],[Discount %]]&lt;=10,"Low Discount","High Discount"))</f>
        <v>High Discount</v>
      </c>
      <c r="N31" t="str">
        <f t="shared" si="0"/>
        <v>20-30%</v>
      </c>
    </row>
    <row r="32" spans="1:14">
      <c r="A32" s="1">
        <v>45315</v>
      </c>
      <c r="B32" t="s">
        <v>69</v>
      </c>
      <c r="C32" t="s">
        <v>53</v>
      </c>
      <c r="D32" t="s">
        <v>70</v>
      </c>
      <c r="E32">
        <v>7779.07</v>
      </c>
      <c r="F32" t="s">
        <v>26</v>
      </c>
      <c r="G32">
        <v>14402.48</v>
      </c>
      <c r="H32">
        <v>6623.41</v>
      </c>
      <c r="I32">
        <v>5</v>
      </c>
      <c r="J32">
        <v>6</v>
      </c>
      <c r="K32" t="str">
        <f>TEXT(discount_impact_on_profit_2000_rows[[#This Row],[order date]],"mmmm")</f>
        <v>January</v>
      </c>
      <c r="L32">
        <f>YEAR(discount_impact_on_profit_2000_rows[[#This Row],[order date]])</f>
        <v>2024</v>
      </c>
      <c r="M32" t="str">
        <f>IF(discount_impact_on_profit_2000_rows[[#This Row],[Discount %]]=0,"Zero Discount",IF(discount_impact_on_profit_2000_rows[[#This Row],[Discount %]]&lt;=10,"Low Discount","High Discount"))</f>
        <v>Low Discount</v>
      </c>
      <c r="N32" t="str">
        <f t="shared" si="0"/>
        <v>0-10%</v>
      </c>
    </row>
    <row r="33" spans="1:14">
      <c r="A33" s="1">
        <v>45883</v>
      </c>
      <c r="B33" t="s">
        <v>71</v>
      </c>
      <c r="C33" t="s">
        <v>15</v>
      </c>
      <c r="D33" t="s">
        <v>40</v>
      </c>
      <c r="E33">
        <v>22695.040000000001</v>
      </c>
      <c r="F33" t="s">
        <v>31</v>
      </c>
      <c r="G33">
        <v>24755.34</v>
      </c>
      <c r="H33">
        <v>2060.3000000000002</v>
      </c>
      <c r="I33">
        <v>20</v>
      </c>
      <c r="J33">
        <v>3</v>
      </c>
      <c r="K33" t="str">
        <f>TEXT(discount_impact_on_profit_2000_rows[[#This Row],[order date]],"mmmm")</f>
        <v>August</v>
      </c>
      <c r="L33">
        <f>YEAR(discount_impact_on_profit_2000_rows[[#This Row],[order date]])</f>
        <v>2025</v>
      </c>
      <c r="M33" t="str">
        <f>IF(discount_impact_on_profit_2000_rows[[#This Row],[Discount %]]=0,"Zero Discount",IF(discount_impact_on_profit_2000_rows[[#This Row],[Discount %]]&lt;=10,"Low Discount","High Discount"))</f>
        <v>High Discount</v>
      </c>
      <c r="N33" t="str">
        <f t="shared" si="0"/>
        <v>10-20%</v>
      </c>
    </row>
    <row r="34" spans="1:14">
      <c r="A34" s="1">
        <v>45274</v>
      </c>
      <c r="B34" t="s">
        <v>72</v>
      </c>
      <c r="C34" t="s">
        <v>11</v>
      </c>
      <c r="D34" t="s">
        <v>64</v>
      </c>
      <c r="E34">
        <v>653.65</v>
      </c>
      <c r="F34" t="s">
        <v>23</v>
      </c>
      <c r="G34">
        <v>1346.11</v>
      </c>
      <c r="H34">
        <v>692.46</v>
      </c>
      <c r="I34">
        <v>10</v>
      </c>
      <c r="J34">
        <v>3</v>
      </c>
      <c r="K34" t="str">
        <f>TEXT(discount_impact_on_profit_2000_rows[[#This Row],[order date]],"mmmm")</f>
        <v>December</v>
      </c>
      <c r="L34">
        <f>YEAR(discount_impact_on_profit_2000_rows[[#This Row],[order date]])</f>
        <v>2023</v>
      </c>
      <c r="M34" t="str">
        <f>IF(discount_impact_on_profit_2000_rows[[#This Row],[Discount %]]=0,"Zero Discount",IF(discount_impact_on_profit_2000_rows[[#This Row],[Discount %]]&lt;=10,"Low Discount","High Discount"))</f>
        <v>Low Discount</v>
      </c>
      <c r="N34" t="str">
        <f t="shared" si="0"/>
        <v>0-10%</v>
      </c>
    </row>
    <row r="35" spans="1:14">
      <c r="A35" s="1">
        <v>45284</v>
      </c>
      <c r="B35" t="s">
        <v>73</v>
      </c>
      <c r="C35" t="s">
        <v>21</v>
      </c>
      <c r="D35" t="s">
        <v>57</v>
      </c>
      <c r="E35">
        <v>9032.44</v>
      </c>
      <c r="F35" t="s">
        <v>36</v>
      </c>
      <c r="G35">
        <v>10977.12</v>
      </c>
      <c r="H35">
        <v>1944.68</v>
      </c>
      <c r="I35">
        <v>0</v>
      </c>
      <c r="J35">
        <v>5</v>
      </c>
      <c r="K35" t="str">
        <f>TEXT(discount_impact_on_profit_2000_rows[[#This Row],[order date]],"mmmm")</f>
        <v>December</v>
      </c>
      <c r="L35">
        <f>YEAR(discount_impact_on_profit_2000_rows[[#This Row],[order date]])</f>
        <v>2023</v>
      </c>
      <c r="M35" t="str">
        <f>IF(discount_impact_on_profit_2000_rows[[#This Row],[Discount %]]=0,"Zero Discount",IF(discount_impact_on_profit_2000_rows[[#This Row],[Discount %]]&lt;=10,"Low Discount","High Discount"))</f>
        <v>Zero Discount</v>
      </c>
      <c r="N35" t="str">
        <f t="shared" si="0"/>
        <v>0-10%</v>
      </c>
    </row>
    <row r="36" spans="1:14">
      <c r="A36" s="1">
        <v>45089</v>
      </c>
      <c r="B36" t="s">
        <v>74</v>
      </c>
      <c r="C36" t="s">
        <v>21</v>
      </c>
      <c r="D36" t="s">
        <v>46</v>
      </c>
      <c r="E36">
        <v>17676.59</v>
      </c>
      <c r="F36" t="s">
        <v>26</v>
      </c>
      <c r="G36">
        <v>17697.09</v>
      </c>
      <c r="H36">
        <v>20.5</v>
      </c>
      <c r="I36">
        <v>14</v>
      </c>
      <c r="J36">
        <v>1</v>
      </c>
      <c r="K36" t="str">
        <f>TEXT(discount_impact_on_profit_2000_rows[[#This Row],[order date]],"mmmm")</f>
        <v>June</v>
      </c>
      <c r="L36">
        <f>YEAR(discount_impact_on_profit_2000_rows[[#This Row],[order date]])</f>
        <v>2023</v>
      </c>
      <c r="M36" t="str">
        <f>IF(discount_impact_on_profit_2000_rows[[#This Row],[Discount %]]=0,"Zero Discount",IF(discount_impact_on_profit_2000_rows[[#This Row],[Discount %]]&lt;=10,"Low Discount","High Discount"))</f>
        <v>High Discount</v>
      </c>
      <c r="N36" t="str">
        <f t="shared" si="0"/>
        <v>10-20%</v>
      </c>
    </row>
    <row r="37" spans="1:14">
      <c r="A37" s="1">
        <v>45369</v>
      </c>
      <c r="B37" t="s">
        <v>75</v>
      </c>
      <c r="C37" t="s">
        <v>15</v>
      </c>
      <c r="D37" t="s">
        <v>76</v>
      </c>
      <c r="E37">
        <v>1008.75</v>
      </c>
      <c r="F37" t="s">
        <v>36</v>
      </c>
      <c r="G37">
        <v>1261.5999999999999</v>
      </c>
      <c r="H37">
        <v>252.85</v>
      </c>
      <c r="I37">
        <v>20</v>
      </c>
      <c r="J37">
        <v>1</v>
      </c>
      <c r="K37" t="str">
        <f>TEXT(discount_impact_on_profit_2000_rows[[#This Row],[order date]],"mmmm")</f>
        <v>March</v>
      </c>
      <c r="L37">
        <f>YEAR(discount_impact_on_profit_2000_rows[[#This Row],[order date]])</f>
        <v>2024</v>
      </c>
      <c r="M37" t="str">
        <f>IF(discount_impact_on_profit_2000_rows[[#This Row],[Discount %]]=0,"Zero Discount",IF(discount_impact_on_profit_2000_rows[[#This Row],[Discount %]]&lt;=10,"Low Discount","High Discount"))</f>
        <v>High Discount</v>
      </c>
      <c r="N37" t="str">
        <f t="shared" si="0"/>
        <v>10-20%</v>
      </c>
    </row>
    <row r="38" spans="1:14">
      <c r="A38" s="1">
        <v>45356</v>
      </c>
      <c r="B38" t="s">
        <v>77</v>
      </c>
      <c r="C38" t="s">
        <v>53</v>
      </c>
      <c r="D38" t="s">
        <v>78</v>
      </c>
      <c r="E38">
        <v>4684.0600000000004</v>
      </c>
      <c r="F38" t="s">
        <v>23</v>
      </c>
      <c r="G38">
        <v>6659.81</v>
      </c>
      <c r="H38">
        <v>1975.75</v>
      </c>
      <c r="I38">
        <v>10</v>
      </c>
      <c r="J38">
        <v>6</v>
      </c>
      <c r="K38" t="str">
        <f>TEXT(discount_impact_on_profit_2000_rows[[#This Row],[order date]],"mmmm")</f>
        <v>March</v>
      </c>
      <c r="L38">
        <f>YEAR(discount_impact_on_profit_2000_rows[[#This Row],[order date]])</f>
        <v>2024</v>
      </c>
      <c r="M38" t="str">
        <f>IF(discount_impact_on_profit_2000_rows[[#This Row],[Discount %]]=0,"Zero Discount",IF(discount_impact_on_profit_2000_rows[[#This Row],[Discount %]]&lt;=10,"Low Discount","High Discount"))</f>
        <v>Low Discount</v>
      </c>
      <c r="N38" t="str">
        <f t="shared" si="0"/>
        <v>0-10%</v>
      </c>
    </row>
    <row r="39" spans="1:14">
      <c r="A39" s="1">
        <v>45695</v>
      </c>
      <c r="B39" t="s">
        <v>79</v>
      </c>
      <c r="C39" t="s">
        <v>11</v>
      </c>
      <c r="D39" t="s">
        <v>80</v>
      </c>
      <c r="E39">
        <v>501.92</v>
      </c>
      <c r="F39" t="s">
        <v>31</v>
      </c>
      <c r="G39">
        <v>900.48</v>
      </c>
      <c r="H39">
        <v>398.56</v>
      </c>
      <c r="I39">
        <v>10</v>
      </c>
      <c r="J39">
        <v>4</v>
      </c>
      <c r="K39" t="str">
        <f>TEXT(discount_impact_on_profit_2000_rows[[#This Row],[order date]],"mmmm")</f>
        <v>February</v>
      </c>
      <c r="L39">
        <f>YEAR(discount_impact_on_profit_2000_rows[[#This Row],[order date]])</f>
        <v>2025</v>
      </c>
      <c r="M39" t="str">
        <f>IF(discount_impact_on_profit_2000_rows[[#This Row],[Discount %]]=0,"Zero Discount",IF(discount_impact_on_profit_2000_rows[[#This Row],[Discount %]]&lt;=10,"Low Discount","High Discount"))</f>
        <v>Low Discount</v>
      </c>
      <c r="N39" t="str">
        <f t="shared" si="0"/>
        <v>0-10%</v>
      </c>
    </row>
    <row r="40" spans="1:14">
      <c r="A40" s="1">
        <v>45619</v>
      </c>
      <c r="B40" t="s">
        <v>81</v>
      </c>
      <c r="C40" t="s">
        <v>21</v>
      </c>
      <c r="D40" t="s">
        <v>82</v>
      </c>
      <c r="E40">
        <v>15088.94</v>
      </c>
      <c r="F40" t="s">
        <v>36</v>
      </c>
      <c r="G40">
        <v>18830.75</v>
      </c>
      <c r="H40">
        <v>3741.81</v>
      </c>
      <c r="I40">
        <v>0</v>
      </c>
      <c r="J40">
        <v>2</v>
      </c>
      <c r="K40" t="str">
        <f>TEXT(discount_impact_on_profit_2000_rows[[#This Row],[order date]],"mmmm")</f>
        <v>November</v>
      </c>
      <c r="L40">
        <f>YEAR(discount_impact_on_profit_2000_rows[[#This Row],[order date]])</f>
        <v>2024</v>
      </c>
      <c r="M40" t="str">
        <f>IF(discount_impact_on_profit_2000_rows[[#This Row],[Discount %]]=0,"Zero Discount",IF(discount_impact_on_profit_2000_rows[[#This Row],[Discount %]]&lt;=10,"Low Discount","High Discount"))</f>
        <v>Zero Discount</v>
      </c>
      <c r="N40" t="str">
        <f t="shared" si="0"/>
        <v>0-10%</v>
      </c>
    </row>
    <row r="41" spans="1:14">
      <c r="A41" s="1">
        <v>46005</v>
      </c>
      <c r="B41" t="s">
        <v>83</v>
      </c>
      <c r="C41" t="s">
        <v>15</v>
      </c>
      <c r="D41" t="s">
        <v>84</v>
      </c>
      <c r="E41">
        <v>3342.81</v>
      </c>
      <c r="F41" t="s">
        <v>26</v>
      </c>
      <c r="G41">
        <v>4648.78</v>
      </c>
      <c r="H41">
        <v>1305.97</v>
      </c>
      <c r="I41">
        <v>10</v>
      </c>
      <c r="J41">
        <v>1</v>
      </c>
      <c r="K41" t="str">
        <f>TEXT(discount_impact_on_profit_2000_rows[[#This Row],[order date]],"mmmm")</f>
        <v>December</v>
      </c>
      <c r="L41">
        <f>YEAR(discount_impact_on_profit_2000_rows[[#This Row],[order date]])</f>
        <v>2025</v>
      </c>
      <c r="M41" t="str">
        <f>IF(discount_impact_on_profit_2000_rows[[#This Row],[Discount %]]=0,"Zero Discount",IF(discount_impact_on_profit_2000_rows[[#This Row],[Discount %]]&lt;=10,"Low Discount","High Discount"))</f>
        <v>Low Discount</v>
      </c>
      <c r="N41" t="str">
        <f t="shared" si="0"/>
        <v>0-10%</v>
      </c>
    </row>
    <row r="42" spans="1:14">
      <c r="A42" s="1">
        <v>45994</v>
      </c>
      <c r="B42" t="s">
        <v>85</v>
      </c>
      <c r="C42" t="s">
        <v>15</v>
      </c>
      <c r="D42" t="s">
        <v>86</v>
      </c>
      <c r="E42">
        <v>7799.72</v>
      </c>
      <c r="F42" t="s">
        <v>26</v>
      </c>
      <c r="G42">
        <v>8033.71</v>
      </c>
      <c r="H42">
        <v>233.99</v>
      </c>
      <c r="I42">
        <v>20</v>
      </c>
      <c r="J42">
        <v>1</v>
      </c>
      <c r="K42" t="str">
        <f>TEXT(discount_impact_on_profit_2000_rows[[#This Row],[order date]],"mmmm")</f>
        <v>December</v>
      </c>
      <c r="L42">
        <f>YEAR(discount_impact_on_profit_2000_rows[[#This Row],[order date]])</f>
        <v>2025</v>
      </c>
      <c r="M42" t="str">
        <f>IF(discount_impact_on_profit_2000_rows[[#This Row],[Discount %]]=0,"Zero Discount",IF(discount_impact_on_profit_2000_rows[[#This Row],[Discount %]]&lt;=10,"Low Discount","High Discount"))</f>
        <v>High Discount</v>
      </c>
      <c r="N42" t="str">
        <f t="shared" si="0"/>
        <v>10-20%</v>
      </c>
    </row>
    <row r="43" spans="1:14">
      <c r="A43" s="1">
        <v>45076</v>
      </c>
      <c r="B43" t="s">
        <v>87</v>
      </c>
      <c r="C43" t="s">
        <v>18</v>
      </c>
      <c r="D43" t="s">
        <v>88</v>
      </c>
      <c r="E43">
        <v>2633.48</v>
      </c>
      <c r="F43" t="s">
        <v>26</v>
      </c>
      <c r="G43">
        <v>4288.9799999999996</v>
      </c>
      <c r="H43">
        <v>1655.5</v>
      </c>
      <c r="I43">
        <v>5</v>
      </c>
      <c r="J43">
        <v>4</v>
      </c>
      <c r="K43" t="str">
        <f>TEXT(discount_impact_on_profit_2000_rows[[#This Row],[order date]],"mmmm")</f>
        <v>May</v>
      </c>
      <c r="L43">
        <f>YEAR(discount_impact_on_profit_2000_rows[[#This Row],[order date]])</f>
        <v>2023</v>
      </c>
      <c r="M43" t="str">
        <f>IF(discount_impact_on_profit_2000_rows[[#This Row],[Discount %]]=0,"Zero Discount",IF(discount_impact_on_profit_2000_rows[[#This Row],[Discount %]]&lt;=10,"Low Discount","High Discount"))</f>
        <v>Low Discount</v>
      </c>
      <c r="N43" t="str">
        <f t="shared" si="0"/>
        <v>0-10%</v>
      </c>
    </row>
    <row r="44" spans="1:14">
      <c r="A44" s="1">
        <v>45816</v>
      </c>
      <c r="B44" t="s">
        <v>89</v>
      </c>
      <c r="C44" t="s">
        <v>18</v>
      </c>
      <c r="D44" t="s">
        <v>88</v>
      </c>
      <c r="E44">
        <v>850.67</v>
      </c>
      <c r="F44" t="s">
        <v>36</v>
      </c>
      <c r="G44">
        <v>1829.23</v>
      </c>
      <c r="H44">
        <v>978.56</v>
      </c>
      <c r="I44">
        <v>5</v>
      </c>
      <c r="J44">
        <v>6</v>
      </c>
      <c r="K44" t="str">
        <f>TEXT(discount_impact_on_profit_2000_rows[[#This Row],[order date]],"mmmm")</f>
        <v>June</v>
      </c>
      <c r="L44">
        <f>YEAR(discount_impact_on_profit_2000_rows[[#This Row],[order date]])</f>
        <v>2025</v>
      </c>
      <c r="M44" t="str">
        <f>IF(discount_impact_on_profit_2000_rows[[#This Row],[Discount %]]=0,"Zero Discount",IF(discount_impact_on_profit_2000_rows[[#This Row],[Discount %]]&lt;=10,"Low Discount","High Discount"))</f>
        <v>Low Discount</v>
      </c>
      <c r="N44" t="str">
        <f t="shared" si="0"/>
        <v>0-10%</v>
      </c>
    </row>
    <row r="45" spans="1:14">
      <c r="A45" s="1">
        <v>45809</v>
      </c>
      <c r="B45" t="s">
        <v>90</v>
      </c>
      <c r="C45" t="s">
        <v>21</v>
      </c>
      <c r="D45" t="s">
        <v>22</v>
      </c>
      <c r="E45">
        <v>44936.82</v>
      </c>
      <c r="F45" t="s">
        <v>31</v>
      </c>
      <c r="G45">
        <v>55652.7</v>
      </c>
      <c r="H45">
        <v>10715.88</v>
      </c>
      <c r="I45">
        <v>15</v>
      </c>
      <c r="J45">
        <v>3</v>
      </c>
      <c r="K45" t="str">
        <f>TEXT(discount_impact_on_profit_2000_rows[[#This Row],[order date]],"mmmm")</f>
        <v>June</v>
      </c>
      <c r="L45">
        <f>YEAR(discount_impact_on_profit_2000_rows[[#This Row],[order date]])</f>
        <v>2025</v>
      </c>
      <c r="M45" t="str">
        <f>IF(discount_impact_on_profit_2000_rows[[#This Row],[Discount %]]=0,"Zero Discount",IF(discount_impact_on_profit_2000_rows[[#This Row],[Discount %]]&lt;=10,"Low Discount","High Discount"))</f>
        <v>High Discount</v>
      </c>
      <c r="N45" t="str">
        <f t="shared" si="0"/>
        <v>10-20%</v>
      </c>
    </row>
    <row r="46" spans="1:14">
      <c r="A46" s="1">
        <v>45876</v>
      </c>
      <c r="B46" t="s">
        <v>91</v>
      </c>
      <c r="C46" t="s">
        <v>33</v>
      </c>
      <c r="D46" t="s">
        <v>92</v>
      </c>
      <c r="E46">
        <v>10207.07</v>
      </c>
      <c r="F46" t="s">
        <v>31</v>
      </c>
      <c r="G46">
        <v>16562.439999999999</v>
      </c>
      <c r="H46">
        <v>6355.37</v>
      </c>
      <c r="I46">
        <v>5</v>
      </c>
      <c r="J46">
        <v>2</v>
      </c>
      <c r="K46" t="str">
        <f>TEXT(discount_impact_on_profit_2000_rows[[#This Row],[order date]],"mmmm")</f>
        <v>August</v>
      </c>
      <c r="L46">
        <f>YEAR(discount_impact_on_profit_2000_rows[[#This Row],[order date]])</f>
        <v>2025</v>
      </c>
      <c r="M46" t="str">
        <f>IF(discount_impact_on_profit_2000_rows[[#This Row],[Discount %]]=0,"Zero Discount",IF(discount_impact_on_profit_2000_rows[[#This Row],[Discount %]]&lt;=10,"Low Discount","High Discount"))</f>
        <v>Low Discount</v>
      </c>
      <c r="N46" t="str">
        <f t="shared" si="0"/>
        <v>0-10%</v>
      </c>
    </row>
    <row r="47" spans="1:14">
      <c r="A47" s="1">
        <v>45263</v>
      </c>
      <c r="B47" t="s">
        <v>93</v>
      </c>
      <c r="C47" t="s">
        <v>15</v>
      </c>
      <c r="D47" t="s">
        <v>28</v>
      </c>
      <c r="E47">
        <v>5150.24</v>
      </c>
      <c r="F47" t="s">
        <v>36</v>
      </c>
      <c r="G47">
        <v>6831.12</v>
      </c>
      <c r="H47">
        <v>1680.88</v>
      </c>
      <c r="I47">
        <v>10</v>
      </c>
      <c r="J47">
        <v>5</v>
      </c>
      <c r="K47" t="str">
        <f>TEXT(discount_impact_on_profit_2000_rows[[#This Row],[order date]],"mmmm")</f>
        <v>December</v>
      </c>
      <c r="L47">
        <f>YEAR(discount_impact_on_profit_2000_rows[[#This Row],[order date]])</f>
        <v>2023</v>
      </c>
      <c r="M47" t="str">
        <f>IF(discount_impact_on_profit_2000_rows[[#This Row],[Discount %]]=0,"Zero Discount",IF(discount_impact_on_profit_2000_rows[[#This Row],[Discount %]]&lt;=10,"Low Discount","High Discount"))</f>
        <v>Low Discount</v>
      </c>
      <c r="N47" t="str">
        <f t="shared" si="0"/>
        <v>0-10%</v>
      </c>
    </row>
    <row r="48" spans="1:14">
      <c r="A48" s="1">
        <v>45676</v>
      </c>
      <c r="B48" t="s">
        <v>94</v>
      </c>
      <c r="C48" t="s">
        <v>53</v>
      </c>
      <c r="D48" t="s">
        <v>95</v>
      </c>
      <c r="E48">
        <v>1938.97</v>
      </c>
      <c r="F48" t="s">
        <v>13</v>
      </c>
      <c r="G48">
        <v>3718.94</v>
      </c>
      <c r="H48">
        <v>1779.97</v>
      </c>
      <c r="I48">
        <v>5</v>
      </c>
      <c r="J48">
        <v>3</v>
      </c>
      <c r="K48" t="str">
        <f>TEXT(discount_impact_on_profit_2000_rows[[#This Row],[order date]],"mmmm")</f>
        <v>January</v>
      </c>
      <c r="L48">
        <f>YEAR(discount_impact_on_profit_2000_rows[[#This Row],[order date]])</f>
        <v>2025</v>
      </c>
      <c r="M48" t="str">
        <f>IF(discount_impact_on_profit_2000_rows[[#This Row],[Discount %]]=0,"Zero Discount",IF(discount_impact_on_profit_2000_rows[[#This Row],[Discount %]]&lt;=10,"Low Discount","High Discount"))</f>
        <v>Low Discount</v>
      </c>
      <c r="N48" t="str">
        <f t="shared" si="0"/>
        <v>0-10%</v>
      </c>
    </row>
    <row r="49" spans="1:14">
      <c r="A49" s="1">
        <v>45464</v>
      </c>
      <c r="B49" t="s">
        <v>96</v>
      </c>
      <c r="C49" t="s">
        <v>21</v>
      </c>
      <c r="D49" t="s">
        <v>97</v>
      </c>
      <c r="E49">
        <v>59905.89</v>
      </c>
      <c r="F49" t="s">
        <v>23</v>
      </c>
      <c r="G49">
        <v>71436.87</v>
      </c>
      <c r="H49">
        <v>11530.98</v>
      </c>
      <c r="I49">
        <v>10</v>
      </c>
      <c r="J49">
        <v>5</v>
      </c>
      <c r="K49" t="str">
        <f>TEXT(discount_impact_on_profit_2000_rows[[#This Row],[order date]],"mmmm")</f>
        <v>June</v>
      </c>
      <c r="L49">
        <f>YEAR(discount_impact_on_profit_2000_rows[[#This Row],[order date]])</f>
        <v>2024</v>
      </c>
      <c r="M49" t="str">
        <f>IF(discount_impact_on_profit_2000_rows[[#This Row],[Discount %]]=0,"Zero Discount",IF(discount_impact_on_profit_2000_rows[[#This Row],[Discount %]]&lt;=10,"Low Discount","High Discount"))</f>
        <v>Low Discount</v>
      </c>
      <c r="N49" t="str">
        <f t="shared" si="0"/>
        <v>0-10%</v>
      </c>
    </row>
    <row r="50" spans="1:14">
      <c r="A50" s="1">
        <v>44989</v>
      </c>
      <c r="B50" t="s">
        <v>98</v>
      </c>
      <c r="C50" t="s">
        <v>15</v>
      </c>
      <c r="D50" t="s">
        <v>99</v>
      </c>
      <c r="E50">
        <v>2107.9</v>
      </c>
      <c r="F50" t="s">
        <v>23</v>
      </c>
      <c r="G50">
        <v>2900.71</v>
      </c>
      <c r="H50">
        <v>792.81</v>
      </c>
      <c r="I50">
        <v>5</v>
      </c>
      <c r="J50">
        <v>1</v>
      </c>
      <c r="K50" t="str">
        <f>TEXT(discount_impact_on_profit_2000_rows[[#This Row],[order date]],"mmmm")</f>
        <v>March</v>
      </c>
      <c r="L50">
        <f>YEAR(discount_impact_on_profit_2000_rows[[#This Row],[order date]])</f>
        <v>2023</v>
      </c>
      <c r="M50" t="str">
        <f>IF(discount_impact_on_profit_2000_rows[[#This Row],[Discount %]]=0,"Zero Discount",IF(discount_impact_on_profit_2000_rows[[#This Row],[Discount %]]&lt;=10,"Low Discount","High Discount"))</f>
        <v>Low Discount</v>
      </c>
      <c r="N50" t="str">
        <f t="shared" si="0"/>
        <v>0-10%</v>
      </c>
    </row>
    <row r="51" spans="1:14">
      <c r="A51" s="1">
        <v>45241</v>
      </c>
      <c r="B51" t="s">
        <v>100</v>
      </c>
      <c r="C51" t="s">
        <v>15</v>
      </c>
      <c r="D51" t="s">
        <v>28</v>
      </c>
      <c r="E51">
        <v>3969.6</v>
      </c>
      <c r="F51" t="s">
        <v>26</v>
      </c>
      <c r="G51">
        <v>4237.53</v>
      </c>
      <c r="H51">
        <v>267.93</v>
      </c>
      <c r="I51">
        <v>25</v>
      </c>
      <c r="J51">
        <v>2</v>
      </c>
      <c r="K51" t="str">
        <f>TEXT(discount_impact_on_profit_2000_rows[[#This Row],[order date]],"mmmm")</f>
        <v>November</v>
      </c>
      <c r="L51">
        <f>YEAR(discount_impact_on_profit_2000_rows[[#This Row],[order date]])</f>
        <v>2023</v>
      </c>
      <c r="M51" t="str">
        <f>IF(discount_impact_on_profit_2000_rows[[#This Row],[Discount %]]=0,"Zero Discount",IF(discount_impact_on_profit_2000_rows[[#This Row],[Discount %]]&lt;=10,"Low Discount","High Discount"))</f>
        <v>High Discount</v>
      </c>
      <c r="N51" t="str">
        <f t="shared" si="0"/>
        <v>20-30%</v>
      </c>
    </row>
    <row r="52" spans="1:14">
      <c r="A52" s="1">
        <v>45165</v>
      </c>
      <c r="B52" t="s">
        <v>101</v>
      </c>
      <c r="C52" t="s">
        <v>33</v>
      </c>
      <c r="D52" t="s">
        <v>102</v>
      </c>
      <c r="E52">
        <v>5909.41</v>
      </c>
      <c r="F52" t="s">
        <v>26</v>
      </c>
      <c r="G52">
        <v>8403.15</v>
      </c>
      <c r="H52">
        <v>2493.7399999999998</v>
      </c>
      <c r="I52">
        <v>10</v>
      </c>
      <c r="J52">
        <v>2</v>
      </c>
      <c r="K52" t="str">
        <f>TEXT(discount_impact_on_profit_2000_rows[[#This Row],[order date]],"mmmm")</f>
        <v>August</v>
      </c>
      <c r="L52">
        <f>YEAR(discount_impact_on_profit_2000_rows[[#This Row],[order date]])</f>
        <v>2023</v>
      </c>
      <c r="M52" t="str">
        <f>IF(discount_impact_on_profit_2000_rows[[#This Row],[Discount %]]=0,"Zero Discount",IF(discount_impact_on_profit_2000_rows[[#This Row],[Discount %]]&lt;=10,"Low Discount","High Discount"))</f>
        <v>Low Discount</v>
      </c>
      <c r="N52" t="str">
        <f t="shared" si="0"/>
        <v>0-10%</v>
      </c>
    </row>
    <row r="53" spans="1:14">
      <c r="A53" s="1">
        <v>45526</v>
      </c>
      <c r="B53" t="s">
        <v>103</v>
      </c>
      <c r="C53" t="s">
        <v>18</v>
      </c>
      <c r="D53" t="s">
        <v>104</v>
      </c>
      <c r="E53">
        <v>603.47</v>
      </c>
      <c r="F53" t="s">
        <v>26</v>
      </c>
      <c r="G53">
        <v>850.27</v>
      </c>
      <c r="H53">
        <v>246.8</v>
      </c>
      <c r="I53">
        <v>5</v>
      </c>
      <c r="J53">
        <v>5</v>
      </c>
      <c r="K53" t="str">
        <f>TEXT(discount_impact_on_profit_2000_rows[[#This Row],[order date]],"mmmm")</f>
        <v>August</v>
      </c>
      <c r="L53">
        <f>YEAR(discount_impact_on_profit_2000_rows[[#This Row],[order date]])</f>
        <v>2024</v>
      </c>
      <c r="M53" t="str">
        <f>IF(discount_impact_on_profit_2000_rows[[#This Row],[Discount %]]=0,"Zero Discount",IF(discount_impact_on_profit_2000_rows[[#This Row],[Discount %]]&lt;=10,"Low Discount","High Discount"))</f>
        <v>Low Discount</v>
      </c>
      <c r="N53" t="str">
        <f t="shared" si="0"/>
        <v>0-10%</v>
      </c>
    </row>
    <row r="54" spans="1:14">
      <c r="A54" s="1">
        <v>45699</v>
      </c>
      <c r="B54" t="s">
        <v>105</v>
      </c>
      <c r="C54" t="s">
        <v>15</v>
      </c>
      <c r="D54" t="s">
        <v>28</v>
      </c>
      <c r="E54">
        <v>7829.09</v>
      </c>
      <c r="F54" t="s">
        <v>31</v>
      </c>
      <c r="G54">
        <v>12207.68</v>
      </c>
      <c r="H54">
        <v>4378.59</v>
      </c>
      <c r="I54">
        <v>0</v>
      </c>
      <c r="J54">
        <v>4</v>
      </c>
      <c r="K54" t="str">
        <f>TEXT(discount_impact_on_profit_2000_rows[[#This Row],[order date]],"mmmm")</f>
        <v>February</v>
      </c>
      <c r="L54">
        <f>YEAR(discount_impact_on_profit_2000_rows[[#This Row],[order date]])</f>
        <v>2025</v>
      </c>
      <c r="M54" t="str">
        <f>IF(discount_impact_on_profit_2000_rows[[#This Row],[Discount %]]=0,"Zero Discount",IF(discount_impact_on_profit_2000_rows[[#This Row],[Discount %]]&lt;=10,"Low Discount","High Discount"))</f>
        <v>Zero Discount</v>
      </c>
      <c r="N54" t="str">
        <f t="shared" si="0"/>
        <v>0-10%</v>
      </c>
    </row>
    <row r="55" spans="1:14">
      <c r="A55" s="1">
        <v>45475</v>
      </c>
      <c r="B55" t="s">
        <v>106</v>
      </c>
      <c r="C55" t="s">
        <v>21</v>
      </c>
      <c r="D55" t="s">
        <v>82</v>
      </c>
      <c r="E55">
        <v>13349.75</v>
      </c>
      <c r="F55" t="s">
        <v>26</v>
      </c>
      <c r="G55">
        <v>13401.41</v>
      </c>
      <c r="H55">
        <v>51.66</v>
      </c>
      <c r="I55">
        <v>14</v>
      </c>
      <c r="J55">
        <v>5</v>
      </c>
      <c r="K55" t="str">
        <f>TEXT(discount_impact_on_profit_2000_rows[[#This Row],[order date]],"mmmm")</f>
        <v>July</v>
      </c>
      <c r="L55">
        <f>YEAR(discount_impact_on_profit_2000_rows[[#This Row],[order date]])</f>
        <v>2024</v>
      </c>
      <c r="M55" t="str">
        <f>IF(discount_impact_on_profit_2000_rows[[#This Row],[Discount %]]=0,"Zero Discount",IF(discount_impact_on_profit_2000_rows[[#This Row],[Discount %]]&lt;=10,"Low Discount","High Discount"))</f>
        <v>High Discount</v>
      </c>
      <c r="N55" t="str">
        <f t="shared" si="0"/>
        <v>10-20%</v>
      </c>
    </row>
    <row r="56" spans="1:14">
      <c r="A56" s="1">
        <v>45049</v>
      </c>
      <c r="B56" t="s">
        <v>107</v>
      </c>
      <c r="C56" t="s">
        <v>21</v>
      </c>
      <c r="D56" t="s">
        <v>82</v>
      </c>
      <c r="E56">
        <v>3552.41</v>
      </c>
      <c r="F56" t="s">
        <v>31</v>
      </c>
      <c r="G56">
        <v>4074.54</v>
      </c>
      <c r="H56">
        <v>522.13</v>
      </c>
      <c r="I56">
        <v>15</v>
      </c>
      <c r="J56">
        <v>4</v>
      </c>
      <c r="K56" t="str">
        <f>TEXT(discount_impact_on_profit_2000_rows[[#This Row],[order date]],"mmmm")</f>
        <v>May</v>
      </c>
      <c r="L56">
        <f>YEAR(discount_impact_on_profit_2000_rows[[#This Row],[order date]])</f>
        <v>2023</v>
      </c>
      <c r="M56" t="str">
        <f>IF(discount_impact_on_profit_2000_rows[[#This Row],[Discount %]]=0,"Zero Discount",IF(discount_impact_on_profit_2000_rows[[#This Row],[Discount %]]&lt;=10,"Low Discount","High Discount"))</f>
        <v>High Discount</v>
      </c>
      <c r="N56" t="str">
        <f t="shared" si="0"/>
        <v>10-20%</v>
      </c>
    </row>
    <row r="57" spans="1:14">
      <c r="A57" s="1">
        <v>45321</v>
      </c>
      <c r="B57" t="s">
        <v>108</v>
      </c>
      <c r="C57" t="s">
        <v>21</v>
      </c>
      <c r="D57" t="s">
        <v>109</v>
      </c>
      <c r="E57">
        <v>8403.9599999999991</v>
      </c>
      <c r="F57" t="s">
        <v>31</v>
      </c>
      <c r="G57">
        <v>10094.93</v>
      </c>
      <c r="H57">
        <v>1690.97</v>
      </c>
      <c r="I57">
        <v>0</v>
      </c>
      <c r="J57">
        <v>4</v>
      </c>
      <c r="K57" t="str">
        <f>TEXT(discount_impact_on_profit_2000_rows[[#This Row],[order date]],"mmmm")</f>
        <v>January</v>
      </c>
      <c r="L57">
        <f>YEAR(discount_impact_on_profit_2000_rows[[#This Row],[order date]])</f>
        <v>2024</v>
      </c>
      <c r="M57" t="str">
        <f>IF(discount_impact_on_profit_2000_rows[[#This Row],[Discount %]]=0,"Zero Discount",IF(discount_impact_on_profit_2000_rows[[#This Row],[Discount %]]&lt;=10,"Low Discount","High Discount"))</f>
        <v>Zero Discount</v>
      </c>
      <c r="N57" t="str">
        <f t="shared" si="0"/>
        <v>0-10%</v>
      </c>
    </row>
    <row r="58" spans="1:14">
      <c r="A58" s="1">
        <v>45261</v>
      </c>
      <c r="B58" t="s">
        <v>110</v>
      </c>
      <c r="C58" t="s">
        <v>53</v>
      </c>
      <c r="D58" t="s">
        <v>95</v>
      </c>
      <c r="E58">
        <v>4119.24</v>
      </c>
      <c r="F58" t="s">
        <v>26</v>
      </c>
      <c r="G58">
        <v>5359.05</v>
      </c>
      <c r="H58">
        <v>1239.81</v>
      </c>
      <c r="I58">
        <v>25</v>
      </c>
      <c r="J58">
        <v>8</v>
      </c>
      <c r="K58" t="str">
        <f>TEXT(discount_impact_on_profit_2000_rows[[#This Row],[order date]],"mmmm")</f>
        <v>December</v>
      </c>
      <c r="L58">
        <f>YEAR(discount_impact_on_profit_2000_rows[[#This Row],[order date]])</f>
        <v>2023</v>
      </c>
      <c r="M58" t="str">
        <f>IF(discount_impact_on_profit_2000_rows[[#This Row],[Discount %]]=0,"Zero Discount",IF(discount_impact_on_profit_2000_rows[[#This Row],[Discount %]]&lt;=10,"Low Discount","High Discount"))</f>
        <v>High Discount</v>
      </c>
      <c r="N58" t="str">
        <f t="shared" si="0"/>
        <v>20-30%</v>
      </c>
    </row>
    <row r="59" spans="1:14">
      <c r="A59" s="1">
        <v>45432</v>
      </c>
      <c r="B59" t="s">
        <v>111</v>
      </c>
      <c r="C59" t="s">
        <v>15</v>
      </c>
      <c r="D59" t="s">
        <v>16</v>
      </c>
      <c r="E59">
        <v>20387.27</v>
      </c>
      <c r="F59" t="s">
        <v>26</v>
      </c>
      <c r="G59">
        <v>24526.79</v>
      </c>
      <c r="H59">
        <v>4139.5200000000004</v>
      </c>
      <c r="I59">
        <v>5</v>
      </c>
      <c r="J59">
        <v>3</v>
      </c>
      <c r="K59" t="str">
        <f>TEXT(discount_impact_on_profit_2000_rows[[#This Row],[order date]],"mmmm")</f>
        <v>May</v>
      </c>
      <c r="L59">
        <f>YEAR(discount_impact_on_profit_2000_rows[[#This Row],[order date]])</f>
        <v>2024</v>
      </c>
      <c r="M59" t="str">
        <f>IF(discount_impact_on_profit_2000_rows[[#This Row],[Discount %]]=0,"Zero Discount",IF(discount_impact_on_profit_2000_rows[[#This Row],[Discount %]]&lt;=10,"Low Discount","High Discount"))</f>
        <v>Low Discount</v>
      </c>
      <c r="N59" t="str">
        <f t="shared" si="0"/>
        <v>0-10%</v>
      </c>
    </row>
    <row r="60" spans="1:14">
      <c r="A60" s="1">
        <v>45494</v>
      </c>
      <c r="B60" t="s">
        <v>112</v>
      </c>
      <c r="C60" t="s">
        <v>53</v>
      </c>
      <c r="D60" t="s">
        <v>113</v>
      </c>
      <c r="E60">
        <v>3916.51</v>
      </c>
      <c r="F60" t="s">
        <v>31</v>
      </c>
      <c r="G60">
        <v>5926.37</v>
      </c>
      <c r="H60">
        <v>2009.86</v>
      </c>
      <c r="I60">
        <v>10</v>
      </c>
      <c r="J60">
        <v>4</v>
      </c>
      <c r="K60" t="str">
        <f>TEXT(discount_impact_on_profit_2000_rows[[#This Row],[order date]],"mmmm")</f>
        <v>July</v>
      </c>
      <c r="L60">
        <f>YEAR(discount_impact_on_profit_2000_rows[[#This Row],[order date]])</f>
        <v>2024</v>
      </c>
      <c r="M60" t="str">
        <f>IF(discount_impact_on_profit_2000_rows[[#This Row],[Discount %]]=0,"Zero Discount",IF(discount_impact_on_profit_2000_rows[[#This Row],[Discount %]]&lt;=10,"Low Discount","High Discount"))</f>
        <v>Low Discount</v>
      </c>
      <c r="N60" t="str">
        <f t="shared" si="0"/>
        <v>0-10%</v>
      </c>
    </row>
    <row r="61" spans="1:14">
      <c r="A61" s="1">
        <v>45478</v>
      </c>
      <c r="B61" t="s">
        <v>114</v>
      </c>
      <c r="C61" t="s">
        <v>15</v>
      </c>
      <c r="D61" t="s">
        <v>76</v>
      </c>
      <c r="E61">
        <v>36045.56</v>
      </c>
      <c r="F61" t="s">
        <v>26</v>
      </c>
      <c r="G61">
        <v>51481.49</v>
      </c>
      <c r="H61">
        <v>15435.93</v>
      </c>
      <c r="I61">
        <v>5</v>
      </c>
      <c r="J61">
        <v>4</v>
      </c>
      <c r="K61" t="str">
        <f>TEXT(discount_impact_on_profit_2000_rows[[#This Row],[order date]],"mmmm")</f>
        <v>July</v>
      </c>
      <c r="L61">
        <f>YEAR(discount_impact_on_profit_2000_rows[[#This Row],[order date]])</f>
        <v>2024</v>
      </c>
      <c r="M61" t="str">
        <f>IF(discount_impact_on_profit_2000_rows[[#This Row],[Discount %]]=0,"Zero Discount",IF(discount_impact_on_profit_2000_rows[[#This Row],[Discount %]]&lt;=10,"Low Discount","High Discount"))</f>
        <v>Low Discount</v>
      </c>
      <c r="N61" t="str">
        <f t="shared" si="0"/>
        <v>0-10%</v>
      </c>
    </row>
    <row r="62" spans="1:14">
      <c r="A62" s="1">
        <v>44937</v>
      </c>
      <c r="B62" t="s">
        <v>115</v>
      </c>
      <c r="C62" t="s">
        <v>21</v>
      </c>
      <c r="D62" t="s">
        <v>57</v>
      </c>
      <c r="E62">
        <v>41935.279999999999</v>
      </c>
      <c r="F62" t="s">
        <v>36</v>
      </c>
      <c r="G62">
        <v>43193.34</v>
      </c>
      <c r="H62">
        <v>1258.06</v>
      </c>
      <c r="I62">
        <v>17</v>
      </c>
      <c r="J62">
        <v>8</v>
      </c>
      <c r="K62" t="str">
        <f>TEXT(discount_impact_on_profit_2000_rows[[#This Row],[order date]],"mmmm")</f>
        <v>January</v>
      </c>
      <c r="L62">
        <f>YEAR(discount_impact_on_profit_2000_rows[[#This Row],[order date]])</f>
        <v>2023</v>
      </c>
      <c r="M62" t="str">
        <f>IF(discount_impact_on_profit_2000_rows[[#This Row],[Discount %]]=0,"Zero Discount",IF(discount_impact_on_profit_2000_rows[[#This Row],[Discount %]]&lt;=10,"Low Discount","High Discount"))</f>
        <v>High Discount</v>
      </c>
      <c r="N62" t="str">
        <f t="shared" si="0"/>
        <v>10-20%</v>
      </c>
    </row>
    <row r="63" spans="1:14">
      <c r="A63" s="1">
        <v>45975</v>
      </c>
      <c r="B63" t="s">
        <v>116</v>
      </c>
      <c r="C63" t="s">
        <v>21</v>
      </c>
      <c r="D63" t="s">
        <v>97</v>
      </c>
      <c r="E63">
        <v>6402.21</v>
      </c>
      <c r="F63" t="s">
        <v>36</v>
      </c>
      <c r="G63">
        <v>7924.92</v>
      </c>
      <c r="H63">
        <v>1522.71</v>
      </c>
      <c r="I63">
        <v>15</v>
      </c>
      <c r="J63">
        <v>2</v>
      </c>
      <c r="K63" t="str">
        <f>TEXT(discount_impact_on_profit_2000_rows[[#This Row],[order date]],"mmmm")</f>
        <v>November</v>
      </c>
      <c r="L63">
        <f>YEAR(discount_impact_on_profit_2000_rows[[#This Row],[order date]])</f>
        <v>2025</v>
      </c>
      <c r="M63" t="str">
        <f>IF(discount_impact_on_profit_2000_rows[[#This Row],[Discount %]]=0,"Zero Discount",IF(discount_impact_on_profit_2000_rows[[#This Row],[Discount %]]&lt;=10,"Low Discount","High Discount"))</f>
        <v>High Discount</v>
      </c>
      <c r="N63" t="str">
        <f t="shared" si="0"/>
        <v>10-20%</v>
      </c>
    </row>
    <row r="64" spans="1:14">
      <c r="A64" s="1">
        <v>45177</v>
      </c>
      <c r="B64" t="s">
        <v>117</v>
      </c>
      <c r="C64" t="s">
        <v>33</v>
      </c>
      <c r="D64" t="s">
        <v>102</v>
      </c>
      <c r="E64">
        <v>2989.64</v>
      </c>
      <c r="F64" t="s">
        <v>26</v>
      </c>
      <c r="G64">
        <v>3857.6</v>
      </c>
      <c r="H64">
        <v>867.96</v>
      </c>
      <c r="I64">
        <v>20</v>
      </c>
      <c r="J64">
        <v>1</v>
      </c>
      <c r="K64" t="str">
        <f>TEXT(discount_impact_on_profit_2000_rows[[#This Row],[order date]],"mmmm")</f>
        <v>September</v>
      </c>
      <c r="L64">
        <f>YEAR(discount_impact_on_profit_2000_rows[[#This Row],[order date]])</f>
        <v>2023</v>
      </c>
      <c r="M64" t="str">
        <f>IF(discount_impact_on_profit_2000_rows[[#This Row],[Discount %]]=0,"Zero Discount",IF(discount_impact_on_profit_2000_rows[[#This Row],[Discount %]]&lt;=10,"Low Discount","High Discount"))</f>
        <v>High Discount</v>
      </c>
      <c r="N64" t="str">
        <f t="shared" si="0"/>
        <v>10-20%</v>
      </c>
    </row>
    <row r="65" spans="1:14">
      <c r="A65" s="1">
        <v>45630</v>
      </c>
      <c r="B65" t="s">
        <v>118</v>
      </c>
      <c r="C65" t="s">
        <v>21</v>
      </c>
      <c r="D65" t="s">
        <v>82</v>
      </c>
      <c r="E65">
        <v>3954.39</v>
      </c>
      <c r="F65" t="s">
        <v>31</v>
      </c>
      <c r="G65">
        <v>4792.1499999999996</v>
      </c>
      <c r="H65">
        <v>837.76</v>
      </c>
      <c r="I65">
        <v>5</v>
      </c>
      <c r="J65">
        <v>4</v>
      </c>
      <c r="K65" t="str">
        <f>TEXT(discount_impact_on_profit_2000_rows[[#This Row],[order date]],"mmmm")</f>
        <v>December</v>
      </c>
      <c r="L65">
        <f>YEAR(discount_impact_on_profit_2000_rows[[#This Row],[order date]])</f>
        <v>2024</v>
      </c>
      <c r="M65" t="str">
        <f>IF(discount_impact_on_profit_2000_rows[[#This Row],[Discount %]]=0,"Zero Discount",IF(discount_impact_on_profit_2000_rows[[#This Row],[Discount %]]&lt;=10,"Low Discount","High Discount"))</f>
        <v>Low Discount</v>
      </c>
      <c r="N65" t="str">
        <f t="shared" si="0"/>
        <v>0-10%</v>
      </c>
    </row>
    <row r="66" spans="1:14">
      <c r="A66" s="1">
        <v>45293</v>
      </c>
      <c r="B66" t="s">
        <v>119</v>
      </c>
      <c r="C66" t="s">
        <v>11</v>
      </c>
      <c r="D66" t="s">
        <v>38</v>
      </c>
      <c r="E66">
        <v>1803.65</v>
      </c>
      <c r="F66" t="s">
        <v>26</v>
      </c>
      <c r="G66">
        <v>2500.8000000000002</v>
      </c>
      <c r="H66">
        <v>697.15</v>
      </c>
      <c r="I66">
        <v>15</v>
      </c>
      <c r="J66">
        <v>4</v>
      </c>
      <c r="K66" t="str">
        <f>TEXT(discount_impact_on_profit_2000_rows[[#This Row],[order date]],"mmmm")</f>
        <v>January</v>
      </c>
      <c r="L66">
        <f>YEAR(discount_impact_on_profit_2000_rows[[#This Row],[order date]])</f>
        <v>2024</v>
      </c>
      <c r="M66" t="str">
        <f>IF(discount_impact_on_profit_2000_rows[[#This Row],[Discount %]]=0,"Zero Discount",IF(discount_impact_on_profit_2000_rows[[#This Row],[Discount %]]&lt;=10,"Low Discount","High Discount"))</f>
        <v>High Discount</v>
      </c>
      <c r="N66" t="str">
        <f t="shared" ref="N66:N129" si="1">IF(I66&lt;=10,"0-10%",IF(I66&lt;=20,"10-20%",IF(I66&lt;=30,"20-30%","30%+")))</f>
        <v>10-20%</v>
      </c>
    </row>
    <row r="67" spans="1:14">
      <c r="A67" s="1">
        <v>44985</v>
      </c>
      <c r="B67" t="s">
        <v>120</v>
      </c>
      <c r="C67" t="s">
        <v>53</v>
      </c>
      <c r="D67" t="s">
        <v>78</v>
      </c>
      <c r="E67">
        <v>3957.57</v>
      </c>
      <c r="F67" t="s">
        <v>23</v>
      </c>
      <c r="G67">
        <v>6275.82</v>
      </c>
      <c r="H67">
        <v>2318.25</v>
      </c>
      <c r="I67">
        <v>25</v>
      </c>
      <c r="J67">
        <v>3</v>
      </c>
      <c r="K67" t="str">
        <f>TEXT(discount_impact_on_profit_2000_rows[[#This Row],[order date]],"mmmm")</f>
        <v>February</v>
      </c>
      <c r="L67">
        <f>YEAR(discount_impact_on_profit_2000_rows[[#This Row],[order date]])</f>
        <v>2023</v>
      </c>
      <c r="M67" t="str">
        <f>IF(discount_impact_on_profit_2000_rows[[#This Row],[Discount %]]=0,"Zero Discount",IF(discount_impact_on_profit_2000_rows[[#This Row],[Discount %]]&lt;=10,"Low Discount","High Discount"))</f>
        <v>High Discount</v>
      </c>
      <c r="N67" t="str">
        <f t="shared" si="1"/>
        <v>20-30%</v>
      </c>
    </row>
    <row r="68" spans="1:14">
      <c r="A68" s="1">
        <v>45626</v>
      </c>
      <c r="B68" t="s">
        <v>121</v>
      </c>
      <c r="C68" t="s">
        <v>21</v>
      </c>
      <c r="D68" t="s">
        <v>109</v>
      </c>
      <c r="E68">
        <v>48152.54</v>
      </c>
      <c r="F68" t="s">
        <v>26</v>
      </c>
      <c r="G68">
        <v>48336.59</v>
      </c>
      <c r="H68">
        <v>184.05</v>
      </c>
      <c r="I68">
        <v>19</v>
      </c>
      <c r="J68">
        <v>4</v>
      </c>
      <c r="K68" t="str">
        <f>TEXT(discount_impact_on_profit_2000_rows[[#This Row],[order date]],"mmmm")</f>
        <v>November</v>
      </c>
      <c r="L68">
        <f>YEAR(discount_impact_on_profit_2000_rows[[#This Row],[order date]])</f>
        <v>2024</v>
      </c>
      <c r="M68" t="str">
        <f>IF(discount_impact_on_profit_2000_rows[[#This Row],[Discount %]]=0,"Zero Discount",IF(discount_impact_on_profit_2000_rows[[#This Row],[Discount %]]&lt;=10,"Low Discount","High Discount"))</f>
        <v>High Discount</v>
      </c>
      <c r="N68" t="str">
        <f t="shared" si="1"/>
        <v>10-20%</v>
      </c>
    </row>
    <row r="69" spans="1:14">
      <c r="A69" s="1">
        <v>45426</v>
      </c>
      <c r="B69" t="s">
        <v>122</v>
      </c>
      <c r="C69" t="s">
        <v>21</v>
      </c>
      <c r="D69" t="s">
        <v>123</v>
      </c>
      <c r="E69">
        <v>15185.24</v>
      </c>
      <c r="F69" t="s">
        <v>36</v>
      </c>
      <c r="G69">
        <v>19226.98</v>
      </c>
      <c r="H69">
        <v>4041.74</v>
      </c>
      <c r="I69">
        <v>5</v>
      </c>
      <c r="J69">
        <v>3</v>
      </c>
      <c r="K69" t="str">
        <f>TEXT(discount_impact_on_profit_2000_rows[[#This Row],[order date]],"mmmm")</f>
        <v>May</v>
      </c>
      <c r="L69">
        <f>YEAR(discount_impact_on_profit_2000_rows[[#This Row],[order date]])</f>
        <v>2024</v>
      </c>
      <c r="M69" t="str">
        <f>IF(discount_impact_on_profit_2000_rows[[#This Row],[Discount %]]=0,"Zero Discount",IF(discount_impact_on_profit_2000_rows[[#This Row],[Discount %]]&lt;=10,"Low Discount","High Discount"))</f>
        <v>Low Discount</v>
      </c>
      <c r="N69" t="str">
        <f t="shared" si="1"/>
        <v>0-10%</v>
      </c>
    </row>
    <row r="70" spans="1:14">
      <c r="A70" s="1">
        <v>45754</v>
      </c>
      <c r="B70" t="s">
        <v>124</v>
      </c>
      <c r="C70" t="s">
        <v>53</v>
      </c>
      <c r="D70" t="s">
        <v>70</v>
      </c>
      <c r="E70">
        <v>2233.66</v>
      </c>
      <c r="F70" t="s">
        <v>36</v>
      </c>
      <c r="G70">
        <v>2970.84</v>
      </c>
      <c r="H70">
        <v>737.18</v>
      </c>
      <c r="I70">
        <v>10</v>
      </c>
      <c r="J70">
        <v>4</v>
      </c>
      <c r="K70" t="str">
        <f>TEXT(discount_impact_on_profit_2000_rows[[#This Row],[order date]],"mmmm")</f>
        <v>April</v>
      </c>
      <c r="L70">
        <f>YEAR(discount_impact_on_profit_2000_rows[[#This Row],[order date]])</f>
        <v>2025</v>
      </c>
      <c r="M70" t="str">
        <f>IF(discount_impact_on_profit_2000_rows[[#This Row],[Discount %]]=0,"Zero Discount",IF(discount_impact_on_profit_2000_rows[[#This Row],[Discount %]]&lt;=10,"Low Discount","High Discount"))</f>
        <v>Low Discount</v>
      </c>
      <c r="N70" t="str">
        <f t="shared" si="1"/>
        <v>0-10%</v>
      </c>
    </row>
    <row r="71" spans="1:14">
      <c r="A71" s="1">
        <v>45520</v>
      </c>
      <c r="B71" t="s">
        <v>125</v>
      </c>
      <c r="C71" t="s">
        <v>18</v>
      </c>
      <c r="D71" t="s">
        <v>50</v>
      </c>
      <c r="E71">
        <v>338.55</v>
      </c>
      <c r="F71" t="s">
        <v>36</v>
      </c>
      <c r="G71">
        <v>553.91999999999996</v>
      </c>
      <c r="H71">
        <v>215.37</v>
      </c>
      <c r="I71">
        <v>5</v>
      </c>
      <c r="J71">
        <v>1</v>
      </c>
      <c r="K71" t="str">
        <f>TEXT(discount_impact_on_profit_2000_rows[[#This Row],[order date]],"mmmm")</f>
        <v>August</v>
      </c>
      <c r="L71">
        <f>YEAR(discount_impact_on_profit_2000_rows[[#This Row],[order date]])</f>
        <v>2024</v>
      </c>
      <c r="M71" t="str">
        <f>IF(discount_impact_on_profit_2000_rows[[#This Row],[Discount %]]=0,"Zero Discount",IF(discount_impact_on_profit_2000_rows[[#This Row],[Discount %]]&lt;=10,"Low Discount","High Discount"))</f>
        <v>Low Discount</v>
      </c>
      <c r="N71" t="str">
        <f t="shared" si="1"/>
        <v>0-10%</v>
      </c>
    </row>
    <row r="72" spans="1:14">
      <c r="A72" s="1">
        <v>45864</v>
      </c>
      <c r="B72" t="s">
        <v>126</v>
      </c>
      <c r="C72" t="s">
        <v>33</v>
      </c>
      <c r="D72" t="s">
        <v>34</v>
      </c>
      <c r="E72">
        <v>18479.27</v>
      </c>
      <c r="F72" t="s">
        <v>26</v>
      </c>
      <c r="G72">
        <v>20741.830000000002</v>
      </c>
      <c r="H72">
        <v>2262.56</v>
      </c>
      <c r="I72">
        <v>25</v>
      </c>
      <c r="J72">
        <v>2</v>
      </c>
      <c r="K72" t="str">
        <f>TEXT(discount_impact_on_profit_2000_rows[[#This Row],[order date]],"mmmm")</f>
        <v>July</v>
      </c>
      <c r="L72">
        <f>YEAR(discount_impact_on_profit_2000_rows[[#This Row],[order date]])</f>
        <v>2025</v>
      </c>
      <c r="M72" t="str">
        <f>IF(discount_impact_on_profit_2000_rows[[#This Row],[Discount %]]=0,"Zero Discount",IF(discount_impact_on_profit_2000_rows[[#This Row],[Discount %]]&lt;=10,"Low Discount","High Discount"))</f>
        <v>High Discount</v>
      </c>
      <c r="N72" t="str">
        <f t="shared" si="1"/>
        <v>20-30%</v>
      </c>
    </row>
    <row r="73" spans="1:14">
      <c r="A73" s="1">
        <v>44992</v>
      </c>
      <c r="B73" t="s">
        <v>127</v>
      </c>
      <c r="C73" t="s">
        <v>21</v>
      </c>
      <c r="D73" t="s">
        <v>123</v>
      </c>
      <c r="E73">
        <v>3580.04</v>
      </c>
      <c r="F73" t="s">
        <v>26</v>
      </c>
      <c r="G73">
        <v>4010.06</v>
      </c>
      <c r="H73">
        <v>430.02</v>
      </c>
      <c r="I73">
        <v>15</v>
      </c>
      <c r="J73">
        <v>2</v>
      </c>
      <c r="K73" t="str">
        <f>TEXT(discount_impact_on_profit_2000_rows[[#This Row],[order date]],"mmmm")</f>
        <v>March</v>
      </c>
      <c r="L73">
        <f>YEAR(discount_impact_on_profit_2000_rows[[#This Row],[order date]])</f>
        <v>2023</v>
      </c>
      <c r="M73" t="str">
        <f>IF(discount_impact_on_profit_2000_rows[[#This Row],[Discount %]]=0,"Zero Discount",IF(discount_impact_on_profit_2000_rows[[#This Row],[Discount %]]&lt;=10,"Low Discount","High Discount"))</f>
        <v>High Discount</v>
      </c>
      <c r="N73" t="str">
        <f t="shared" si="1"/>
        <v>10-20%</v>
      </c>
    </row>
    <row r="74" spans="1:14">
      <c r="A74" s="1">
        <v>45891</v>
      </c>
      <c r="B74" t="s">
        <v>128</v>
      </c>
      <c r="C74" t="s">
        <v>33</v>
      </c>
      <c r="D74" t="s">
        <v>102</v>
      </c>
      <c r="E74">
        <v>5538.3</v>
      </c>
      <c r="F74" t="s">
        <v>31</v>
      </c>
      <c r="G74">
        <v>9145.43</v>
      </c>
      <c r="H74">
        <v>3607.13</v>
      </c>
      <c r="I74">
        <v>0</v>
      </c>
      <c r="J74">
        <v>4</v>
      </c>
      <c r="K74" t="str">
        <f>TEXT(discount_impact_on_profit_2000_rows[[#This Row],[order date]],"mmmm")</f>
        <v>August</v>
      </c>
      <c r="L74">
        <f>YEAR(discount_impact_on_profit_2000_rows[[#This Row],[order date]])</f>
        <v>2025</v>
      </c>
      <c r="M74" t="str">
        <f>IF(discount_impact_on_profit_2000_rows[[#This Row],[Discount %]]=0,"Zero Discount",IF(discount_impact_on_profit_2000_rows[[#This Row],[Discount %]]&lt;=10,"Low Discount","High Discount"))</f>
        <v>Zero Discount</v>
      </c>
      <c r="N74" t="str">
        <f t="shared" si="1"/>
        <v>0-10%</v>
      </c>
    </row>
    <row r="75" spans="1:14">
      <c r="A75" s="1">
        <v>45683</v>
      </c>
      <c r="B75" t="s">
        <v>129</v>
      </c>
      <c r="C75" t="s">
        <v>18</v>
      </c>
      <c r="D75" t="s">
        <v>50</v>
      </c>
      <c r="E75">
        <v>4408.7700000000004</v>
      </c>
      <c r="F75" t="s">
        <v>13</v>
      </c>
      <c r="G75">
        <v>4535.99</v>
      </c>
      <c r="H75">
        <v>127.22</v>
      </c>
      <c r="I75">
        <v>30</v>
      </c>
      <c r="J75">
        <v>10</v>
      </c>
      <c r="K75" t="str">
        <f>TEXT(discount_impact_on_profit_2000_rows[[#This Row],[order date]],"mmmm")</f>
        <v>January</v>
      </c>
      <c r="L75">
        <f>YEAR(discount_impact_on_profit_2000_rows[[#This Row],[order date]])</f>
        <v>2025</v>
      </c>
      <c r="M75" t="str">
        <f>IF(discount_impact_on_profit_2000_rows[[#This Row],[Discount %]]=0,"Zero Discount",IF(discount_impact_on_profit_2000_rows[[#This Row],[Discount %]]&lt;=10,"Low Discount","High Discount"))</f>
        <v>High Discount</v>
      </c>
      <c r="N75" t="str">
        <f t="shared" si="1"/>
        <v>20-30%</v>
      </c>
    </row>
    <row r="76" spans="1:14">
      <c r="A76" s="1">
        <v>45423</v>
      </c>
      <c r="B76" t="s">
        <v>130</v>
      </c>
      <c r="C76" t="s">
        <v>18</v>
      </c>
      <c r="D76" t="s">
        <v>50</v>
      </c>
      <c r="E76">
        <v>4500.66</v>
      </c>
      <c r="F76" t="s">
        <v>31</v>
      </c>
      <c r="G76">
        <v>6345.76</v>
      </c>
      <c r="H76">
        <v>1845.1</v>
      </c>
      <c r="I76">
        <v>20</v>
      </c>
      <c r="J76">
        <v>10</v>
      </c>
      <c r="K76" t="str">
        <f>TEXT(discount_impact_on_profit_2000_rows[[#This Row],[order date]],"mmmm")</f>
        <v>May</v>
      </c>
      <c r="L76">
        <f>YEAR(discount_impact_on_profit_2000_rows[[#This Row],[order date]])</f>
        <v>2024</v>
      </c>
      <c r="M76" t="str">
        <f>IF(discount_impact_on_profit_2000_rows[[#This Row],[Discount %]]=0,"Zero Discount",IF(discount_impact_on_profit_2000_rows[[#This Row],[Discount %]]&lt;=10,"Low Discount","High Discount"))</f>
        <v>High Discount</v>
      </c>
      <c r="N76" t="str">
        <f t="shared" si="1"/>
        <v>10-20%</v>
      </c>
    </row>
    <row r="77" spans="1:14">
      <c r="A77" s="1">
        <v>45946</v>
      </c>
      <c r="B77" t="s">
        <v>131</v>
      </c>
      <c r="C77" t="s">
        <v>15</v>
      </c>
      <c r="D77" t="s">
        <v>99</v>
      </c>
      <c r="E77">
        <v>18169.97</v>
      </c>
      <c r="F77" t="s">
        <v>13</v>
      </c>
      <c r="G77">
        <v>19019.68</v>
      </c>
      <c r="H77">
        <v>849.71</v>
      </c>
      <c r="I77">
        <v>30</v>
      </c>
      <c r="J77">
        <v>3</v>
      </c>
      <c r="K77" t="str">
        <f>TEXT(discount_impact_on_profit_2000_rows[[#This Row],[order date]],"mmmm")</f>
        <v>October</v>
      </c>
      <c r="L77">
        <f>YEAR(discount_impact_on_profit_2000_rows[[#This Row],[order date]])</f>
        <v>2025</v>
      </c>
      <c r="M77" t="str">
        <f>IF(discount_impact_on_profit_2000_rows[[#This Row],[Discount %]]=0,"Zero Discount",IF(discount_impact_on_profit_2000_rows[[#This Row],[Discount %]]&lt;=10,"Low Discount","High Discount"))</f>
        <v>High Discount</v>
      </c>
      <c r="N77" t="str">
        <f t="shared" si="1"/>
        <v>20-30%</v>
      </c>
    </row>
    <row r="78" spans="1:14">
      <c r="A78" s="1">
        <v>45390</v>
      </c>
      <c r="B78" t="s">
        <v>132</v>
      </c>
      <c r="C78" t="s">
        <v>53</v>
      </c>
      <c r="D78" t="s">
        <v>113</v>
      </c>
      <c r="E78">
        <v>1123.96</v>
      </c>
      <c r="F78" t="s">
        <v>31</v>
      </c>
      <c r="G78">
        <v>2721.17</v>
      </c>
      <c r="H78">
        <v>1597.21</v>
      </c>
      <c r="I78">
        <v>0</v>
      </c>
      <c r="J78">
        <v>2</v>
      </c>
      <c r="K78" t="str">
        <f>TEXT(discount_impact_on_profit_2000_rows[[#This Row],[order date]],"mmmm")</f>
        <v>April</v>
      </c>
      <c r="L78">
        <f>YEAR(discount_impact_on_profit_2000_rows[[#This Row],[order date]])</f>
        <v>2024</v>
      </c>
      <c r="M78" t="str">
        <f>IF(discount_impact_on_profit_2000_rows[[#This Row],[Discount %]]=0,"Zero Discount",IF(discount_impact_on_profit_2000_rows[[#This Row],[Discount %]]&lt;=10,"Low Discount","High Discount"))</f>
        <v>Zero Discount</v>
      </c>
      <c r="N78" t="str">
        <f t="shared" si="1"/>
        <v>0-10%</v>
      </c>
    </row>
    <row r="79" spans="1:14">
      <c r="A79" s="1">
        <v>45564</v>
      </c>
      <c r="B79" t="s">
        <v>133</v>
      </c>
      <c r="C79" t="s">
        <v>18</v>
      </c>
      <c r="D79" t="s">
        <v>104</v>
      </c>
      <c r="E79">
        <v>625.19000000000005</v>
      </c>
      <c r="F79" t="s">
        <v>36</v>
      </c>
      <c r="G79">
        <v>1290.1600000000001</v>
      </c>
      <c r="H79">
        <v>664.97</v>
      </c>
      <c r="I79">
        <v>10</v>
      </c>
      <c r="J79">
        <v>3</v>
      </c>
      <c r="K79" t="str">
        <f>TEXT(discount_impact_on_profit_2000_rows[[#This Row],[order date]],"mmmm")</f>
        <v>September</v>
      </c>
      <c r="L79">
        <f>YEAR(discount_impact_on_profit_2000_rows[[#This Row],[order date]])</f>
        <v>2024</v>
      </c>
      <c r="M79" t="str">
        <f>IF(discount_impact_on_profit_2000_rows[[#This Row],[Discount %]]=0,"Zero Discount",IF(discount_impact_on_profit_2000_rows[[#This Row],[Discount %]]&lt;=10,"Low Discount","High Discount"))</f>
        <v>Low Discount</v>
      </c>
      <c r="N79" t="str">
        <f t="shared" si="1"/>
        <v>0-10%</v>
      </c>
    </row>
    <row r="80" spans="1:14">
      <c r="A80" s="1">
        <v>45537</v>
      </c>
      <c r="B80" t="s">
        <v>134</v>
      </c>
      <c r="C80" t="s">
        <v>21</v>
      </c>
      <c r="D80" t="s">
        <v>57</v>
      </c>
      <c r="E80">
        <v>18365.560000000001</v>
      </c>
      <c r="F80" t="s">
        <v>23</v>
      </c>
      <c r="G80">
        <v>24682.67</v>
      </c>
      <c r="H80">
        <v>6317.11</v>
      </c>
      <c r="I80">
        <v>5</v>
      </c>
      <c r="J80">
        <v>1</v>
      </c>
      <c r="K80" t="str">
        <f>TEXT(discount_impact_on_profit_2000_rows[[#This Row],[order date]],"mmmm")</f>
        <v>September</v>
      </c>
      <c r="L80">
        <f>YEAR(discount_impact_on_profit_2000_rows[[#This Row],[order date]])</f>
        <v>2024</v>
      </c>
      <c r="M80" t="str">
        <f>IF(discount_impact_on_profit_2000_rows[[#This Row],[Discount %]]=0,"Zero Discount",IF(discount_impact_on_profit_2000_rows[[#This Row],[Discount %]]&lt;=10,"Low Discount","High Discount"))</f>
        <v>Low Discount</v>
      </c>
      <c r="N80" t="str">
        <f t="shared" si="1"/>
        <v>0-10%</v>
      </c>
    </row>
    <row r="81" spans="1:14">
      <c r="A81" s="1">
        <v>45582</v>
      </c>
      <c r="B81" t="s">
        <v>135</v>
      </c>
      <c r="C81" t="s">
        <v>11</v>
      </c>
      <c r="D81" t="s">
        <v>64</v>
      </c>
      <c r="E81">
        <v>121.06</v>
      </c>
      <c r="F81" t="s">
        <v>31</v>
      </c>
      <c r="G81">
        <v>221.33</v>
      </c>
      <c r="H81">
        <v>100.27</v>
      </c>
      <c r="I81">
        <v>15</v>
      </c>
      <c r="J81">
        <v>1</v>
      </c>
      <c r="K81" t="str">
        <f>TEXT(discount_impact_on_profit_2000_rows[[#This Row],[order date]],"mmmm")</f>
        <v>October</v>
      </c>
      <c r="L81">
        <f>YEAR(discount_impact_on_profit_2000_rows[[#This Row],[order date]])</f>
        <v>2024</v>
      </c>
      <c r="M81" t="str">
        <f>IF(discount_impact_on_profit_2000_rows[[#This Row],[Discount %]]=0,"Zero Discount",IF(discount_impact_on_profit_2000_rows[[#This Row],[Discount %]]&lt;=10,"Low Discount","High Discount"))</f>
        <v>High Discount</v>
      </c>
      <c r="N81" t="str">
        <f t="shared" si="1"/>
        <v>10-20%</v>
      </c>
    </row>
    <row r="82" spans="1:14">
      <c r="A82" s="1">
        <v>45351</v>
      </c>
      <c r="B82" t="s">
        <v>136</v>
      </c>
      <c r="C82" t="s">
        <v>11</v>
      </c>
      <c r="D82" t="s">
        <v>64</v>
      </c>
      <c r="E82">
        <v>18814.95</v>
      </c>
      <c r="F82" t="s">
        <v>31</v>
      </c>
      <c r="G82">
        <v>30466.87</v>
      </c>
      <c r="H82">
        <v>11651.92</v>
      </c>
      <c r="I82">
        <v>5</v>
      </c>
      <c r="J82">
        <v>10</v>
      </c>
      <c r="K82" t="str">
        <f>TEXT(discount_impact_on_profit_2000_rows[[#This Row],[order date]],"mmmm")</f>
        <v>February</v>
      </c>
      <c r="L82">
        <f>YEAR(discount_impact_on_profit_2000_rows[[#This Row],[order date]])</f>
        <v>2024</v>
      </c>
      <c r="M82" t="str">
        <f>IF(discount_impact_on_profit_2000_rows[[#This Row],[Discount %]]=0,"Zero Discount",IF(discount_impact_on_profit_2000_rows[[#This Row],[Discount %]]&lt;=10,"Low Discount","High Discount"))</f>
        <v>Low Discount</v>
      </c>
      <c r="N82" t="str">
        <f t="shared" si="1"/>
        <v>0-10%</v>
      </c>
    </row>
    <row r="83" spans="1:14">
      <c r="A83" s="1">
        <v>45431</v>
      </c>
      <c r="B83" t="s">
        <v>137</v>
      </c>
      <c r="C83" t="s">
        <v>18</v>
      </c>
      <c r="D83" t="s">
        <v>50</v>
      </c>
      <c r="E83">
        <v>385.87</v>
      </c>
      <c r="F83" t="s">
        <v>31</v>
      </c>
      <c r="G83">
        <v>725.39</v>
      </c>
      <c r="H83">
        <v>339.52</v>
      </c>
      <c r="I83">
        <v>20</v>
      </c>
      <c r="J83">
        <v>10</v>
      </c>
      <c r="K83" t="str">
        <f>TEXT(discount_impact_on_profit_2000_rows[[#This Row],[order date]],"mmmm")</f>
        <v>May</v>
      </c>
      <c r="L83">
        <f>YEAR(discount_impact_on_profit_2000_rows[[#This Row],[order date]])</f>
        <v>2024</v>
      </c>
      <c r="M83" t="str">
        <f>IF(discount_impact_on_profit_2000_rows[[#This Row],[Discount %]]=0,"Zero Discount",IF(discount_impact_on_profit_2000_rows[[#This Row],[Discount %]]&lt;=10,"Low Discount","High Discount"))</f>
        <v>High Discount</v>
      </c>
      <c r="N83" t="str">
        <f t="shared" si="1"/>
        <v>10-20%</v>
      </c>
    </row>
    <row r="84" spans="1:14">
      <c r="A84" s="1">
        <v>45699</v>
      </c>
      <c r="B84" t="s">
        <v>138</v>
      </c>
      <c r="C84" t="s">
        <v>15</v>
      </c>
      <c r="D84" t="s">
        <v>84</v>
      </c>
      <c r="E84">
        <v>52721.97</v>
      </c>
      <c r="F84" t="s">
        <v>26</v>
      </c>
      <c r="G84">
        <v>65465.53</v>
      </c>
      <c r="H84">
        <v>12743.56</v>
      </c>
      <c r="I84">
        <v>0</v>
      </c>
      <c r="J84">
        <v>5</v>
      </c>
      <c r="K84" t="str">
        <f>TEXT(discount_impact_on_profit_2000_rows[[#This Row],[order date]],"mmmm")</f>
        <v>February</v>
      </c>
      <c r="L84">
        <f>YEAR(discount_impact_on_profit_2000_rows[[#This Row],[order date]])</f>
        <v>2025</v>
      </c>
      <c r="M84" t="str">
        <f>IF(discount_impact_on_profit_2000_rows[[#This Row],[Discount %]]=0,"Zero Discount",IF(discount_impact_on_profit_2000_rows[[#This Row],[Discount %]]&lt;=10,"Low Discount","High Discount"))</f>
        <v>Zero Discount</v>
      </c>
      <c r="N84" t="str">
        <f t="shared" si="1"/>
        <v>0-10%</v>
      </c>
    </row>
    <row r="85" spans="1:14">
      <c r="A85" s="1">
        <v>45236</v>
      </c>
      <c r="B85" t="s">
        <v>139</v>
      </c>
      <c r="C85" t="s">
        <v>18</v>
      </c>
      <c r="D85" t="s">
        <v>140</v>
      </c>
      <c r="E85">
        <v>1004.76</v>
      </c>
      <c r="F85" t="s">
        <v>23</v>
      </c>
      <c r="G85">
        <v>1951.9</v>
      </c>
      <c r="H85">
        <v>947.14</v>
      </c>
      <c r="I85">
        <v>10</v>
      </c>
      <c r="J85">
        <v>4</v>
      </c>
      <c r="K85" t="str">
        <f>TEXT(discount_impact_on_profit_2000_rows[[#This Row],[order date]],"mmmm")</f>
        <v>November</v>
      </c>
      <c r="L85">
        <f>YEAR(discount_impact_on_profit_2000_rows[[#This Row],[order date]])</f>
        <v>2023</v>
      </c>
      <c r="M85" t="str">
        <f>IF(discount_impact_on_profit_2000_rows[[#This Row],[Discount %]]=0,"Zero Discount",IF(discount_impact_on_profit_2000_rows[[#This Row],[Discount %]]&lt;=10,"Low Discount","High Discount"))</f>
        <v>Low Discount</v>
      </c>
      <c r="N85" t="str">
        <f t="shared" si="1"/>
        <v>0-10%</v>
      </c>
    </row>
    <row r="86" spans="1:14">
      <c r="A86" s="1">
        <v>45177</v>
      </c>
      <c r="B86" t="s">
        <v>141</v>
      </c>
      <c r="C86" t="s">
        <v>33</v>
      </c>
      <c r="D86" t="s">
        <v>34</v>
      </c>
      <c r="E86">
        <v>38378.53</v>
      </c>
      <c r="F86" t="s">
        <v>36</v>
      </c>
      <c r="G86">
        <v>38479.93</v>
      </c>
      <c r="H86">
        <v>101.4</v>
      </c>
      <c r="I86">
        <v>30</v>
      </c>
      <c r="J86">
        <v>2</v>
      </c>
      <c r="K86" t="str">
        <f>TEXT(discount_impact_on_profit_2000_rows[[#This Row],[order date]],"mmmm")</f>
        <v>September</v>
      </c>
      <c r="L86">
        <f>YEAR(discount_impact_on_profit_2000_rows[[#This Row],[order date]])</f>
        <v>2023</v>
      </c>
      <c r="M86" t="str">
        <f>IF(discount_impact_on_profit_2000_rows[[#This Row],[Discount %]]=0,"Zero Discount",IF(discount_impact_on_profit_2000_rows[[#This Row],[Discount %]]&lt;=10,"Low Discount","High Discount"))</f>
        <v>High Discount</v>
      </c>
      <c r="N86" t="str">
        <f t="shared" si="1"/>
        <v>20-30%</v>
      </c>
    </row>
    <row r="87" spans="1:14">
      <c r="A87" s="1">
        <v>45010</v>
      </c>
      <c r="B87" t="s">
        <v>142</v>
      </c>
      <c r="C87" t="s">
        <v>15</v>
      </c>
      <c r="D87" t="s">
        <v>40</v>
      </c>
      <c r="E87">
        <v>34060.730000000003</v>
      </c>
      <c r="F87" t="s">
        <v>36</v>
      </c>
      <c r="G87">
        <v>55393.57</v>
      </c>
      <c r="H87">
        <v>21332.84</v>
      </c>
      <c r="I87">
        <v>0</v>
      </c>
      <c r="J87">
        <v>5</v>
      </c>
      <c r="K87" t="str">
        <f>TEXT(discount_impact_on_profit_2000_rows[[#This Row],[order date]],"mmmm")</f>
        <v>March</v>
      </c>
      <c r="L87">
        <f>YEAR(discount_impact_on_profit_2000_rows[[#This Row],[order date]])</f>
        <v>2023</v>
      </c>
      <c r="M87" t="str">
        <f>IF(discount_impact_on_profit_2000_rows[[#This Row],[Discount %]]=0,"Zero Discount",IF(discount_impact_on_profit_2000_rows[[#This Row],[Discount %]]&lt;=10,"Low Discount","High Discount"))</f>
        <v>Zero Discount</v>
      </c>
      <c r="N87" t="str">
        <f t="shared" si="1"/>
        <v>0-10%</v>
      </c>
    </row>
    <row r="88" spans="1:14">
      <c r="A88" s="1">
        <v>45675</v>
      </c>
      <c r="B88" t="s">
        <v>143</v>
      </c>
      <c r="C88" t="s">
        <v>15</v>
      </c>
      <c r="D88" t="s">
        <v>84</v>
      </c>
      <c r="E88">
        <v>4825.79</v>
      </c>
      <c r="F88" t="s">
        <v>26</v>
      </c>
      <c r="G88">
        <v>5187.95</v>
      </c>
      <c r="H88">
        <v>362.16</v>
      </c>
      <c r="I88">
        <v>15</v>
      </c>
      <c r="J88">
        <v>1</v>
      </c>
      <c r="K88" t="str">
        <f>TEXT(discount_impact_on_profit_2000_rows[[#This Row],[order date]],"mmmm")</f>
        <v>January</v>
      </c>
      <c r="L88">
        <f>YEAR(discount_impact_on_profit_2000_rows[[#This Row],[order date]])</f>
        <v>2025</v>
      </c>
      <c r="M88" t="str">
        <f>IF(discount_impact_on_profit_2000_rows[[#This Row],[Discount %]]=0,"Zero Discount",IF(discount_impact_on_profit_2000_rows[[#This Row],[Discount %]]&lt;=10,"Low Discount","High Discount"))</f>
        <v>High Discount</v>
      </c>
      <c r="N88" t="str">
        <f t="shared" si="1"/>
        <v>10-20%</v>
      </c>
    </row>
    <row r="89" spans="1:14">
      <c r="A89" s="1">
        <v>45012</v>
      </c>
      <c r="B89" t="s">
        <v>144</v>
      </c>
      <c r="C89" t="s">
        <v>53</v>
      </c>
      <c r="D89" t="s">
        <v>113</v>
      </c>
      <c r="E89">
        <v>292.81</v>
      </c>
      <c r="F89" t="s">
        <v>31</v>
      </c>
      <c r="G89">
        <v>473.02</v>
      </c>
      <c r="H89">
        <v>180.21</v>
      </c>
      <c r="I89">
        <v>15</v>
      </c>
      <c r="J89">
        <v>1</v>
      </c>
      <c r="K89" t="str">
        <f>TEXT(discount_impact_on_profit_2000_rows[[#This Row],[order date]],"mmmm")</f>
        <v>March</v>
      </c>
      <c r="L89">
        <f>YEAR(discount_impact_on_profit_2000_rows[[#This Row],[order date]])</f>
        <v>2023</v>
      </c>
      <c r="M89" t="str">
        <f>IF(discount_impact_on_profit_2000_rows[[#This Row],[Discount %]]=0,"Zero Discount",IF(discount_impact_on_profit_2000_rows[[#This Row],[Discount %]]&lt;=10,"Low Discount","High Discount"))</f>
        <v>High Discount</v>
      </c>
      <c r="N89" t="str">
        <f t="shared" si="1"/>
        <v>10-20%</v>
      </c>
    </row>
    <row r="90" spans="1:14">
      <c r="A90" s="1">
        <v>45288</v>
      </c>
      <c r="B90" t="s">
        <v>145</v>
      </c>
      <c r="C90" t="s">
        <v>33</v>
      </c>
      <c r="D90" t="s">
        <v>34</v>
      </c>
      <c r="E90">
        <v>3352.78</v>
      </c>
      <c r="F90" t="s">
        <v>26</v>
      </c>
      <c r="G90">
        <v>4862.8</v>
      </c>
      <c r="H90">
        <v>1510.02</v>
      </c>
      <c r="I90">
        <v>0</v>
      </c>
      <c r="J90">
        <v>1</v>
      </c>
      <c r="K90" t="str">
        <f>TEXT(discount_impact_on_profit_2000_rows[[#This Row],[order date]],"mmmm")</f>
        <v>December</v>
      </c>
      <c r="L90">
        <f>YEAR(discount_impact_on_profit_2000_rows[[#This Row],[order date]])</f>
        <v>2023</v>
      </c>
      <c r="M90" t="str">
        <f>IF(discount_impact_on_profit_2000_rows[[#This Row],[Discount %]]=0,"Zero Discount",IF(discount_impact_on_profit_2000_rows[[#This Row],[Discount %]]&lt;=10,"Low Discount","High Discount"))</f>
        <v>Zero Discount</v>
      </c>
      <c r="N90" t="str">
        <f t="shared" si="1"/>
        <v>0-10%</v>
      </c>
    </row>
    <row r="91" spans="1:14">
      <c r="A91" s="1">
        <v>45481</v>
      </c>
      <c r="B91" t="s">
        <v>146</v>
      </c>
      <c r="C91" t="s">
        <v>21</v>
      </c>
      <c r="D91" t="s">
        <v>109</v>
      </c>
      <c r="E91">
        <v>26187.35</v>
      </c>
      <c r="F91" t="s">
        <v>36</v>
      </c>
      <c r="G91">
        <v>27197.58</v>
      </c>
      <c r="H91">
        <v>1010.23</v>
      </c>
      <c r="I91">
        <v>15</v>
      </c>
      <c r="J91">
        <v>5</v>
      </c>
      <c r="K91" t="str">
        <f>TEXT(discount_impact_on_profit_2000_rows[[#This Row],[order date]],"mmmm")</f>
        <v>July</v>
      </c>
      <c r="L91">
        <f>YEAR(discount_impact_on_profit_2000_rows[[#This Row],[order date]])</f>
        <v>2024</v>
      </c>
      <c r="M91" t="str">
        <f>IF(discount_impact_on_profit_2000_rows[[#This Row],[Discount %]]=0,"Zero Discount",IF(discount_impact_on_profit_2000_rows[[#This Row],[Discount %]]&lt;=10,"Low Discount","High Discount"))</f>
        <v>High Discount</v>
      </c>
      <c r="N91" t="str">
        <f t="shared" si="1"/>
        <v>10-20%</v>
      </c>
    </row>
    <row r="92" spans="1:14">
      <c r="A92" s="1">
        <v>45067</v>
      </c>
      <c r="B92" t="s">
        <v>147</v>
      </c>
      <c r="C92" t="s">
        <v>21</v>
      </c>
      <c r="D92" t="s">
        <v>97</v>
      </c>
      <c r="E92">
        <v>97379.28</v>
      </c>
      <c r="F92" t="s">
        <v>13</v>
      </c>
      <c r="G92">
        <v>100300.66</v>
      </c>
      <c r="H92">
        <v>2921.38</v>
      </c>
      <c r="I92">
        <v>15</v>
      </c>
      <c r="J92">
        <v>4</v>
      </c>
      <c r="K92" t="str">
        <f>TEXT(discount_impact_on_profit_2000_rows[[#This Row],[order date]],"mmmm")</f>
        <v>May</v>
      </c>
      <c r="L92">
        <f>YEAR(discount_impact_on_profit_2000_rows[[#This Row],[order date]])</f>
        <v>2023</v>
      </c>
      <c r="M92" t="str">
        <f>IF(discount_impact_on_profit_2000_rows[[#This Row],[Discount %]]=0,"Zero Discount",IF(discount_impact_on_profit_2000_rows[[#This Row],[Discount %]]&lt;=10,"Low Discount","High Discount"))</f>
        <v>High Discount</v>
      </c>
      <c r="N92" t="str">
        <f t="shared" si="1"/>
        <v>10-20%</v>
      </c>
    </row>
    <row r="93" spans="1:14">
      <c r="A93" s="1">
        <v>45495</v>
      </c>
      <c r="B93" t="s">
        <v>148</v>
      </c>
      <c r="C93" t="s">
        <v>18</v>
      </c>
      <c r="D93" t="s">
        <v>42</v>
      </c>
      <c r="E93">
        <v>435.44</v>
      </c>
      <c r="F93" t="s">
        <v>13</v>
      </c>
      <c r="G93">
        <v>971.85</v>
      </c>
      <c r="H93">
        <v>536.41</v>
      </c>
      <c r="I93">
        <v>0</v>
      </c>
      <c r="J93">
        <v>10</v>
      </c>
      <c r="K93" t="str">
        <f>TEXT(discount_impact_on_profit_2000_rows[[#This Row],[order date]],"mmmm")</f>
        <v>July</v>
      </c>
      <c r="L93">
        <f>YEAR(discount_impact_on_profit_2000_rows[[#This Row],[order date]])</f>
        <v>2024</v>
      </c>
      <c r="M93" t="str">
        <f>IF(discount_impact_on_profit_2000_rows[[#This Row],[Discount %]]=0,"Zero Discount",IF(discount_impact_on_profit_2000_rows[[#This Row],[Discount %]]&lt;=10,"Low Discount","High Discount"))</f>
        <v>Zero Discount</v>
      </c>
      <c r="N93" t="str">
        <f t="shared" si="1"/>
        <v>0-10%</v>
      </c>
    </row>
    <row r="94" spans="1:14">
      <c r="A94" s="1">
        <v>45756</v>
      </c>
      <c r="B94" t="s">
        <v>149</v>
      </c>
      <c r="C94" t="s">
        <v>18</v>
      </c>
      <c r="D94" t="s">
        <v>140</v>
      </c>
      <c r="E94">
        <v>262.89</v>
      </c>
      <c r="F94" t="s">
        <v>36</v>
      </c>
      <c r="G94">
        <v>347.43</v>
      </c>
      <c r="H94">
        <v>84.54</v>
      </c>
      <c r="I94">
        <v>10</v>
      </c>
      <c r="J94">
        <v>1</v>
      </c>
      <c r="K94" t="str">
        <f>TEXT(discount_impact_on_profit_2000_rows[[#This Row],[order date]],"mmmm")</f>
        <v>April</v>
      </c>
      <c r="L94">
        <f>YEAR(discount_impact_on_profit_2000_rows[[#This Row],[order date]])</f>
        <v>2025</v>
      </c>
      <c r="M94" t="str">
        <f>IF(discount_impact_on_profit_2000_rows[[#This Row],[Discount %]]=0,"Zero Discount",IF(discount_impact_on_profit_2000_rows[[#This Row],[Discount %]]&lt;=10,"Low Discount","High Discount"))</f>
        <v>Low Discount</v>
      </c>
      <c r="N94" t="str">
        <f t="shared" si="1"/>
        <v>0-10%</v>
      </c>
    </row>
    <row r="95" spans="1:14">
      <c r="A95" s="1">
        <v>45166</v>
      </c>
      <c r="B95" t="s">
        <v>150</v>
      </c>
      <c r="C95" t="s">
        <v>15</v>
      </c>
      <c r="D95" t="s">
        <v>86</v>
      </c>
      <c r="E95">
        <v>7933.35</v>
      </c>
      <c r="F95" t="s">
        <v>36</v>
      </c>
      <c r="G95">
        <v>10048.93</v>
      </c>
      <c r="H95">
        <v>2115.58</v>
      </c>
      <c r="I95">
        <v>15</v>
      </c>
      <c r="J95">
        <v>3</v>
      </c>
      <c r="K95" t="str">
        <f>TEXT(discount_impact_on_profit_2000_rows[[#This Row],[order date]],"mmmm")</f>
        <v>August</v>
      </c>
      <c r="L95">
        <f>YEAR(discount_impact_on_profit_2000_rows[[#This Row],[order date]])</f>
        <v>2023</v>
      </c>
      <c r="M95" t="str">
        <f>IF(discount_impact_on_profit_2000_rows[[#This Row],[Discount %]]=0,"Zero Discount",IF(discount_impact_on_profit_2000_rows[[#This Row],[Discount %]]&lt;=10,"Low Discount","High Discount"))</f>
        <v>High Discount</v>
      </c>
      <c r="N95" t="str">
        <f t="shared" si="1"/>
        <v>10-20%</v>
      </c>
    </row>
    <row r="96" spans="1:14">
      <c r="A96" s="1">
        <v>45980</v>
      </c>
      <c r="B96" t="s">
        <v>151</v>
      </c>
      <c r="C96" t="s">
        <v>53</v>
      </c>
      <c r="D96" t="s">
        <v>152</v>
      </c>
      <c r="E96">
        <v>2769.13</v>
      </c>
      <c r="F96" t="s">
        <v>26</v>
      </c>
      <c r="G96">
        <v>4207.46</v>
      </c>
      <c r="H96">
        <v>1438.33</v>
      </c>
      <c r="I96">
        <v>10</v>
      </c>
      <c r="J96">
        <v>2</v>
      </c>
      <c r="K96" t="str">
        <f>TEXT(discount_impact_on_profit_2000_rows[[#This Row],[order date]],"mmmm")</f>
        <v>November</v>
      </c>
      <c r="L96">
        <f>YEAR(discount_impact_on_profit_2000_rows[[#This Row],[order date]])</f>
        <v>2025</v>
      </c>
      <c r="M96" t="str">
        <f>IF(discount_impact_on_profit_2000_rows[[#This Row],[Discount %]]=0,"Zero Discount",IF(discount_impact_on_profit_2000_rows[[#This Row],[Discount %]]&lt;=10,"Low Discount","High Discount"))</f>
        <v>Low Discount</v>
      </c>
      <c r="N96" t="str">
        <f t="shared" si="1"/>
        <v>0-10%</v>
      </c>
    </row>
    <row r="97" spans="1:14">
      <c r="A97" s="1">
        <v>45714</v>
      </c>
      <c r="B97" t="s">
        <v>153</v>
      </c>
      <c r="C97" t="s">
        <v>21</v>
      </c>
      <c r="D97" t="s">
        <v>154</v>
      </c>
      <c r="E97">
        <v>3581.74</v>
      </c>
      <c r="F97" t="s">
        <v>36</v>
      </c>
      <c r="G97">
        <v>4500.33</v>
      </c>
      <c r="H97">
        <v>918.59</v>
      </c>
      <c r="I97">
        <v>5</v>
      </c>
      <c r="J97">
        <v>1</v>
      </c>
      <c r="K97" t="str">
        <f>TEXT(discount_impact_on_profit_2000_rows[[#This Row],[order date]],"mmmm")</f>
        <v>February</v>
      </c>
      <c r="L97">
        <f>YEAR(discount_impact_on_profit_2000_rows[[#This Row],[order date]])</f>
        <v>2025</v>
      </c>
      <c r="M97" t="str">
        <f>IF(discount_impact_on_profit_2000_rows[[#This Row],[Discount %]]=0,"Zero Discount",IF(discount_impact_on_profit_2000_rows[[#This Row],[Discount %]]&lt;=10,"Low Discount","High Discount"))</f>
        <v>Low Discount</v>
      </c>
      <c r="N97" t="str">
        <f t="shared" si="1"/>
        <v>0-10%</v>
      </c>
    </row>
    <row r="98" spans="1:14">
      <c r="A98" s="1">
        <v>45688</v>
      </c>
      <c r="B98" t="s">
        <v>155</v>
      </c>
      <c r="C98" t="s">
        <v>11</v>
      </c>
      <c r="D98" t="s">
        <v>38</v>
      </c>
      <c r="E98">
        <v>1116.7</v>
      </c>
      <c r="F98" t="s">
        <v>13</v>
      </c>
      <c r="G98">
        <v>1461.39</v>
      </c>
      <c r="H98">
        <v>344.69</v>
      </c>
      <c r="I98">
        <v>15</v>
      </c>
      <c r="J98">
        <v>4</v>
      </c>
      <c r="K98" t="str">
        <f>TEXT(discount_impact_on_profit_2000_rows[[#This Row],[order date]],"mmmm")</f>
        <v>January</v>
      </c>
      <c r="L98">
        <f>YEAR(discount_impact_on_profit_2000_rows[[#This Row],[order date]])</f>
        <v>2025</v>
      </c>
      <c r="M98" t="str">
        <f>IF(discount_impact_on_profit_2000_rows[[#This Row],[Discount %]]=0,"Zero Discount",IF(discount_impact_on_profit_2000_rows[[#This Row],[Discount %]]&lt;=10,"Low Discount","High Discount"))</f>
        <v>High Discount</v>
      </c>
      <c r="N98" t="str">
        <f t="shared" si="1"/>
        <v>10-20%</v>
      </c>
    </row>
    <row r="99" spans="1:14">
      <c r="A99" s="1">
        <v>45327</v>
      </c>
      <c r="B99" t="s">
        <v>156</v>
      </c>
      <c r="C99" t="s">
        <v>18</v>
      </c>
      <c r="D99" t="s">
        <v>50</v>
      </c>
      <c r="E99">
        <v>347.36</v>
      </c>
      <c r="F99" t="s">
        <v>13</v>
      </c>
      <c r="G99">
        <v>523.63</v>
      </c>
      <c r="H99">
        <v>176.27</v>
      </c>
      <c r="I99">
        <v>10</v>
      </c>
      <c r="J99">
        <v>1</v>
      </c>
      <c r="K99" t="str">
        <f>TEXT(discount_impact_on_profit_2000_rows[[#This Row],[order date]],"mmmm")</f>
        <v>February</v>
      </c>
      <c r="L99">
        <f>YEAR(discount_impact_on_profit_2000_rows[[#This Row],[order date]])</f>
        <v>2024</v>
      </c>
      <c r="M99" t="str">
        <f>IF(discount_impact_on_profit_2000_rows[[#This Row],[Discount %]]=0,"Zero Discount",IF(discount_impact_on_profit_2000_rows[[#This Row],[Discount %]]&lt;=10,"Low Discount","High Discount"))</f>
        <v>Low Discount</v>
      </c>
      <c r="N99" t="str">
        <f t="shared" si="1"/>
        <v>0-10%</v>
      </c>
    </row>
    <row r="100" spans="1:14">
      <c r="A100" s="1">
        <v>45583</v>
      </c>
      <c r="B100" t="s">
        <v>157</v>
      </c>
      <c r="C100" t="s">
        <v>21</v>
      </c>
      <c r="D100" t="s">
        <v>46</v>
      </c>
      <c r="E100">
        <v>40413.629999999997</v>
      </c>
      <c r="F100" t="s">
        <v>36</v>
      </c>
      <c r="G100">
        <v>44362.2</v>
      </c>
      <c r="H100">
        <v>3948.57</v>
      </c>
      <c r="I100">
        <v>10</v>
      </c>
      <c r="J100">
        <v>4</v>
      </c>
      <c r="K100" t="str">
        <f>TEXT(discount_impact_on_profit_2000_rows[[#This Row],[order date]],"mmmm")</f>
        <v>October</v>
      </c>
      <c r="L100">
        <f>YEAR(discount_impact_on_profit_2000_rows[[#This Row],[order date]])</f>
        <v>2024</v>
      </c>
      <c r="M100" t="str">
        <f>IF(discount_impact_on_profit_2000_rows[[#This Row],[Discount %]]=0,"Zero Discount",IF(discount_impact_on_profit_2000_rows[[#This Row],[Discount %]]&lt;=10,"Low Discount","High Discount"))</f>
        <v>Low Discount</v>
      </c>
      <c r="N100" t="str">
        <f t="shared" si="1"/>
        <v>0-10%</v>
      </c>
    </row>
    <row r="101" spans="1:14">
      <c r="A101" s="1">
        <v>45772</v>
      </c>
      <c r="B101" t="s">
        <v>158</v>
      </c>
      <c r="C101" t="s">
        <v>11</v>
      </c>
      <c r="D101" t="s">
        <v>38</v>
      </c>
      <c r="E101">
        <v>3820</v>
      </c>
      <c r="F101" t="s">
        <v>26</v>
      </c>
      <c r="G101">
        <v>4788.68</v>
      </c>
      <c r="H101">
        <v>968.68</v>
      </c>
      <c r="I101">
        <v>30</v>
      </c>
      <c r="J101">
        <v>4</v>
      </c>
      <c r="K101" t="str">
        <f>TEXT(discount_impact_on_profit_2000_rows[[#This Row],[order date]],"mmmm")</f>
        <v>April</v>
      </c>
      <c r="L101">
        <f>YEAR(discount_impact_on_profit_2000_rows[[#This Row],[order date]])</f>
        <v>2025</v>
      </c>
      <c r="M101" t="str">
        <f>IF(discount_impact_on_profit_2000_rows[[#This Row],[Discount %]]=0,"Zero Discount",IF(discount_impact_on_profit_2000_rows[[#This Row],[Discount %]]&lt;=10,"Low Discount","High Discount"))</f>
        <v>High Discount</v>
      </c>
      <c r="N101" t="str">
        <f t="shared" si="1"/>
        <v>20-30%</v>
      </c>
    </row>
    <row r="102" spans="1:14">
      <c r="A102" s="1">
        <v>45262</v>
      </c>
      <c r="B102" t="s">
        <v>159</v>
      </c>
      <c r="C102" t="s">
        <v>15</v>
      </c>
      <c r="D102" t="s">
        <v>28</v>
      </c>
      <c r="E102">
        <v>29381.39</v>
      </c>
      <c r="F102" t="s">
        <v>36</v>
      </c>
      <c r="G102">
        <v>41449.08</v>
      </c>
      <c r="H102">
        <v>12067.69</v>
      </c>
      <c r="I102">
        <v>0</v>
      </c>
      <c r="J102">
        <v>3</v>
      </c>
      <c r="K102" t="str">
        <f>TEXT(discount_impact_on_profit_2000_rows[[#This Row],[order date]],"mmmm")</f>
        <v>December</v>
      </c>
      <c r="L102">
        <f>YEAR(discount_impact_on_profit_2000_rows[[#This Row],[order date]])</f>
        <v>2023</v>
      </c>
      <c r="M102" t="str">
        <f>IF(discount_impact_on_profit_2000_rows[[#This Row],[Discount %]]=0,"Zero Discount",IF(discount_impact_on_profit_2000_rows[[#This Row],[Discount %]]&lt;=10,"Low Discount","High Discount"))</f>
        <v>Zero Discount</v>
      </c>
      <c r="N102" t="str">
        <f t="shared" si="1"/>
        <v>0-10%</v>
      </c>
    </row>
    <row r="103" spans="1:14">
      <c r="A103" s="1">
        <v>44938</v>
      </c>
      <c r="B103" t="s">
        <v>160</v>
      </c>
      <c r="C103" t="s">
        <v>18</v>
      </c>
      <c r="D103" t="s">
        <v>104</v>
      </c>
      <c r="E103">
        <v>44.39</v>
      </c>
      <c r="F103" t="s">
        <v>23</v>
      </c>
      <c r="G103">
        <v>98.04</v>
      </c>
      <c r="H103">
        <v>53.65</v>
      </c>
      <c r="I103">
        <v>5</v>
      </c>
      <c r="J103">
        <v>1</v>
      </c>
      <c r="K103" t="str">
        <f>TEXT(discount_impact_on_profit_2000_rows[[#This Row],[order date]],"mmmm")</f>
        <v>January</v>
      </c>
      <c r="L103">
        <f>YEAR(discount_impact_on_profit_2000_rows[[#This Row],[order date]])</f>
        <v>2023</v>
      </c>
      <c r="M103" t="str">
        <f>IF(discount_impact_on_profit_2000_rows[[#This Row],[Discount %]]=0,"Zero Discount",IF(discount_impact_on_profit_2000_rows[[#This Row],[Discount %]]&lt;=10,"Low Discount","High Discount"))</f>
        <v>Low Discount</v>
      </c>
      <c r="N103" t="str">
        <f t="shared" si="1"/>
        <v>0-10%</v>
      </c>
    </row>
    <row r="104" spans="1:14">
      <c r="A104" s="1">
        <v>45222</v>
      </c>
      <c r="B104" t="s">
        <v>161</v>
      </c>
      <c r="C104" t="s">
        <v>18</v>
      </c>
      <c r="D104" t="s">
        <v>19</v>
      </c>
      <c r="E104">
        <v>479.84</v>
      </c>
      <c r="F104" t="s">
        <v>26</v>
      </c>
      <c r="G104">
        <v>921.38</v>
      </c>
      <c r="H104">
        <v>441.54</v>
      </c>
      <c r="I104">
        <v>0</v>
      </c>
      <c r="J104">
        <v>6</v>
      </c>
      <c r="K104" t="str">
        <f>TEXT(discount_impact_on_profit_2000_rows[[#This Row],[order date]],"mmmm")</f>
        <v>October</v>
      </c>
      <c r="L104">
        <f>YEAR(discount_impact_on_profit_2000_rows[[#This Row],[order date]])</f>
        <v>2023</v>
      </c>
      <c r="M104" t="str">
        <f>IF(discount_impact_on_profit_2000_rows[[#This Row],[Discount %]]=0,"Zero Discount",IF(discount_impact_on_profit_2000_rows[[#This Row],[Discount %]]&lt;=10,"Low Discount","High Discount"))</f>
        <v>Zero Discount</v>
      </c>
      <c r="N104" t="str">
        <f t="shared" si="1"/>
        <v>0-10%</v>
      </c>
    </row>
    <row r="105" spans="1:14">
      <c r="A105" s="1">
        <v>45202</v>
      </c>
      <c r="B105" t="s">
        <v>162</v>
      </c>
      <c r="C105" t="s">
        <v>21</v>
      </c>
      <c r="D105" t="s">
        <v>123</v>
      </c>
      <c r="E105">
        <v>9371.23</v>
      </c>
      <c r="F105" t="s">
        <v>31</v>
      </c>
      <c r="G105">
        <v>11976.54</v>
      </c>
      <c r="H105">
        <v>2605.31</v>
      </c>
      <c r="I105">
        <v>10</v>
      </c>
      <c r="J105">
        <v>1</v>
      </c>
      <c r="K105" t="str">
        <f>TEXT(discount_impact_on_profit_2000_rows[[#This Row],[order date]],"mmmm")</f>
        <v>October</v>
      </c>
      <c r="L105">
        <f>YEAR(discount_impact_on_profit_2000_rows[[#This Row],[order date]])</f>
        <v>2023</v>
      </c>
      <c r="M105" t="str">
        <f>IF(discount_impact_on_profit_2000_rows[[#This Row],[Discount %]]=0,"Zero Discount",IF(discount_impact_on_profit_2000_rows[[#This Row],[Discount %]]&lt;=10,"Low Discount","High Discount"))</f>
        <v>Low Discount</v>
      </c>
      <c r="N105" t="str">
        <f t="shared" si="1"/>
        <v>0-10%</v>
      </c>
    </row>
    <row r="106" spans="1:14">
      <c r="A106" s="1">
        <v>45908</v>
      </c>
      <c r="B106" t="s">
        <v>163</v>
      </c>
      <c r="C106" t="s">
        <v>11</v>
      </c>
      <c r="D106" t="s">
        <v>25</v>
      </c>
      <c r="E106">
        <v>2156.25</v>
      </c>
      <c r="F106" t="s">
        <v>26</v>
      </c>
      <c r="G106">
        <v>5135.74</v>
      </c>
      <c r="H106">
        <v>2979.49</v>
      </c>
      <c r="I106">
        <v>0</v>
      </c>
      <c r="J106">
        <v>1</v>
      </c>
      <c r="K106" t="str">
        <f>TEXT(discount_impact_on_profit_2000_rows[[#This Row],[order date]],"mmmm")</f>
        <v>September</v>
      </c>
      <c r="L106">
        <f>YEAR(discount_impact_on_profit_2000_rows[[#This Row],[order date]])</f>
        <v>2025</v>
      </c>
      <c r="M106" t="str">
        <f>IF(discount_impact_on_profit_2000_rows[[#This Row],[Discount %]]=0,"Zero Discount",IF(discount_impact_on_profit_2000_rows[[#This Row],[Discount %]]&lt;=10,"Low Discount","High Discount"))</f>
        <v>Zero Discount</v>
      </c>
      <c r="N106" t="str">
        <f t="shared" si="1"/>
        <v>0-10%</v>
      </c>
    </row>
    <row r="107" spans="1:14">
      <c r="A107" s="1">
        <v>45055</v>
      </c>
      <c r="B107" t="s">
        <v>164</v>
      </c>
      <c r="C107" t="s">
        <v>15</v>
      </c>
      <c r="D107" t="s">
        <v>84</v>
      </c>
      <c r="E107">
        <v>8754.18</v>
      </c>
      <c r="F107" t="s">
        <v>26</v>
      </c>
      <c r="G107">
        <v>12705.65</v>
      </c>
      <c r="H107">
        <v>3951.47</v>
      </c>
      <c r="I107">
        <v>5</v>
      </c>
      <c r="J107">
        <v>6</v>
      </c>
      <c r="K107" t="str">
        <f>TEXT(discount_impact_on_profit_2000_rows[[#This Row],[order date]],"mmmm")</f>
        <v>May</v>
      </c>
      <c r="L107">
        <f>YEAR(discount_impact_on_profit_2000_rows[[#This Row],[order date]])</f>
        <v>2023</v>
      </c>
      <c r="M107" t="str">
        <f>IF(discount_impact_on_profit_2000_rows[[#This Row],[Discount %]]=0,"Zero Discount",IF(discount_impact_on_profit_2000_rows[[#This Row],[Discount %]]&lt;=10,"Low Discount","High Discount"))</f>
        <v>Low Discount</v>
      </c>
      <c r="N107" t="str">
        <f t="shared" si="1"/>
        <v>0-10%</v>
      </c>
    </row>
    <row r="108" spans="1:14">
      <c r="A108" s="1">
        <v>45044</v>
      </c>
      <c r="B108" t="s">
        <v>165</v>
      </c>
      <c r="C108" t="s">
        <v>15</v>
      </c>
      <c r="D108" t="s">
        <v>76</v>
      </c>
      <c r="E108">
        <v>2032.33</v>
      </c>
      <c r="F108" t="s">
        <v>36</v>
      </c>
      <c r="G108">
        <v>2539.91</v>
      </c>
      <c r="H108">
        <v>507.58</v>
      </c>
      <c r="I108">
        <v>0</v>
      </c>
      <c r="J108">
        <v>2</v>
      </c>
      <c r="K108" t="str">
        <f>TEXT(discount_impact_on_profit_2000_rows[[#This Row],[order date]],"mmmm")</f>
        <v>April</v>
      </c>
      <c r="L108">
        <f>YEAR(discount_impact_on_profit_2000_rows[[#This Row],[order date]])</f>
        <v>2023</v>
      </c>
      <c r="M108" t="str">
        <f>IF(discount_impact_on_profit_2000_rows[[#This Row],[Discount %]]=0,"Zero Discount",IF(discount_impact_on_profit_2000_rows[[#This Row],[Discount %]]&lt;=10,"Low Discount","High Discount"))</f>
        <v>Zero Discount</v>
      </c>
      <c r="N108" t="str">
        <f t="shared" si="1"/>
        <v>0-10%</v>
      </c>
    </row>
    <row r="109" spans="1:14">
      <c r="A109" s="1">
        <v>45322</v>
      </c>
      <c r="B109" t="s">
        <v>166</v>
      </c>
      <c r="C109" t="s">
        <v>53</v>
      </c>
      <c r="D109" t="s">
        <v>78</v>
      </c>
      <c r="E109">
        <v>229.06</v>
      </c>
      <c r="F109" t="s">
        <v>23</v>
      </c>
      <c r="G109">
        <v>472.33</v>
      </c>
      <c r="H109">
        <v>243.27</v>
      </c>
      <c r="I109">
        <v>0</v>
      </c>
      <c r="J109">
        <v>1</v>
      </c>
      <c r="K109" t="str">
        <f>TEXT(discount_impact_on_profit_2000_rows[[#This Row],[order date]],"mmmm")</f>
        <v>January</v>
      </c>
      <c r="L109">
        <f>YEAR(discount_impact_on_profit_2000_rows[[#This Row],[order date]])</f>
        <v>2024</v>
      </c>
      <c r="M109" t="str">
        <f>IF(discount_impact_on_profit_2000_rows[[#This Row],[Discount %]]=0,"Zero Discount",IF(discount_impact_on_profit_2000_rows[[#This Row],[Discount %]]&lt;=10,"Low Discount","High Discount"))</f>
        <v>Zero Discount</v>
      </c>
      <c r="N109" t="str">
        <f t="shared" si="1"/>
        <v>0-10%</v>
      </c>
    </row>
    <row r="110" spans="1:14">
      <c r="A110" s="1">
        <v>45836</v>
      </c>
      <c r="B110" t="s">
        <v>167</v>
      </c>
      <c r="C110" t="s">
        <v>15</v>
      </c>
      <c r="D110" t="s">
        <v>99</v>
      </c>
      <c r="E110">
        <v>11912.57</v>
      </c>
      <c r="F110" t="s">
        <v>36</v>
      </c>
      <c r="G110">
        <v>12380.92</v>
      </c>
      <c r="H110">
        <v>468.35</v>
      </c>
      <c r="I110">
        <v>30</v>
      </c>
      <c r="J110">
        <v>6</v>
      </c>
      <c r="K110" t="str">
        <f>TEXT(discount_impact_on_profit_2000_rows[[#This Row],[order date]],"mmmm")</f>
        <v>June</v>
      </c>
      <c r="L110">
        <f>YEAR(discount_impact_on_profit_2000_rows[[#This Row],[order date]])</f>
        <v>2025</v>
      </c>
      <c r="M110" t="str">
        <f>IF(discount_impact_on_profit_2000_rows[[#This Row],[Discount %]]=0,"Zero Discount",IF(discount_impact_on_profit_2000_rows[[#This Row],[Discount %]]&lt;=10,"Low Discount","High Discount"))</f>
        <v>High Discount</v>
      </c>
      <c r="N110" t="str">
        <f t="shared" si="1"/>
        <v>20-30%</v>
      </c>
    </row>
    <row r="111" spans="1:14">
      <c r="A111" s="1">
        <v>45587</v>
      </c>
      <c r="B111" t="s">
        <v>168</v>
      </c>
      <c r="C111" t="s">
        <v>53</v>
      </c>
      <c r="D111" t="s">
        <v>70</v>
      </c>
      <c r="E111">
        <v>1088.93</v>
      </c>
      <c r="F111" t="s">
        <v>31</v>
      </c>
      <c r="G111">
        <v>2470.6799999999998</v>
      </c>
      <c r="H111">
        <v>1381.75</v>
      </c>
      <c r="I111">
        <v>0</v>
      </c>
      <c r="J111">
        <v>2</v>
      </c>
      <c r="K111" t="str">
        <f>TEXT(discount_impact_on_profit_2000_rows[[#This Row],[order date]],"mmmm")</f>
        <v>October</v>
      </c>
      <c r="L111">
        <f>YEAR(discount_impact_on_profit_2000_rows[[#This Row],[order date]])</f>
        <v>2024</v>
      </c>
      <c r="M111" t="str">
        <f>IF(discount_impact_on_profit_2000_rows[[#This Row],[Discount %]]=0,"Zero Discount",IF(discount_impact_on_profit_2000_rows[[#This Row],[Discount %]]&lt;=10,"Low Discount","High Discount"))</f>
        <v>Zero Discount</v>
      </c>
      <c r="N111" t="str">
        <f t="shared" si="1"/>
        <v>0-10%</v>
      </c>
    </row>
    <row r="112" spans="1:14">
      <c r="A112" s="1">
        <v>44989</v>
      </c>
      <c r="B112" t="s">
        <v>169</v>
      </c>
      <c r="C112" t="s">
        <v>53</v>
      </c>
      <c r="D112" t="s">
        <v>95</v>
      </c>
      <c r="E112">
        <v>7054.77</v>
      </c>
      <c r="F112" t="s">
        <v>36</v>
      </c>
      <c r="G112">
        <v>12528.11</v>
      </c>
      <c r="H112">
        <v>5473.34</v>
      </c>
      <c r="I112">
        <v>10</v>
      </c>
      <c r="J112">
        <v>4</v>
      </c>
      <c r="K112" t="str">
        <f>TEXT(discount_impact_on_profit_2000_rows[[#This Row],[order date]],"mmmm")</f>
        <v>March</v>
      </c>
      <c r="L112">
        <f>YEAR(discount_impact_on_profit_2000_rows[[#This Row],[order date]])</f>
        <v>2023</v>
      </c>
      <c r="M112" t="str">
        <f>IF(discount_impact_on_profit_2000_rows[[#This Row],[Discount %]]=0,"Zero Discount",IF(discount_impact_on_profit_2000_rows[[#This Row],[Discount %]]&lt;=10,"Low Discount","High Discount"))</f>
        <v>Low Discount</v>
      </c>
      <c r="N112" t="str">
        <f t="shared" si="1"/>
        <v>0-10%</v>
      </c>
    </row>
    <row r="113" spans="1:14">
      <c r="A113" s="1">
        <v>45813</v>
      </c>
      <c r="B113" t="s">
        <v>170</v>
      </c>
      <c r="C113" t="s">
        <v>15</v>
      </c>
      <c r="D113" t="s">
        <v>28</v>
      </c>
      <c r="E113">
        <v>6470.95</v>
      </c>
      <c r="F113" t="s">
        <v>13</v>
      </c>
      <c r="G113">
        <v>10394.959999999999</v>
      </c>
      <c r="H113">
        <v>3924.01</v>
      </c>
      <c r="I113">
        <v>0</v>
      </c>
      <c r="J113">
        <v>2</v>
      </c>
      <c r="K113" t="str">
        <f>TEXT(discount_impact_on_profit_2000_rows[[#This Row],[order date]],"mmmm")</f>
        <v>June</v>
      </c>
      <c r="L113">
        <f>YEAR(discount_impact_on_profit_2000_rows[[#This Row],[order date]])</f>
        <v>2025</v>
      </c>
      <c r="M113" t="str">
        <f>IF(discount_impact_on_profit_2000_rows[[#This Row],[Discount %]]=0,"Zero Discount",IF(discount_impact_on_profit_2000_rows[[#This Row],[Discount %]]&lt;=10,"Low Discount","High Discount"))</f>
        <v>Zero Discount</v>
      </c>
      <c r="N113" t="str">
        <f t="shared" si="1"/>
        <v>0-10%</v>
      </c>
    </row>
    <row r="114" spans="1:14">
      <c r="A114" s="1">
        <v>45010</v>
      </c>
      <c r="B114" t="s">
        <v>171</v>
      </c>
      <c r="C114" t="s">
        <v>11</v>
      </c>
      <c r="D114" t="s">
        <v>64</v>
      </c>
      <c r="E114">
        <v>1467.19</v>
      </c>
      <c r="F114" t="s">
        <v>36</v>
      </c>
      <c r="G114">
        <v>2943.4</v>
      </c>
      <c r="H114">
        <v>1476.21</v>
      </c>
      <c r="I114">
        <v>5</v>
      </c>
      <c r="J114">
        <v>2</v>
      </c>
      <c r="K114" t="str">
        <f>TEXT(discount_impact_on_profit_2000_rows[[#This Row],[order date]],"mmmm")</f>
        <v>March</v>
      </c>
      <c r="L114">
        <f>YEAR(discount_impact_on_profit_2000_rows[[#This Row],[order date]])</f>
        <v>2023</v>
      </c>
      <c r="M114" t="str">
        <f>IF(discount_impact_on_profit_2000_rows[[#This Row],[Discount %]]=0,"Zero Discount",IF(discount_impact_on_profit_2000_rows[[#This Row],[Discount %]]&lt;=10,"Low Discount","High Discount"))</f>
        <v>Low Discount</v>
      </c>
      <c r="N114" t="str">
        <f t="shared" si="1"/>
        <v>0-10%</v>
      </c>
    </row>
    <row r="115" spans="1:14">
      <c r="A115" s="1">
        <v>45949</v>
      </c>
      <c r="B115" t="s">
        <v>172</v>
      </c>
      <c r="C115" t="s">
        <v>33</v>
      </c>
      <c r="D115" t="s">
        <v>34</v>
      </c>
      <c r="E115">
        <v>29416.41</v>
      </c>
      <c r="F115" t="s">
        <v>26</v>
      </c>
      <c r="G115">
        <v>33831.699999999997</v>
      </c>
      <c r="H115">
        <v>4415.29</v>
      </c>
      <c r="I115">
        <v>15</v>
      </c>
      <c r="J115">
        <v>4</v>
      </c>
      <c r="K115" t="str">
        <f>TEXT(discount_impact_on_profit_2000_rows[[#This Row],[order date]],"mmmm")</f>
        <v>October</v>
      </c>
      <c r="L115">
        <f>YEAR(discount_impact_on_profit_2000_rows[[#This Row],[order date]])</f>
        <v>2025</v>
      </c>
      <c r="M115" t="str">
        <f>IF(discount_impact_on_profit_2000_rows[[#This Row],[Discount %]]=0,"Zero Discount",IF(discount_impact_on_profit_2000_rows[[#This Row],[Discount %]]&lt;=10,"Low Discount","High Discount"))</f>
        <v>High Discount</v>
      </c>
      <c r="N115" t="str">
        <f t="shared" si="1"/>
        <v>10-20%</v>
      </c>
    </row>
    <row r="116" spans="1:14">
      <c r="A116" s="1">
        <v>45403</v>
      </c>
      <c r="B116" t="s">
        <v>173</v>
      </c>
      <c r="C116" t="s">
        <v>18</v>
      </c>
      <c r="D116" t="s">
        <v>104</v>
      </c>
      <c r="E116">
        <v>58.81</v>
      </c>
      <c r="F116" t="s">
        <v>13</v>
      </c>
      <c r="G116">
        <v>72.22</v>
      </c>
      <c r="H116">
        <v>13.41</v>
      </c>
      <c r="I116">
        <v>25</v>
      </c>
      <c r="J116">
        <v>1</v>
      </c>
      <c r="K116" t="str">
        <f>TEXT(discount_impact_on_profit_2000_rows[[#This Row],[order date]],"mmmm")</f>
        <v>April</v>
      </c>
      <c r="L116">
        <f>YEAR(discount_impact_on_profit_2000_rows[[#This Row],[order date]])</f>
        <v>2024</v>
      </c>
      <c r="M116" t="str">
        <f>IF(discount_impact_on_profit_2000_rows[[#This Row],[Discount %]]=0,"Zero Discount",IF(discount_impact_on_profit_2000_rows[[#This Row],[Discount %]]&lt;=10,"Low Discount","High Discount"))</f>
        <v>High Discount</v>
      </c>
      <c r="N116" t="str">
        <f t="shared" si="1"/>
        <v>20-30%</v>
      </c>
    </row>
    <row r="117" spans="1:14">
      <c r="A117" s="1">
        <v>45139</v>
      </c>
      <c r="B117" t="s">
        <v>174</v>
      </c>
      <c r="C117" t="s">
        <v>53</v>
      </c>
      <c r="D117" t="s">
        <v>54</v>
      </c>
      <c r="E117">
        <v>2638.69</v>
      </c>
      <c r="F117" t="s">
        <v>23</v>
      </c>
      <c r="G117">
        <v>4705.37</v>
      </c>
      <c r="H117">
        <v>2066.6799999999998</v>
      </c>
      <c r="I117">
        <v>15</v>
      </c>
      <c r="J117">
        <v>5</v>
      </c>
      <c r="K117" t="str">
        <f>TEXT(discount_impact_on_profit_2000_rows[[#This Row],[order date]],"mmmm")</f>
        <v>August</v>
      </c>
      <c r="L117">
        <f>YEAR(discount_impact_on_profit_2000_rows[[#This Row],[order date]])</f>
        <v>2023</v>
      </c>
      <c r="M117" t="str">
        <f>IF(discount_impact_on_profit_2000_rows[[#This Row],[Discount %]]=0,"Zero Discount",IF(discount_impact_on_profit_2000_rows[[#This Row],[Discount %]]&lt;=10,"Low Discount","High Discount"))</f>
        <v>High Discount</v>
      </c>
      <c r="N117" t="str">
        <f t="shared" si="1"/>
        <v>10-20%</v>
      </c>
    </row>
    <row r="118" spans="1:14">
      <c r="A118" s="1">
        <v>45481</v>
      </c>
      <c r="B118" t="s">
        <v>175</v>
      </c>
      <c r="C118" t="s">
        <v>15</v>
      </c>
      <c r="D118" t="s">
        <v>84</v>
      </c>
      <c r="E118">
        <v>1747.99</v>
      </c>
      <c r="F118" t="s">
        <v>31</v>
      </c>
      <c r="G118">
        <v>1992.28</v>
      </c>
      <c r="H118">
        <v>244.29</v>
      </c>
      <c r="I118">
        <v>10</v>
      </c>
      <c r="J118">
        <v>1</v>
      </c>
      <c r="K118" t="str">
        <f>TEXT(discount_impact_on_profit_2000_rows[[#This Row],[order date]],"mmmm")</f>
        <v>July</v>
      </c>
      <c r="L118">
        <f>YEAR(discount_impact_on_profit_2000_rows[[#This Row],[order date]])</f>
        <v>2024</v>
      </c>
      <c r="M118" t="str">
        <f>IF(discount_impact_on_profit_2000_rows[[#This Row],[Discount %]]=0,"Zero Discount",IF(discount_impact_on_profit_2000_rows[[#This Row],[Discount %]]&lt;=10,"Low Discount","High Discount"))</f>
        <v>Low Discount</v>
      </c>
      <c r="N118" t="str">
        <f t="shared" si="1"/>
        <v>0-10%</v>
      </c>
    </row>
    <row r="119" spans="1:14">
      <c r="A119" s="1">
        <v>45420</v>
      </c>
      <c r="B119" t="s">
        <v>176</v>
      </c>
      <c r="C119" t="s">
        <v>11</v>
      </c>
      <c r="D119" t="s">
        <v>12</v>
      </c>
      <c r="E119">
        <v>6331.89</v>
      </c>
      <c r="F119" t="s">
        <v>31</v>
      </c>
      <c r="G119">
        <v>9797.11</v>
      </c>
      <c r="H119">
        <v>3465.22</v>
      </c>
      <c r="I119">
        <v>0</v>
      </c>
      <c r="J119">
        <v>4</v>
      </c>
      <c r="K119" t="str">
        <f>TEXT(discount_impact_on_profit_2000_rows[[#This Row],[order date]],"mmmm")</f>
        <v>May</v>
      </c>
      <c r="L119">
        <f>YEAR(discount_impact_on_profit_2000_rows[[#This Row],[order date]])</f>
        <v>2024</v>
      </c>
      <c r="M119" t="str">
        <f>IF(discount_impact_on_profit_2000_rows[[#This Row],[Discount %]]=0,"Zero Discount",IF(discount_impact_on_profit_2000_rows[[#This Row],[Discount %]]&lt;=10,"Low Discount","High Discount"))</f>
        <v>Zero Discount</v>
      </c>
      <c r="N119" t="str">
        <f t="shared" si="1"/>
        <v>0-10%</v>
      </c>
    </row>
    <row r="120" spans="1:14">
      <c r="A120" s="1">
        <v>45702</v>
      </c>
      <c r="B120" t="s">
        <v>177</v>
      </c>
      <c r="C120" t="s">
        <v>53</v>
      </c>
      <c r="D120" t="s">
        <v>113</v>
      </c>
      <c r="E120">
        <v>750.03</v>
      </c>
      <c r="F120" t="s">
        <v>23</v>
      </c>
      <c r="G120">
        <v>1639.59</v>
      </c>
      <c r="H120">
        <v>889.56</v>
      </c>
      <c r="I120">
        <v>0</v>
      </c>
      <c r="J120">
        <v>3</v>
      </c>
      <c r="K120" t="str">
        <f>TEXT(discount_impact_on_profit_2000_rows[[#This Row],[order date]],"mmmm")</f>
        <v>February</v>
      </c>
      <c r="L120">
        <f>YEAR(discount_impact_on_profit_2000_rows[[#This Row],[order date]])</f>
        <v>2025</v>
      </c>
      <c r="M120" t="str">
        <f>IF(discount_impact_on_profit_2000_rows[[#This Row],[Discount %]]=0,"Zero Discount",IF(discount_impact_on_profit_2000_rows[[#This Row],[Discount %]]&lt;=10,"Low Discount","High Discount"))</f>
        <v>Zero Discount</v>
      </c>
      <c r="N120" t="str">
        <f t="shared" si="1"/>
        <v>0-10%</v>
      </c>
    </row>
    <row r="121" spans="1:14">
      <c r="A121" s="1">
        <v>45085</v>
      </c>
      <c r="B121" t="s">
        <v>178</v>
      </c>
      <c r="C121" t="s">
        <v>15</v>
      </c>
      <c r="D121" t="s">
        <v>76</v>
      </c>
      <c r="E121">
        <v>2515.86</v>
      </c>
      <c r="F121" t="s">
        <v>26</v>
      </c>
      <c r="G121">
        <v>3568.62</v>
      </c>
      <c r="H121">
        <v>1052.76</v>
      </c>
      <c r="I121">
        <v>5</v>
      </c>
      <c r="J121">
        <v>2</v>
      </c>
      <c r="K121" t="str">
        <f>TEXT(discount_impact_on_profit_2000_rows[[#This Row],[order date]],"mmmm")</f>
        <v>June</v>
      </c>
      <c r="L121">
        <f>YEAR(discount_impact_on_profit_2000_rows[[#This Row],[order date]])</f>
        <v>2023</v>
      </c>
      <c r="M121" t="str">
        <f>IF(discount_impact_on_profit_2000_rows[[#This Row],[Discount %]]=0,"Zero Discount",IF(discount_impact_on_profit_2000_rows[[#This Row],[Discount %]]&lt;=10,"Low Discount","High Discount"))</f>
        <v>Low Discount</v>
      </c>
      <c r="N121" t="str">
        <f t="shared" si="1"/>
        <v>0-10%</v>
      </c>
    </row>
    <row r="122" spans="1:14">
      <c r="A122" s="1">
        <v>44963</v>
      </c>
      <c r="B122" t="s">
        <v>179</v>
      </c>
      <c r="C122" t="s">
        <v>15</v>
      </c>
      <c r="D122" t="s">
        <v>86</v>
      </c>
      <c r="E122">
        <v>26542.85</v>
      </c>
      <c r="F122" t="s">
        <v>36</v>
      </c>
      <c r="G122">
        <v>28556.6</v>
      </c>
      <c r="H122">
        <v>2013.75</v>
      </c>
      <c r="I122">
        <v>15</v>
      </c>
      <c r="J122">
        <v>2</v>
      </c>
      <c r="K122" t="str">
        <f>TEXT(discount_impact_on_profit_2000_rows[[#This Row],[order date]],"mmmm")</f>
        <v>February</v>
      </c>
      <c r="L122">
        <f>YEAR(discount_impact_on_profit_2000_rows[[#This Row],[order date]])</f>
        <v>2023</v>
      </c>
      <c r="M122" t="str">
        <f>IF(discount_impact_on_profit_2000_rows[[#This Row],[Discount %]]=0,"Zero Discount",IF(discount_impact_on_profit_2000_rows[[#This Row],[Discount %]]&lt;=10,"Low Discount","High Discount"))</f>
        <v>High Discount</v>
      </c>
      <c r="N122" t="str">
        <f t="shared" si="1"/>
        <v>10-20%</v>
      </c>
    </row>
    <row r="123" spans="1:14">
      <c r="A123" s="1">
        <v>45233</v>
      </c>
      <c r="B123" t="s">
        <v>180</v>
      </c>
      <c r="C123" t="s">
        <v>18</v>
      </c>
      <c r="D123" t="s">
        <v>42</v>
      </c>
      <c r="E123">
        <v>1355.8</v>
      </c>
      <c r="F123" t="s">
        <v>36</v>
      </c>
      <c r="G123">
        <v>2018.34</v>
      </c>
      <c r="H123">
        <v>662.54</v>
      </c>
      <c r="I123">
        <v>20</v>
      </c>
      <c r="J123">
        <v>5</v>
      </c>
      <c r="K123" t="str">
        <f>TEXT(discount_impact_on_profit_2000_rows[[#This Row],[order date]],"mmmm")</f>
        <v>November</v>
      </c>
      <c r="L123">
        <f>YEAR(discount_impact_on_profit_2000_rows[[#This Row],[order date]])</f>
        <v>2023</v>
      </c>
      <c r="M123" t="str">
        <f>IF(discount_impact_on_profit_2000_rows[[#This Row],[Discount %]]=0,"Zero Discount",IF(discount_impact_on_profit_2000_rows[[#This Row],[Discount %]]&lt;=10,"Low Discount","High Discount"))</f>
        <v>High Discount</v>
      </c>
      <c r="N123" t="str">
        <f t="shared" si="1"/>
        <v>10-20%</v>
      </c>
    </row>
    <row r="124" spans="1:14">
      <c r="A124" s="1">
        <v>45011</v>
      </c>
      <c r="B124" t="s">
        <v>181</v>
      </c>
      <c r="C124" t="s">
        <v>53</v>
      </c>
      <c r="D124" t="s">
        <v>113</v>
      </c>
      <c r="E124">
        <v>4784.41</v>
      </c>
      <c r="F124" t="s">
        <v>36</v>
      </c>
      <c r="G124">
        <v>8095.06</v>
      </c>
      <c r="H124">
        <v>3310.65</v>
      </c>
      <c r="I124">
        <v>10</v>
      </c>
      <c r="J124">
        <v>3</v>
      </c>
      <c r="K124" t="str">
        <f>TEXT(discount_impact_on_profit_2000_rows[[#This Row],[order date]],"mmmm")</f>
        <v>March</v>
      </c>
      <c r="L124">
        <f>YEAR(discount_impact_on_profit_2000_rows[[#This Row],[order date]])</f>
        <v>2023</v>
      </c>
      <c r="M124" t="str">
        <f>IF(discount_impact_on_profit_2000_rows[[#This Row],[Discount %]]=0,"Zero Discount",IF(discount_impact_on_profit_2000_rows[[#This Row],[Discount %]]&lt;=10,"Low Discount","High Discount"))</f>
        <v>Low Discount</v>
      </c>
      <c r="N124" t="str">
        <f t="shared" si="1"/>
        <v>0-10%</v>
      </c>
    </row>
    <row r="125" spans="1:14">
      <c r="A125" s="1">
        <v>45798</v>
      </c>
      <c r="B125" t="s">
        <v>182</v>
      </c>
      <c r="C125" t="s">
        <v>21</v>
      </c>
      <c r="D125" t="s">
        <v>57</v>
      </c>
      <c r="E125">
        <v>26104.07</v>
      </c>
      <c r="F125" t="s">
        <v>26</v>
      </c>
      <c r="G125">
        <v>29010.36</v>
      </c>
      <c r="H125">
        <v>2906.29</v>
      </c>
      <c r="I125">
        <v>25</v>
      </c>
      <c r="J125">
        <v>2</v>
      </c>
      <c r="K125" t="str">
        <f>TEXT(discount_impact_on_profit_2000_rows[[#This Row],[order date]],"mmmm")</f>
        <v>May</v>
      </c>
      <c r="L125">
        <f>YEAR(discount_impact_on_profit_2000_rows[[#This Row],[order date]])</f>
        <v>2025</v>
      </c>
      <c r="M125" t="str">
        <f>IF(discount_impact_on_profit_2000_rows[[#This Row],[Discount %]]=0,"Zero Discount",IF(discount_impact_on_profit_2000_rows[[#This Row],[Discount %]]&lt;=10,"Low Discount","High Discount"))</f>
        <v>High Discount</v>
      </c>
      <c r="N125" t="str">
        <f t="shared" si="1"/>
        <v>20-30%</v>
      </c>
    </row>
    <row r="126" spans="1:14">
      <c r="A126" s="1">
        <v>45002</v>
      </c>
      <c r="B126" t="s">
        <v>183</v>
      </c>
      <c r="C126" t="s">
        <v>18</v>
      </c>
      <c r="D126" t="s">
        <v>50</v>
      </c>
      <c r="E126">
        <v>45.19</v>
      </c>
      <c r="F126" t="s">
        <v>36</v>
      </c>
      <c r="G126">
        <v>65.39</v>
      </c>
      <c r="H126">
        <v>20.2</v>
      </c>
      <c r="I126">
        <v>25</v>
      </c>
      <c r="J126">
        <v>1</v>
      </c>
      <c r="K126" t="str">
        <f>TEXT(discount_impact_on_profit_2000_rows[[#This Row],[order date]],"mmmm")</f>
        <v>March</v>
      </c>
      <c r="L126">
        <f>YEAR(discount_impact_on_profit_2000_rows[[#This Row],[order date]])</f>
        <v>2023</v>
      </c>
      <c r="M126" t="str">
        <f>IF(discount_impact_on_profit_2000_rows[[#This Row],[Discount %]]=0,"Zero Discount",IF(discount_impact_on_profit_2000_rows[[#This Row],[Discount %]]&lt;=10,"Low Discount","High Discount"))</f>
        <v>High Discount</v>
      </c>
      <c r="N126" t="str">
        <f t="shared" si="1"/>
        <v>20-30%</v>
      </c>
    </row>
    <row r="127" spans="1:14">
      <c r="A127" s="1">
        <v>44977</v>
      </c>
      <c r="B127" t="s">
        <v>184</v>
      </c>
      <c r="C127" t="s">
        <v>11</v>
      </c>
      <c r="D127" t="s">
        <v>30</v>
      </c>
      <c r="E127">
        <v>320.64999999999998</v>
      </c>
      <c r="F127" t="s">
        <v>31</v>
      </c>
      <c r="G127">
        <v>748.39</v>
      </c>
      <c r="H127">
        <v>427.74</v>
      </c>
      <c r="I127">
        <v>5</v>
      </c>
      <c r="J127">
        <v>3</v>
      </c>
      <c r="K127" t="str">
        <f>TEXT(discount_impact_on_profit_2000_rows[[#This Row],[order date]],"mmmm")</f>
        <v>February</v>
      </c>
      <c r="L127">
        <f>YEAR(discount_impact_on_profit_2000_rows[[#This Row],[order date]])</f>
        <v>2023</v>
      </c>
      <c r="M127" t="str">
        <f>IF(discount_impact_on_profit_2000_rows[[#This Row],[Discount %]]=0,"Zero Discount",IF(discount_impact_on_profit_2000_rows[[#This Row],[Discount %]]&lt;=10,"Low Discount","High Discount"))</f>
        <v>Low Discount</v>
      </c>
      <c r="N127" t="str">
        <f t="shared" si="1"/>
        <v>0-10%</v>
      </c>
    </row>
    <row r="128" spans="1:14">
      <c r="A128" s="1">
        <v>44956</v>
      </c>
      <c r="B128" t="s">
        <v>185</v>
      </c>
      <c r="C128" t="s">
        <v>11</v>
      </c>
      <c r="D128" t="s">
        <v>38</v>
      </c>
      <c r="E128">
        <v>1042.8499999999999</v>
      </c>
      <c r="F128" t="s">
        <v>13</v>
      </c>
      <c r="G128">
        <v>1649.85</v>
      </c>
      <c r="H128">
        <v>607</v>
      </c>
      <c r="I128">
        <v>20</v>
      </c>
      <c r="J128">
        <v>1</v>
      </c>
      <c r="K128" t="str">
        <f>TEXT(discount_impact_on_profit_2000_rows[[#This Row],[order date]],"mmmm")</f>
        <v>January</v>
      </c>
      <c r="L128">
        <f>YEAR(discount_impact_on_profit_2000_rows[[#This Row],[order date]])</f>
        <v>2023</v>
      </c>
      <c r="M128" t="str">
        <f>IF(discount_impact_on_profit_2000_rows[[#This Row],[Discount %]]=0,"Zero Discount",IF(discount_impact_on_profit_2000_rows[[#This Row],[Discount %]]&lt;=10,"Low Discount","High Discount"))</f>
        <v>High Discount</v>
      </c>
      <c r="N128" t="str">
        <f t="shared" si="1"/>
        <v>10-20%</v>
      </c>
    </row>
    <row r="129" spans="1:14">
      <c r="A129" s="1">
        <v>45859</v>
      </c>
      <c r="B129" t="s">
        <v>186</v>
      </c>
      <c r="C129" t="s">
        <v>21</v>
      </c>
      <c r="D129" t="s">
        <v>154</v>
      </c>
      <c r="E129">
        <v>5276.25</v>
      </c>
      <c r="F129" t="s">
        <v>23</v>
      </c>
      <c r="G129">
        <v>5584.42</v>
      </c>
      <c r="H129">
        <v>308.17</v>
      </c>
      <c r="I129">
        <v>20</v>
      </c>
      <c r="J129">
        <v>1</v>
      </c>
      <c r="K129" t="str">
        <f>TEXT(discount_impact_on_profit_2000_rows[[#This Row],[order date]],"mmmm")</f>
        <v>July</v>
      </c>
      <c r="L129">
        <f>YEAR(discount_impact_on_profit_2000_rows[[#This Row],[order date]])</f>
        <v>2025</v>
      </c>
      <c r="M129" t="str">
        <f>IF(discount_impact_on_profit_2000_rows[[#This Row],[Discount %]]=0,"Zero Discount",IF(discount_impact_on_profit_2000_rows[[#This Row],[Discount %]]&lt;=10,"Low Discount","High Discount"))</f>
        <v>High Discount</v>
      </c>
      <c r="N129" t="str">
        <f t="shared" si="1"/>
        <v>10-20%</v>
      </c>
    </row>
    <row r="130" spans="1:14">
      <c r="A130" s="1">
        <v>45927</v>
      </c>
      <c r="B130" t="s">
        <v>187</v>
      </c>
      <c r="C130" t="s">
        <v>18</v>
      </c>
      <c r="D130" t="s">
        <v>188</v>
      </c>
      <c r="E130">
        <v>75.11</v>
      </c>
      <c r="F130" t="s">
        <v>23</v>
      </c>
      <c r="G130">
        <v>135.75</v>
      </c>
      <c r="H130">
        <v>60.64</v>
      </c>
      <c r="I130">
        <v>20</v>
      </c>
      <c r="J130">
        <v>1</v>
      </c>
      <c r="K130" t="str">
        <f>TEXT(discount_impact_on_profit_2000_rows[[#This Row],[order date]],"mmmm")</f>
        <v>September</v>
      </c>
      <c r="L130">
        <f>YEAR(discount_impact_on_profit_2000_rows[[#This Row],[order date]])</f>
        <v>2025</v>
      </c>
      <c r="M130" t="str">
        <f>IF(discount_impact_on_profit_2000_rows[[#This Row],[Discount %]]=0,"Zero Discount",IF(discount_impact_on_profit_2000_rows[[#This Row],[Discount %]]&lt;=10,"Low Discount","High Discount"))</f>
        <v>High Discount</v>
      </c>
      <c r="N130" t="str">
        <f t="shared" ref="N130:N193" si="2">IF(I130&lt;=10,"0-10%",IF(I130&lt;=20,"10-20%",IF(I130&lt;=30,"20-30%","30%+")))</f>
        <v>10-20%</v>
      </c>
    </row>
    <row r="131" spans="1:14">
      <c r="A131" s="1">
        <v>45140</v>
      </c>
      <c r="B131" t="s">
        <v>189</v>
      </c>
      <c r="C131" t="s">
        <v>11</v>
      </c>
      <c r="D131" t="s">
        <v>30</v>
      </c>
      <c r="E131">
        <v>322.52</v>
      </c>
      <c r="F131" t="s">
        <v>13</v>
      </c>
      <c r="G131">
        <v>795.49</v>
      </c>
      <c r="H131">
        <v>472.97</v>
      </c>
      <c r="I131">
        <v>5</v>
      </c>
      <c r="J131">
        <v>2</v>
      </c>
      <c r="K131" t="str">
        <f>TEXT(discount_impact_on_profit_2000_rows[[#This Row],[order date]],"mmmm")</f>
        <v>August</v>
      </c>
      <c r="L131">
        <f>YEAR(discount_impact_on_profit_2000_rows[[#This Row],[order date]])</f>
        <v>2023</v>
      </c>
      <c r="M131" t="str">
        <f>IF(discount_impact_on_profit_2000_rows[[#This Row],[Discount %]]=0,"Zero Discount",IF(discount_impact_on_profit_2000_rows[[#This Row],[Discount %]]&lt;=10,"Low Discount","High Discount"))</f>
        <v>Low Discount</v>
      </c>
      <c r="N131" t="str">
        <f t="shared" si="2"/>
        <v>0-10%</v>
      </c>
    </row>
    <row r="132" spans="1:14">
      <c r="A132" s="1">
        <v>44998</v>
      </c>
      <c r="B132" t="s">
        <v>190</v>
      </c>
      <c r="C132" t="s">
        <v>33</v>
      </c>
      <c r="D132" t="s">
        <v>44</v>
      </c>
      <c r="E132">
        <v>17579.759999999998</v>
      </c>
      <c r="F132" t="s">
        <v>23</v>
      </c>
      <c r="G132">
        <v>21928.48</v>
      </c>
      <c r="H132">
        <v>4348.72</v>
      </c>
      <c r="I132">
        <v>15</v>
      </c>
      <c r="J132">
        <v>2</v>
      </c>
      <c r="K132" t="str">
        <f>TEXT(discount_impact_on_profit_2000_rows[[#This Row],[order date]],"mmmm")</f>
        <v>March</v>
      </c>
      <c r="L132">
        <f>YEAR(discount_impact_on_profit_2000_rows[[#This Row],[order date]])</f>
        <v>2023</v>
      </c>
      <c r="M132" t="str">
        <f>IF(discount_impact_on_profit_2000_rows[[#This Row],[Discount %]]=0,"Zero Discount",IF(discount_impact_on_profit_2000_rows[[#This Row],[Discount %]]&lt;=10,"Low Discount","High Discount"))</f>
        <v>High Discount</v>
      </c>
      <c r="N132" t="str">
        <f t="shared" si="2"/>
        <v>10-20%</v>
      </c>
    </row>
    <row r="133" spans="1:14">
      <c r="A133" s="1">
        <v>46010</v>
      </c>
      <c r="B133" t="s">
        <v>191</v>
      </c>
      <c r="C133" t="s">
        <v>18</v>
      </c>
      <c r="D133" t="s">
        <v>188</v>
      </c>
      <c r="E133">
        <v>539.92999999999995</v>
      </c>
      <c r="F133" t="s">
        <v>36</v>
      </c>
      <c r="G133">
        <v>684.33</v>
      </c>
      <c r="H133">
        <v>144.4</v>
      </c>
      <c r="I133">
        <v>15</v>
      </c>
      <c r="J133">
        <v>1</v>
      </c>
      <c r="K133" t="str">
        <f>TEXT(discount_impact_on_profit_2000_rows[[#This Row],[order date]],"mmmm")</f>
        <v>December</v>
      </c>
      <c r="L133">
        <f>YEAR(discount_impact_on_profit_2000_rows[[#This Row],[order date]])</f>
        <v>2025</v>
      </c>
      <c r="M133" t="str">
        <f>IF(discount_impact_on_profit_2000_rows[[#This Row],[Discount %]]=0,"Zero Discount",IF(discount_impact_on_profit_2000_rows[[#This Row],[Discount %]]&lt;=10,"Low Discount","High Discount"))</f>
        <v>High Discount</v>
      </c>
      <c r="N133" t="str">
        <f t="shared" si="2"/>
        <v>10-20%</v>
      </c>
    </row>
    <row r="134" spans="1:14">
      <c r="A134" s="1">
        <v>45408</v>
      </c>
      <c r="B134" t="s">
        <v>192</v>
      </c>
      <c r="C134" t="s">
        <v>15</v>
      </c>
      <c r="D134" t="s">
        <v>28</v>
      </c>
      <c r="E134">
        <v>23300.05</v>
      </c>
      <c r="F134" t="s">
        <v>31</v>
      </c>
      <c r="G134">
        <v>23354.58</v>
      </c>
      <c r="H134">
        <v>54.53</v>
      </c>
      <c r="I134">
        <v>22</v>
      </c>
      <c r="J134">
        <v>3</v>
      </c>
      <c r="K134" t="str">
        <f>TEXT(discount_impact_on_profit_2000_rows[[#This Row],[order date]],"mmmm")</f>
        <v>April</v>
      </c>
      <c r="L134">
        <f>YEAR(discount_impact_on_profit_2000_rows[[#This Row],[order date]])</f>
        <v>2024</v>
      </c>
      <c r="M134" t="str">
        <f>IF(discount_impact_on_profit_2000_rows[[#This Row],[Discount %]]=0,"Zero Discount",IF(discount_impact_on_profit_2000_rows[[#This Row],[Discount %]]&lt;=10,"Low Discount","High Discount"))</f>
        <v>High Discount</v>
      </c>
      <c r="N134" t="str">
        <f t="shared" si="2"/>
        <v>20-30%</v>
      </c>
    </row>
    <row r="135" spans="1:14">
      <c r="A135" s="1">
        <v>45295</v>
      </c>
      <c r="B135" t="s">
        <v>193</v>
      </c>
      <c r="C135" t="s">
        <v>53</v>
      </c>
      <c r="D135" t="s">
        <v>59</v>
      </c>
      <c r="E135">
        <v>1699.61</v>
      </c>
      <c r="F135" t="s">
        <v>13</v>
      </c>
      <c r="G135">
        <v>3466.5</v>
      </c>
      <c r="H135">
        <v>1766.89</v>
      </c>
      <c r="I135">
        <v>10</v>
      </c>
      <c r="J135">
        <v>1</v>
      </c>
      <c r="K135" t="str">
        <f>TEXT(discount_impact_on_profit_2000_rows[[#This Row],[order date]],"mmmm")</f>
        <v>January</v>
      </c>
      <c r="L135">
        <f>YEAR(discount_impact_on_profit_2000_rows[[#This Row],[order date]])</f>
        <v>2024</v>
      </c>
      <c r="M135" t="str">
        <f>IF(discount_impact_on_profit_2000_rows[[#This Row],[Discount %]]=0,"Zero Discount",IF(discount_impact_on_profit_2000_rows[[#This Row],[Discount %]]&lt;=10,"Low Discount","High Discount"))</f>
        <v>Low Discount</v>
      </c>
      <c r="N135" t="str">
        <f t="shared" si="2"/>
        <v>0-10%</v>
      </c>
    </row>
    <row r="136" spans="1:14">
      <c r="A136" s="1">
        <v>45228</v>
      </c>
      <c r="B136" t="s">
        <v>194</v>
      </c>
      <c r="C136" t="s">
        <v>18</v>
      </c>
      <c r="D136" t="s">
        <v>88</v>
      </c>
      <c r="E136">
        <v>92.43</v>
      </c>
      <c r="F136" t="s">
        <v>26</v>
      </c>
      <c r="G136">
        <v>109.12</v>
      </c>
      <c r="H136">
        <v>16.690000000000001</v>
      </c>
      <c r="I136">
        <v>20</v>
      </c>
      <c r="J136">
        <v>1</v>
      </c>
      <c r="K136" t="str">
        <f>TEXT(discount_impact_on_profit_2000_rows[[#This Row],[order date]],"mmmm")</f>
        <v>October</v>
      </c>
      <c r="L136">
        <f>YEAR(discount_impact_on_profit_2000_rows[[#This Row],[order date]])</f>
        <v>2023</v>
      </c>
      <c r="M136" t="str">
        <f>IF(discount_impact_on_profit_2000_rows[[#This Row],[Discount %]]=0,"Zero Discount",IF(discount_impact_on_profit_2000_rows[[#This Row],[Discount %]]&lt;=10,"Low Discount","High Discount"))</f>
        <v>High Discount</v>
      </c>
      <c r="N136" t="str">
        <f t="shared" si="2"/>
        <v>10-20%</v>
      </c>
    </row>
    <row r="137" spans="1:14">
      <c r="A137" s="1">
        <v>45248</v>
      </c>
      <c r="B137" t="s">
        <v>195</v>
      </c>
      <c r="C137" t="s">
        <v>53</v>
      </c>
      <c r="D137" t="s">
        <v>113</v>
      </c>
      <c r="E137">
        <v>4011.24</v>
      </c>
      <c r="F137" t="s">
        <v>23</v>
      </c>
      <c r="G137">
        <v>8711.6299999999992</v>
      </c>
      <c r="H137">
        <v>4700.3900000000003</v>
      </c>
      <c r="I137">
        <v>0</v>
      </c>
      <c r="J137">
        <v>2</v>
      </c>
      <c r="K137" t="str">
        <f>TEXT(discount_impact_on_profit_2000_rows[[#This Row],[order date]],"mmmm")</f>
        <v>November</v>
      </c>
      <c r="L137">
        <f>YEAR(discount_impact_on_profit_2000_rows[[#This Row],[order date]])</f>
        <v>2023</v>
      </c>
      <c r="M137" t="str">
        <f>IF(discount_impact_on_profit_2000_rows[[#This Row],[Discount %]]=0,"Zero Discount",IF(discount_impact_on_profit_2000_rows[[#This Row],[Discount %]]&lt;=10,"Low Discount","High Discount"))</f>
        <v>Zero Discount</v>
      </c>
      <c r="N137" t="str">
        <f t="shared" si="2"/>
        <v>0-10%</v>
      </c>
    </row>
    <row r="138" spans="1:14">
      <c r="A138" s="1">
        <v>45079</v>
      </c>
      <c r="B138" t="s">
        <v>196</v>
      </c>
      <c r="C138" t="s">
        <v>33</v>
      </c>
      <c r="D138" t="s">
        <v>197</v>
      </c>
      <c r="E138">
        <v>61282.21</v>
      </c>
      <c r="F138" t="s">
        <v>23</v>
      </c>
      <c r="G138">
        <v>82962.58</v>
      </c>
      <c r="H138">
        <v>21680.37</v>
      </c>
      <c r="I138">
        <v>10</v>
      </c>
      <c r="J138">
        <v>4</v>
      </c>
      <c r="K138" t="str">
        <f>TEXT(discount_impact_on_profit_2000_rows[[#This Row],[order date]],"mmmm")</f>
        <v>June</v>
      </c>
      <c r="L138">
        <f>YEAR(discount_impact_on_profit_2000_rows[[#This Row],[order date]])</f>
        <v>2023</v>
      </c>
      <c r="M138" t="str">
        <f>IF(discount_impact_on_profit_2000_rows[[#This Row],[Discount %]]=0,"Zero Discount",IF(discount_impact_on_profit_2000_rows[[#This Row],[Discount %]]&lt;=10,"Low Discount","High Discount"))</f>
        <v>Low Discount</v>
      </c>
      <c r="N138" t="str">
        <f t="shared" si="2"/>
        <v>0-10%</v>
      </c>
    </row>
    <row r="139" spans="1:14">
      <c r="A139" s="1">
        <v>45592</v>
      </c>
      <c r="B139" t="s">
        <v>198</v>
      </c>
      <c r="C139" t="s">
        <v>18</v>
      </c>
      <c r="D139" t="s">
        <v>19</v>
      </c>
      <c r="E139">
        <v>1298.19</v>
      </c>
      <c r="F139" t="s">
        <v>23</v>
      </c>
      <c r="G139">
        <v>2899.42</v>
      </c>
      <c r="H139">
        <v>1601.23</v>
      </c>
      <c r="I139">
        <v>5</v>
      </c>
      <c r="J139">
        <v>6</v>
      </c>
      <c r="K139" t="str">
        <f>TEXT(discount_impact_on_profit_2000_rows[[#This Row],[order date]],"mmmm")</f>
        <v>October</v>
      </c>
      <c r="L139">
        <f>YEAR(discount_impact_on_profit_2000_rows[[#This Row],[order date]])</f>
        <v>2024</v>
      </c>
      <c r="M139" t="str">
        <f>IF(discount_impact_on_profit_2000_rows[[#This Row],[Discount %]]=0,"Zero Discount",IF(discount_impact_on_profit_2000_rows[[#This Row],[Discount %]]&lt;=10,"Low Discount","High Discount"))</f>
        <v>Low Discount</v>
      </c>
      <c r="N139" t="str">
        <f t="shared" si="2"/>
        <v>0-10%</v>
      </c>
    </row>
    <row r="140" spans="1:14">
      <c r="A140" s="1">
        <v>45604</v>
      </c>
      <c r="B140" t="s">
        <v>199</v>
      </c>
      <c r="C140" t="s">
        <v>15</v>
      </c>
      <c r="D140" t="s">
        <v>84</v>
      </c>
      <c r="E140">
        <v>18969.82</v>
      </c>
      <c r="F140" t="s">
        <v>23</v>
      </c>
      <c r="G140">
        <v>24863.85</v>
      </c>
      <c r="H140">
        <v>5894.03</v>
      </c>
      <c r="I140">
        <v>0</v>
      </c>
      <c r="J140">
        <v>10</v>
      </c>
      <c r="K140" t="str">
        <f>TEXT(discount_impact_on_profit_2000_rows[[#This Row],[order date]],"mmmm")</f>
        <v>November</v>
      </c>
      <c r="L140">
        <f>YEAR(discount_impact_on_profit_2000_rows[[#This Row],[order date]])</f>
        <v>2024</v>
      </c>
      <c r="M140" t="str">
        <f>IF(discount_impact_on_profit_2000_rows[[#This Row],[Discount %]]=0,"Zero Discount",IF(discount_impact_on_profit_2000_rows[[#This Row],[Discount %]]&lt;=10,"Low Discount","High Discount"))</f>
        <v>Zero Discount</v>
      </c>
      <c r="N140" t="str">
        <f t="shared" si="2"/>
        <v>0-10%</v>
      </c>
    </row>
    <row r="141" spans="1:14">
      <c r="A141" s="1">
        <v>45787</v>
      </c>
      <c r="B141" t="s">
        <v>200</v>
      </c>
      <c r="C141" t="s">
        <v>21</v>
      </c>
      <c r="D141" t="s">
        <v>22</v>
      </c>
      <c r="E141">
        <v>1407.1</v>
      </c>
      <c r="F141" t="s">
        <v>13</v>
      </c>
      <c r="G141">
        <v>1514.48</v>
      </c>
      <c r="H141">
        <v>107.38</v>
      </c>
      <c r="I141">
        <v>20</v>
      </c>
      <c r="J141">
        <v>1</v>
      </c>
      <c r="K141" t="str">
        <f>TEXT(discount_impact_on_profit_2000_rows[[#This Row],[order date]],"mmmm")</f>
        <v>May</v>
      </c>
      <c r="L141">
        <f>YEAR(discount_impact_on_profit_2000_rows[[#This Row],[order date]])</f>
        <v>2025</v>
      </c>
      <c r="M141" t="str">
        <f>IF(discount_impact_on_profit_2000_rows[[#This Row],[Discount %]]=0,"Zero Discount",IF(discount_impact_on_profit_2000_rows[[#This Row],[Discount %]]&lt;=10,"Low Discount","High Discount"))</f>
        <v>High Discount</v>
      </c>
      <c r="N141" t="str">
        <f t="shared" si="2"/>
        <v>10-20%</v>
      </c>
    </row>
    <row r="142" spans="1:14">
      <c r="A142" s="1">
        <v>45792</v>
      </c>
      <c r="B142" t="s">
        <v>201</v>
      </c>
      <c r="C142" t="s">
        <v>21</v>
      </c>
      <c r="D142" t="s">
        <v>22</v>
      </c>
      <c r="E142">
        <v>1201.4100000000001</v>
      </c>
      <c r="F142" t="s">
        <v>36</v>
      </c>
      <c r="G142">
        <v>1615.49</v>
      </c>
      <c r="H142">
        <v>414.08</v>
      </c>
      <c r="I142">
        <v>10</v>
      </c>
      <c r="J142">
        <v>1</v>
      </c>
      <c r="K142" t="str">
        <f>TEXT(discount_impact_on_profit_2000_rows[[#This Row],[order date]],"mmmm")</f>
        <v>May</v>
      </c>
      <c r="L142">
        <f>YEAR(discount_impact_on_profit_2000_rows[[#This Row],[order date]])</f>
        <v>2025</v>
      </c>
      <c r="M142" t="str">
        <f>IF(discount_impact_on_profit_2000_rows[[#This Row],[Discount %]]=0,"Zero Discount",IF(discount_impact_on_profit_2000_rows[[#This Row],[Discount %]]&lt;=10,"Low Discount","High Discount"))</f>
        <v>Low Discount</v>
      </c>
      <c r="N142" t="str">
        <f t="shared" si="2"/>
        <v>0-10%</v>
      </c>
    </row>
    <row r="143" spans="1:14">
      <c r="A143" s="1">
        <v>45821</v>
      </c>
      <c r="B143" t="s">
        <v>202</v>
      </c>
      <c r="C143" t="s">
        <v>33</v>
      </c>
      <c r="D143" t="s">
        <v>203</v>
      </c>
      <c r="E143">
        <v>44414.41</v>
      </c>
      <c r="F143" t="s">
        <v>13</v>
      </c>
      <c r="G143">
        <v>44555.8</v>
      </c>
      <c r="H143">
        <v>141.38999999999999</v>
      </c>
      <c r="I143">
        <v>21</v>
      </c>
      <c r="J143">
        <v>3</v>
      </c>
      <c r="K143" t="str">
        <f>TEXT(discount_impact_on_profit_2000_rows[[#This Row],[order date]],"mmmm")</f>
        <v>June</v>
      </c>
      <c r="L143">
        <f>YEAR(discount_impact_on_profit_2000_rows[[#This Row],[order date]])</f>
        <v>2025</v>
      </c>
      <c r="M143" t="str">
        <f>IF(discount_impact_on_profit_2000_rows[[#This Row],[Discount %]]=0,"Zero Discount",IF(discount_impact_on_profit_2000_rows[[#This Row],[Discount %]]&lt;=10,"Low Discount","High Discount"))</f>
        <v>High Discount</v>
      </c>
      <c r="N143" t="str">
        <f t="shared" si="2"/>
        <v>20-30%</v>
      </c>
    </row>
    <row r="144" spans="1:14">
      <c r="A144" s="1">
        <v>45330</v>
      </c>
      <c r="B144" t="s">
        <v>204</v>
      </c>
      <c r="C144" t="s">
        <v>53</v>
      </c>
      <c r="D144" t="s">
        <v>152</v>
      </c>
      <c r="E144">
        <v>1906.95</v>
      </c>
      <c r="F144" t="s">
        <v>23</v>
      </c>
      <c r="G144">
        <v>3218.19</v>
      </c>
      <c r="H144">
        <v>1311.24</v>
      </c>
      <c r="I144">
        <v>10</v>
      </c>
      <c r="J144">
        <v>1</v>
      </c>
      <c r="K144" t="str">
        <f>TEXT(discount_impact_on_profit_2000_rows[[#This Row],[order date]],"mmmm")</f>
        <v>February</v>
      </c>
      <c r="L144">
        <f>YEAR(discount_impact_on_profit_2000_rows[[#This Row],[order date]])</f>
        <v>2024</v>
      </c>
      <c r="M144" t="str">
        <f>IF(discount_impact_on_profit_2000_rows[[#This Row],[Discount %]]=0,"Zero Discount",IF(discount_impact_on_profit_2000_rows[[#This Row],[Discount %]]&lt;=10,"Low Discount","High Discount"))</f>
        <v>Low Discount</v>
      </c>
      <c r="N144" t="str">
        <f t="shared" si="2"/>
        <v>0-10%</v>
      </c>
    </row>
    <row r="145" spans="1:14">
      <c r="A145" s="1">
        <v>45692</v>
      </c>
      <c r="B145" t="s">
        <v>205</v>
      </c>
      <c r="C145" t="s">
        <v>33</v>
      </c>
      <c r="D145" t="s">
        <v>34</v>
      </c>
      <c r="E145">
        <v>5092.1899999999996</v>
      </c>
      <c r="F145" t="s">
        <v>13</v>
      </c>
      <c r="G145">
        <v>6689.73</v>
      </c>
      <c r="H145">
        <v>1597.54</v>
      </c>
      <c r="I145">
        <v>0</v>
      </c>
      <c r="J145">
        <v>2</v>
      </c>
      <c r="K145" t="str">
        <f>TEXT(discount_impact_on_profit_2000_rows[[#This Row],[order date]],"mmmm")</f>
        <v>February</v>
      </c>
      <c r="L145">
        <f>YEAR(discount_impact_on_profit_2000_rows[[#This Row],[order date]])</f>
        <v>2025</v>
      </c>
      <c r="M145" t="str">
        <f>IF(discount_impact_on_profit_2000_rows[[#This Row],[Discount %]]=0,"Zero Discount",IF(discount_impact_on_profit_2000_rows[[#This Row],[Discount %]]&lt;=10,"Low Discount","High Discount"))</f>
        <v>Zero Discount</v>
      </c>
      <c r="N145" t="str">
        <f t="shared" si="2"/>
        <v>0-10%</v>
      </c>
    </row>
    <row r="146" spans="1:14">
      <c r="A146" s="1">
        <v>45274</v>
      </c>
      <c r="B146" t="s">
        <v>206</v>
      </c>
      <c r="C146" t="s">
        <v>11</v>
      </c>
      <c r="D146" t="s">
        <v>207</v>
      </c>
      <c r="E146">
        <v>1479.62</v>
      </c>
      <c r="F146" t="s">
        <v>36</v>
      </c>
      <c r="G146">
        <v>2125.39</v>
      </c>
      <c r="H146">
        <v>645.77</v>
      </c>
      <c r="I146">
        <v>10</v>
      </c>
      <c r="J146">
        <v>1</v>
      </c>
      <c r="K146" t="str">
        <f>TEXT(discount_impact_on_profit_2000_rows[[#This Row],[order date]],"mmmm")</f>
        <v>December</v>
      </c>
      <c r="L146">
        <f>YEAR(discount_impact_on_profit_2000_rows[[#This Row],[order date]])</f>
        <v>2023</v>
      </c>
      <c r="M146" t="str">
        <f>IF(discount_impact_on_profit_2000_rows[[#This Row],[Discount %]]=0,"Zero Discount",IF(discount_impact_on_profit_2000_rows[[#This Row],[Discount %]]&lt;=10,"Low Discount","High Discount"))</f>
        <v>Low Discount</v>
      </c>
      <c r="N146" t="str">
        <f t="shared" si="2"/>
        <v>0-10%</v>
      </c>
    </row>
    <row r="147" spans="1:14">
      <c r="A147" s="1">
        <v>45542</v>
      </c>
      <c r="B147" t="s">
        <v>208</v>
      </c>
      <c r="C147" t="s">
        <v>53</v>
      </c>
      <c r="D147" t="s">
        <v>59</v>
      </c>
      <c r="E147">
        <v>466.72</v>
      </c>
      <c r="F147" t="s">
        <v>23</v>
      </c>
      <c r="G147">
        <v>759.57</v>
      </c>
      <c r="H147">
        <v>292.85000000000002</v>
      </c>
      <c r="I147">
        <v>0</v>
      </c>
      <c r="J147">
        <v>1</v>
      </c>
      <c r="K147" t="str">
        <f>TEXT(discount_impact_on_profit_2000_rows[[#This Row],[order date]],"mmmm")</f>
        <v>September</v>
      </c>
      <c r="L147">
        <f>YEAR(discount_impact_on_profit_2000_rows[[#This Row],[order date]])</f>
        <v>2024</v>
      </c>
      <c r="M147" t="str">
        <f>IF(discount_impact_on_profit_2000_rows[[#This Row],[Discount %]]=0,"Zero Discount",IF(discount_impact_on_profit_2000_rows[[#This Row],[Discount %]]&lt;=10,"Low Discount","High Discount"))</f>
        <v>Zero Discount</v>
      </c>
      <c r="N147" t="str">
        <f t="shared" si="2"/>
        <v>0-10%</v>
      </c>
    </row>
    <row r="148" spans="1:14">
      <c r="A148" s="1">
        <v>45434</v>
      </c>
      <c r="B148" t="s">
        <v>209</v>
      </c>
      <c r="C148" t="s">
        <v>21</v>
      </c>
      <c r="D148" t="s">
        <v>154</v>
      </c>
      <c r="E148">
        <v>51310.92</v>
      </c>
      <c r="F148" t="s">
        <v>26</v>
      </c>
      <c r="G148">
        <v>65329</v>
      </c>
      <c r="H148">
        <v>14018.08</v>
      </c>
      <c r="I148">
        <v>0</v>
      </c>
      <c r="J148">
        <v>4</v>
      </c>
      <c r="K148" t="str">
        <f>TEXT(discount_impact_on_profit_2000_rows[[#This Row],[order date]],"mmmm")</f>
        <v>May</v>
      </c>
      <c r="L148">
        <f>YEAR(discount_impact_on_profit_2000_rows[[#This Row],[order date]])</f>
        <v>2024</v>
      </c>
      <c r="M148" t="str">
        <f>IF(discount_impact_on_profit_2000_rows[[#This Row],[Discount %]]=0,"Zero Discount",IF(discount_impact_on_profit_2000_rows[[#This Row],[Discount %]]&lt;=10,"Low Discount","High Discount"))</f>
        <v>Zero Discount</v>
      </c>
      <c r="N148" t="str">
        <f t="shared" si="2"/>
        <v>0-10%</v>
      </c>
    </row>
    <row r="149" spans="1:14">
      <c r="A149" s="1">
        <v>44954</v>
      </c>
      <c r="B149" t="s">
        <v>210</v>
      </c>
      <c r="C149" t="s">
        <v>11</v>
      </c>
      <c r="D149" t="s">
        <v>25</v>
      </c>
      <c r="E149">
        <v>1984.85</v>
      </c>
      <c r="F149" t="s">
        <v>13</v>
      </c>
      <c r="G149">
        <v>3804.58</v>
      </c>
      <c r="H149">
        <v>1819.73</v>
      </c>
      <c r="I149">
        <v>15</v>
      </c>
      <c r="J149">
        <v>3</v>
      </c>
      <c r="K149" t="str">
        <f>TEXT(discount_impact_on_profit_2000_rows[[#This Row],[order date]],"mmmm")</f>
        <v>January</v>
      </c>
      <c r="L149">
        <f>YEAR(discount_impact_on_profit_2000_rows[[#This Row],[order date]])</f>
        <v>2023</v>
      </c>
      <c r="M149" t="str">
        <f>IF(discount_impact_on_profit_2000_rows[[#This Row],[Discount %]]=0,"Zero Discount",IF(discount_impact_on_profit_2000_rows[[#This Row],[Discount %]]&lt;=10,"Low Discount","High Discount"))</f>
        <v>High Discount</v>
      </c>
      <c r="N149" t="str">
        <f t="shared" si="2"/>
        <v>10-20%</v>
      </c>
    </row>
    <row r="150" spans="1:14">
      <c r="A150" s="1">
        <v>45892</v>
      </c>
      <c r="B150" t="s">
        <v>211</v>
      </c>
      <c r="C150" t="s">
        <v>18</v>
      </c>
      <c r="D150" t="s">
        <v>42</v>
      </c>
      <c r="E150">
        <v>1118.58</v>
      </c>
      <c r="F150" t="s">
        <v>31</v>
      </c>
      <c r="G150">
        <v>1959.11</v>
      </c>
      <c r="H150">
        <v>840.53</v>
      </c>
      <c r="I150">
        <v>15</v>
      </c>
      <c r="J150">
        <v>4</v>
      </c>
      <c r="K150" t="str">
        <f>TEXT(discount_impact_on_profit_2000_rows[[#This Row],[order date]],"mmmm")</f>
        <v>August</v>
      </c>
      <c r="L150">
        <f>YEAR(discount_impact_on_profit_2000_rows[[#This Row],[order date]])</f>
        <v>2025</v>
      </c>
      <c r="M150" t="str">
        <f>IF(discount_impact_on_profit_2000_rows[[#This Row],[Discount %]]=0,"Zero Discount",IF(discount_impact_on_profit_2000_rows[[#This Row],[Discount %]]&lt;=10,"Low Discount","High Discount"))</f>
        <v>High Discount</v>
      </c>
      <c r="N150" t="str">
        <f t="shared" si="2"/>
        <v>10-20%</v>
      </c>
    </row>
    <row r="151" spans="1:14">
      <c r="A151" s="1">
        <v>44944</v>
      </c>
      <c r="B151" t="s">
        <v>212</v>
      </c>
      <c r="C151" t="s">
        <v>53</v>
      </c>
      <c r="D151" t="s">
        <v>152</v>
      </c>
      <c r="E151">
        <v>1178.93</v>
      </c>
      <c r="F151" t="s">
        <v>31</v>
      </c>
      <c r="G151">
        <v>2468</v>
      </c>
      <c r="H151">
        <v>1289.07</v>
      </c>
      <c r="I151">
        <v>10</v>
      </c>
      <c r="J151">
        <v>4</v>
      </c>
      <c r="K151" t="str">
        <f>TEXT(discount_impact_on_profit_2000_rows[[#This Row],[order date]],"mmmm")</f>
        <v>January</v>
      </c>
      <c r="L151">
        <f>YEAR(discount_impact_on_profit_2000_rows[[#This Row],[order date]])</f>
        <v>2023</v>
      </c>
      <c r="M151" t="str">
        <f>IF(discount_impact_on_profit_2000_rows[[#This Row],[Discount %]]=0,"Zero Discount",IF(discount_impact_on_profit_2000_rows[[#This Row],[Discount %]]&lt;=10,"Low Discount","High Discount"))</f>
        <v>Low Discount</v>
      </c>
      <c r="N151" t="str">
        <f t="shared" si="2"/>
        <v>0-10%</v>
      </c>
    </row>
    <row r="152" spans="1:14">
      <c r="A152" s="1">
        <v>45661</v>
      </c>
      <c r="B152" t="s">
        <v>213</v>
      </c>
      <c r="C152" t="s">
        <v>11</v>
      </c>
      <c r="D152" t="s">
        <v>25</v>
      </c>
      <c r="E152">
        <v>5861.53</v>
      </c>
      <c r="F152" t="s">
        <v>13</v>
      </c>
      <c r="G152">
        <v>12112.01</v>
      </c>
      <c r="H152">
        <v>6250.48</v>
      </c>
      <c r="I152">
        <v>20</v>
      </c>
      <c r="J152">
        <v>4</v>
      </c>
      <c r="K152" t="str">
        <f>TEXT(discount_impact_on_profit_2000_rows[[#This Row],[order date]],"mmmm")</f>
        <v>January</v>
      </c>
      <c r="L152">
        <f>YEAR(discount_impact_on_profit_2000_rows[[#This Row],[order date]])</f>
        <v>2025</v>
      </c>
      <c r="M152" t="str">
        <f>IF(discount_impact_on_profit_2000_rows[[#This Row],[Discount %]]=0,"Zero Discount",IF(discount_impact_on_profit_2000_rows[[#This Row],[Discount %]]&lt;=10,"Low Discount","High Discount"))</f>
        <v>High Discount</v>
      </c>
      <c r="N152" t="str">
        <f t="shared" si="2"/>
        <v>10-20%</v>
      </c>
    </row>
    <row r="153" spans="1:14">
      <c r="A153" s="1">
        <v>45538</v>
      </c>
      <c r="B153" t="s">
        <v>214</v>
      </c>
      <c r="C153" t="s">
        <v>21</v>
      </c>
      <c r="D153" t="s">
        <v>97</v>
      </c>
      <c r="E153">
        <v>59258.28</v>
      </c>
      <c r="F153" t="s">
        <v>13</v>
      </c>
      <c r="G153">
        <v>70338.25</v>
      </c>
      <c r="H153">
        <v>11079.97</v>
      </c>
      <c r="I153">
        <v>10</v>
      </c>
      <c r="J153">
        <v>3</v>
      </c>
      <c r="K153" t="str">
        <f>TEXT(discount_impact_on_profit_2000_rows[[#This Row],[order date]],"mmmm")</f>
        <v>September</v>
      </c>
      <c r="L153">
        <f>YEAR(discount_impact_on_profit_2000_rows[[#This Row],[order date]])</f>
        <v>2024</v>
      </c>
      <c r="M153" t="str">
        <f>IF(discount_impact_on_profit_2000_rows[[#This Row],[Discount %]]=0,"Zero Discount",IF(discount_impact_on_profit_2000_rows[[#This Row],[Discount %]]&lt;=10,"Low Discount","High Discount"))</f>
        <v>Low Discount</v>
      </c>
      <c r="N153" t="str">
        <f t="shared" si="2"/>
        <v>0-10%</v>
      </c>
    </row>
    <row r="154" spans="1:14">
      <c r="A154" s="1">
        <v>45054</v>
      </c>
      <c r="B154" t="s">
        <v>215</v>
      </c>
      <c r="C154" t="s">
        <v>21</v>
      </c>
      <c r="D154" t="s">
        <v>46</v>
      </c>
      <c r="E154">
        <v>9193.18</v>
      </c>
      <c r="F154" t="s">
        <v>13</v>
      </c>
      <c r="G154">
        <v>9354.23</v>
      </c>
      <c r="H154">
        <v>161.05000000000001</v>
      </c>
      <c r="I154">
        <v>25</v>
      </c>
      <c r="J154">
        <v>1</v>
      </c>
      <c r="K154" t="str">
        <f>TEXT(discount_impact_on_profit_2000_rows[[#This Row],[order date]],"mmmm")</f>
        <v>May</v>
      </c>
      <c r="L154">
        <f>YEAR(discount_impact_on_profit_2000_rows[[#This Row],[order date]])</f>
        <v>2023</v>
      </c>
      <c r="M154" t="str">
        <f>IF(discount_impact_on_profit_2000_rows[[#This Row],[Discount %]]=0,"Zero Discount",IF(discount_impact_on_profit_2000_rows[[#This Row],[Discount %]]&lt;=10,"Low Discount","High Discount"))</f>
        <v>High Discount</v>
      </c>
      <c r="N154" t="str">
        <f t="shared" si="2"/>
        <v>20-30%</v>
      </c>
    </row>
    <row r="155" spans="1:14">
      <c r="A155" s="1">
        <v>46011</v>
      </c>
      <c r="B155" t="s">
        <v>216</v>
      </c>
      <c r="C155" t="s">
        <v>18</v>
      </c>
      <c r="D155" t="s">
        <v>42</v>
      </c>
      <c r="E155">
        <v>498.81</v>
      </c>
      <c r="F155" t="s">
        <v>13</v>
      </c>
      <c r="G155">
        <v>958.57</v>
      </c>
      <c r="H155">
        <v>459.76</v>
      </c>
      <c r="I155">
        <v>15</v>
      </c>
      <c r="J155">
        <v>3</v>
      </c>
      <c r="K155" t="str">
        <f>TEXT(discount_impact_on_profit_2000_rows[[#This Row],[order date]],"mmmm")</f>
        <v>December</v>
      </c>
      <c r="L155">
        <f>YEAR(discount_impact_on_profit_2000_rows[[#This Row],[order date]])</f>
        <v>2025</v>
      </c>
      <c r="M155" t="str">
        <f>IF(discount_impact_on_profit_2000_rows[[#This Row],[Discount %]]=0,"Zero Discount",IF(discount_impact_on_profit_2000_rows[[#This Row],[Discount %]]&lt;=10,"Low Discount","High Discount"))</f>
        <v>High Discount</v>
      </c>
      <c r="N155" t="str">
        <f t="shared" si="2"/>
        <v>10-20%</v>
      </c>
    </row>
    <row r="156" spans="1:14">
      <c r="A156" s="1">
        <v>45370</v>
      </c>
      <c r="B156" t="s">
        <v>217</v>
      </c>
      <c r="C156" t="s">
        <v>33</v>
      </c>
      <c r="D156" t="s">
        <v>102</v>
      </c>
      <c r="E156">
        <v>2095.85</v>
      </c>
      <c r="F156" t="s">
        <v>26</v>
      </c>
      <c r="G156">
        <v>2406.27</v>
      </c>
      <c r="H156">
        <v>310.42</v>
      </c>
      <c r="I156">
        <v>10</v>
      </c>
      <c r="J156">
        <v>1</v>
      </c>
      <c r="K156" t="str">
        <f>TEXT(discount_impact_on_profit_2000_rows[[#This Row],[order date]],"mmmm")</f>
        <v>March</v>
      </c>
      <c r="L156">
        <f>YEAR(discount_impact_on_profit_2000_rows[[#This Row],[order date]])</f>
        <v>2024</v>
      </c>
      <c r="M156" t="str">
        <f>IF(discount_impact_on_profit_2000_rows[[#This Row],[Discount %]]=0,"Zero Discount",IF(discount_impact_on_profit_2000_rows[[#This Row],[Discount %]]&lt;=10,"Low Discount","High Discount"))</f>
        <v>Low Discount</v>
      </c>
      <c r="N156" t="str">
        <f t="shared" si="2"/>
        <v>0-10%</v>
      </c>
    </row>
    <row r="157" spans="1:14">
      <c r="A157" s="1">
        <v>45963</v>
      </c>
      <c r="B157" t="s">
        <v>218</v>
      </c>
      <c r="C157" t="s">
        <v>15</v>
      </c>
      <c r="D157" t="s">
        <v>16</v>
      </c>
      <c r="E157">
        <v>2530.4899999999998</v>
      </c>
      <c r="F157" t="s">
        <v>23</v>
      </c>
      <c r="G157">
        <v>2567.5</v>
      </c>
      <c r="H157">
        <v>37.01</v>
      </c>
      <c r="I157">
        <v>30</v>
      </c>
      <c r="J157">
        <v>1</v>
      </c>
      <c r="K157" t="str">
        <f>TEXT(discount_impact_on_profit_2000_rows[[#This Row],[order date]],"mmmm")</f>
        <v>November</v>
      </c>
      <c r="L157">
        <f>YEAR(discount_impact_on_profit_2000_rows[[#This Row],[order date]])</f>
        <v>2025</v>
      </c>
      <c r="M157" t="str">
        <f>IF(discount_impact_on_profit_2000_rows[[#This Row],[Discount %]]=0,"Zero Discount",IF(discount_impact_on_profit_2000_rows[[#This Row],[Discount %]]&lt;=10,"Low Discount","High Discount"))</f>
        <v>High Discount</v>
      </c>
      <c r="N157" t="str">
        <f t="shared" si="2"/>
        <v>20-30%</v>
      </c>
    </row>
    <row r="158" spans="1:14">
      <c r="A158" s="1">
        <v>45517</v>
      </c>
      <c r="B158" t="s">
        <v>219</v>
      </c>
      <c r="C158" t="s">
        <v>18</v>
      </c>
      <c r="D158" t="s">
        <v>50</v>
      </c>
      <c r="E158">
        <v>214.38</v>
      </c>
      <c r="F158" t="s">
        <v>36</v>
      </c>
      <c r="G158">
        <v>386.83</v>
      </c>
      <c r="H158">
        <v>172.45</v>
      </c>
      <c r="I158">
        <v>20</v>
      </c>
      <c r="J158">
        <v>2</v>
      </c>
      <c r="K158" t="str">
        <f>TEXT(discount_impact_on_profit_2000_rows[[#This Row],[order date]],"mmmm")</f>
        <v>August</v>
      </c>
      <c r="L158">
        <f>YEAR(discount_impact_on_profit_2000_rows[[#This Row],[order date]])</f>
        <v>2024</v>
      </c>
      <c r="M158" t="str">
        <f>IF(discount_impact_on_profit_2000_rows[[#This Row],[Discount %]]=0,"Zero Discount",IF(discount_impact_on_profit_2000_rows[[#This Row],[Discount %]]&lt;=10,"Low Discount","High Discount"))</f>
        <v>High Discount</v>
      </c>
      <c r="N158" t="str">
        <f t="shared" si="2"/>
        <v>10-20%</v>
      </c>
    </row>
    <row r="159" spans="1:14">
      <c r="A159" s="1">
        <v>45155</v>
      </c>
      <c r="B159" t="s">
        <v>220</v>
      </c>
      <c r="C159" t="s">
        <v>15</v>
      </c>
      <c r="D159" t="s">
        <v>40</v>
      </c>
      <c r="E159">
        <v>11929.48</v>
      </c>
      <c r="F159" t="s">
        <v>31</v>
      </c>
      <c r="G159">
        <v>14707.46</v>
      </c>
      <c r="H159">
        <v>2777.98</v>
      </c>
      <c r="I159">
        <v>5</v>
      </c>
      <c r="J159">
        <v>1</v>
      </c>
      <c r="K159" t="str">
        <f>TEXT(discount_impact_on_profit_2000_rows[[#This Row],[order date]],"mmmm")</f>
        <v>August</v>
      </c>
      <c r="L159">
        <f>YEAR(discount_impact_on_profit_2000_rows[[#This Row],[order date]])</f>
        <v>2023</v>
      </c>
      <c r="M159" t="str">
        <f>IF(discount_impact_on_profit_2000_rows[[#This Row],[Discount %]]=0,"Zero Discount",IF(discount_impact_on_profit_2000_rows[[#This Row],[Discount %]]&lt;=10,"Low Discount","High Discount"))</f>
        <v>Low Discount</v>
      </c>
      <c r="N159" t="str">
        <f t="shared" si="2"/>
        <v>0-10%</v>
      </c>
    </row>
    <row r="160" spans="1:14">
      <c r="A160" s="1">
        <v>45699</v>
      </c>
      <c r="B160" t="s">
        <v>221</v>
      </c>
      <c r="C160" t="s">
        <v>11</v>
      </c>
      <c r="D160" t="s">
        <v>12</v>
      </c>
      <c r="E160">
        <v>936.38</v>
      </c>
      <c r="F160" t="s">
        <v>31</v>
      </c>
      <c r="G160">
        <v>1370.2</v>
      </c>
      <c r="H160">
        <v>433.82</v>
      </c>
      <c r="I160">
        <v>5</v>
      </c>
      <c r="J160">
        <v>2</v>
      </c>
      <c r="K160" t="str">
        <f>TEXT(discount_impact_on_profit_2000_rows[[#This Row],[order date]],"mmmm")</f>
        <v>February</v>
      </c>
      <c r="L160">
        <f>YEAR(discount_impact_on_profit_2000_rows[[#This Row],[order date]])</f>
        <v>2025</v>
      </c>
      <c r="M160" t="str">
        <f>IF(discount_impact_on_profit_2000_rows[[#This Row],[Discount %]]=0,"Zero Discount",IF(discount_impact_on_profit_2000_rows[[#This Row],[Discount %]]&lt;=10,"Low Discount","High Discount"))</f>
        <v>Low Discount</v>
      </c>
      <c r="N160" t="str">
        <f t="shared" si="2"/>
        <v>0-10%</v>
      </c>
    </row>
    <row r="161" spans="1:14">
      <c r="A161" s="1">
        <v>45501</v>
      </c>
      <c r="B161" t="s">
        <v>222</v>
      </c>
      <c r="C161" t="s">
        <v>11</v>
      </c>
      <c r="D161" t="s">
        <v>207</v>
      </c>
      <c r="E161">
        <v>5818.86</v>
      </c>
      <c r="F161" t="s">
        <v>23</v>
      </c>
      <c r="G161">
        <v>11310.97</v>
      </c>
      <c r="H161">
        <v>5492.11</v>
      </c>
      <c r="I161">
        <v>20</v>
      </c>
      <c r="J161">
        <v>8</v>
      </c>
      <c r="K161" t="str">
        <f>TEXT(discount_impact_on_profit_2000_rows[[#This Row],[order date]],"mmmm")</f>
        <v>July</v>
      </c>
      <c r="L161">
        <f>YEAR(discount_impact_on_profit_2000_rows[[#This Row],[order date]])</f>
        <v>2024</v>
      </c>
      <c r="M161" t="str">
        <f>IF(discount_impact_on_profit_2000_rows[[#This Row],[Discount %]]=0,"Zero Discount",IF(discount_impact_on_profit_2000_rows[[#This Row],[Discount %]]&lt;=10,"Low Discount","High Discount"))</f>
        <v>High Discount</v>
      </c>
      <c r="N161" t="str">
        <f t="shared" si="2"/>
        <v>10-20%</v>
      </c>
    </row>
    <row r="162" spans="1:14">
      <c r="A162" s="1">
        <v>45969</v>
      </c>
      <c r="B162" t="s">
        <v>223</v>
      </c>
      <c r="C162" t="s">
        <v>11</v>
      </c>
      <c r="D162" t="s">
        <v>80</v>
      </c>
      <c r="E162">
        <v>4484.17</v>
      </c>
      <c r="F162" t="s">
        <v>13</v>
      </c>
      <c r="G162">
        <v>7579.91</v>
      </c>
      <c r="H162">
        <v>3095.74</v>
      </c>
      <c r="I162">
        <v>0</v>
      </c>
      <c r="J162">
        <v>4</v>
      </c>
      <c r="K162" t="str">
        <f>TEXT(discount_impact_on_profit_2000_rows[[#This Row],[order date]],"mmmm")</f>
        <v>November</v>
      </c>
      <c r="L162">
        <f>YEAR(discount_impact_on_profit_2000_rows[[#This Row],[order date]])</f>
        <v>2025</v>
      </c>
      <c r="M162" t="str">
        <f>IF(discount_impact_on_profit_2000_rows[[#This Row],[Discount %]]=0,"Zero Discount",IF(discount_impact_on_profit_2000_rows[[#This Row],[Discount %]]&lt;=10,"Low Discount","High Discount"))</f>
        <v>Zero Discount</v>
      </c>
      <c r="N162" t="str">
        <f t="shared" si="2"/>
        <v>0-10%</v>
      </c>
    </row>
    <row r="163" spans="1:14">
      <c r="A163" s="1">
        <v>45194</v>
      </c>
      <c r="B163" t="s">
        <v>224</v>
      </c>
      <c r="C163" t="s">
        <v>18</v>
      </c>
      <c r="D163" t="s">
        <v>19</v>
      </c>
      <c r="E163">
        <v>690.16</v>
      </c>
      <c r="F163" t="s">
        <v>26</v>
      </c>
      <c r="G163">
        <v>1053.03</v>
      </c>
      <c r="H163">
        <v>362.87</v>
      </c>
      <c r="I163">
        <v>0</v>
      </c>
      <c r="J163">
        <v>4</v>
      </c>
      <c r="K163" t="str">
        <f>TEXT(discount_impact_on_profit_2000_rows[[#This Row],[order date]],"mmmm")</f>
        <v>September</v>
      </c>
      <c r="L163">
        <f>YEAR(discount_impact_on_profit_2000_rows[[#This Row],[order date]])</f>
        <v>2023</v>
      </c>
      <c r="M163" t="str">
        <f>IF(discount_impact_on_profit_2000_rows[[#This Row],[Discount %]]=0,"Zero Discount",IF(discount_impact_on_profit_2000_rows[[#This Row],[Discount %]]&lt;=10,"Low Discount","High Discount"))</f>
        <v>Zero Discount</v>
      </c>
      <c r="N163" t="str">
        <f t="shared" si="2"/>
        <v>0-10%</v>
      </c>
    </row>
    <row r="164" spans="1:14">
      <c r="A164" s="1">
        <v>45298</v>
      </c>
      <c r="B164" t="s">
        <v>225</v>
      </c>
      <c r="C164" t="s">
        <v>53</v>
      </c>
      <c r="D164" t="s">
        <v>152</v>
      </c>
      <c r="E164">
        <v>7095.06</v>
      </c>
      <c r="F164" t="s">
        <v>31</v>
      </c>
      <c r="G164">
        <v>16311.73</v>
      </c>
      <c r="H164">
        <v>9216.67</v>
      </c>
      <c r="I164">
        <v>0</v>
      </c>
      <c r="J164">
        <v>4</v>
      </c>
      <c r="K164" t="str">
        <f>TEXT(discount_impact_on_profit_2000_rows[[#This Row],[order date]],"mmmm")</f>
        <v>January</v>
      </c>
      <c r="L164">
        <f>YEAR(discount_impact_on_profit_2000_rows[[#This Row],[order date]])</f>
        <v>2024</v>
      </c>
      <c r="M164" t="str">
        <f>IF(discount_impact_on_profit_2000_rows[[#This Row],[Discount %]]=0,"Zero Discount",IF(discount_impact_on_profit_2000_rows[[#This Row],[Discount %]]&lt;=10,"Low Discount","High Discount"))</f>
        <v>Zero Discount</v>
      </c>
      <c r="N164" t="str">
        <f t="shared" si="2"/>
        <v>0-10%</v>
      </c>
    </row>
    <row r="165" spans="1:14">
      <c r="A165" s="1">
        <v>45469</v>
      </c>
      <c r="B165" t="s">
        <v>226</v>
      </c>
      <c r="C165" t="s">
        <v>21</v>
      </c>
      <c r="D165" t="s">
        <v>46</v>
      </c>
      <c r="E165">
        <v>7414.17</v>
      </c>
      <c r="F165" t="s">
        <v>23</v>
      </c>
      <c r="G165">
        <v>7420.44</v>
      </c>
      <c r="H165">
        <v>6.27</v>
      </c>
      <c r="I165">
        <v>14</v>
      </c>
      <c r="J165">
        <v>1</v>
      </c>
      <c r="K165" t="str">
        <f>TEXT(discount_impact_on_profit_2000_rows[[#This Row],[order date]],"mmmm")</f>
        <v>June</v>
      </c>
      <c r="L165">
        <f>YEAR(discount_impact_on_profit_2000_rows[[#This Row],[order date]])</f>
        <v>2024</v>
      </c>
      <c r="M165" t="str">
        <f>IF(discount_impact_on_profit_2000_rows[[#This Row],[Discount %]]=0,"Zero Discount",IF(discount_impact_on_profit_2000_rows[[#This Row],[Discount %]]&lt;=10,"Low Discount","High Discount"))</f>
        <v>High Discount</v>
      </c>
      <c r="N165" t="str">
        <f t="shared" si="2"/>
        <v>10-20%</v>
      </c>
    </row>
    <row r="166" spans="1:14">
      <c r="A166" s="1">
        <v>45523</v>
      </c>
      <c r="B166" t="s">
        <v>227</v>
      </c>
      <c r="C166" t="s">
        <v>15</v>
      </c>
      <c r="D166" t="s">
        <v>84</v>
      </c>
      <c r="E166">
        <v>14033.35</v>
      </c>
      <c r="F166" t="s">
        <v>36</v>
      </c>
      <c r="G166">
        <v>17751.240000000002</v>
      </c>
      <c r="H166">
        <v>3717.89</v>
      </c>
      <c r="I166">
        <v>20</v>
      </c>
      <c r="J166">
        <v>4</v>
      </c>
      <c r="K166" t="str">
        <f>TEXT(discount_impact_on_profit_2000_rows[[#This Row],[order date]],"mmmm")</f>
        <v>August</v>
      </c>
      <c r="L166">
        <f>YEAR(discount_impact_on_profit_2000_rows[[#This Row],[order date]])</f>
        <v>2024</v>
      </c>
      <c r="M166" t="str">
        <f>IF(discount_impact_on_profit_2000_rows[[#This Row],[Discount %]]=0,"Zero Discount",IF(discount_impact_on_profit_2000_rows[[#This Row],[Discount %]]&lt;=10,"Low Discount","High Discount"))</f>
        <v>High Discount</v>
      </c>
      <c r="N166" t="str">
        <f t="shared" si="2"/>
        <v>10-20%</v>
      </c>
    </row>
    <row r="167" spans="1:14">
      <c r="A167" s="1">
        <v>45587</v>
      </c>
      <c r="B167" t="s">
        <v>228</v>
      </c>
      <c r="C167" t="s">
        <v>21</v>
      </c>
      <c r="D167" t="s">
        <v>97</v>
      </c>
      <c r="E167">
        <v>1796.33</v>
      </c>
      <c r="F167" t="s">
        <v>23</v>
      </c>
      <c r="G167">
        <v>1846.82</v>
      </c>
      <c r="H167">
        <v>50.49</v>
      </c>
      <c r="I167">
        <v>25</v>
      </c>
      <c r="J167">
        <v>1</v>
      </c>
      <c r="K167" t="str">
        <f>TEXT(discount_impact_on_profit_2000_rows[[#This Row],[order date]],"mmmm")</f>
        <v>October</v>
      </c>
      <c r="L167">
        <f>YEAR(discount_impact_on_profit_2000_rows[[#This Row],[order date]])</f>
        <v>2024</v>
      </c>
      <c r="M167" t="str">
        <f>IF(discount_impact_on_profit_2000_rows[[#This Row],[Discount %]]=0,"Zero Discount",IF(discount_impact_on_profit_2000_rows[[#This Row],[Discount %]]&lt;=10,"Low Discount","High Discount"))</f>
        <v>High Discount</v>
      </c>
      <c r="N167" t="str">
        <f t="shared" si="2"/>
        <v>20-30%</v>
      </c>
    </row>
    <row r="168" spans="1:14">
      <c r="A168" s="1">
        <v>45283</v>
      </c>
      <c r="B168" t="s">
        <v>229</v>
      </c>
      <c r="C168" t="s">
        <v>11</v>
      </c>
      <c r="D168" t="s">
        <v>80</v>
      </c>
      <c r="E168">
        <v>3863.02</v>
      </c>
      <c r="F168" t="s">
        <v>26</v>
      </c>
      <c r="G168">
        <v>5123.1000000000004</v>
      </c>
      <c r="H168">
        <v>1260.08</v>
      </c>
      <c r="I168">
        <v>20</v>
      </c>
      <c r="J168">
        <v>2</v>
      </c>
      <c r="K168" t="str">
        <f>TEXT(discount_impact_on_profit_2000_rows[[#This Row],[order date]],"mmmm")</f>
        <v>December</v>
      </c>
      <c r="L168">
        <f>YEAR(discount_impact_on_profit_2000_rows[[#This Row],[order date]])</f>
        <v>2023</v>
      </c>
      <c r="M168" t="str">
        <f>IF(discount_impact_on_profit_2000_rows[[#This Row],[Discount %]]=0,"Zero Discount",IF(discount_impact_on_profit_2000_rows[[#This Row],[Discount %]]&lt;=10,"Low Discount","High Discount"))</f>
        <v>High Discount</v>
      </c>
      <c r="N168" t="str">
        <f t="shared" si="2"/>
        <v>10-20%</v>
      </c>
    </row>
    <row r="169" spans="1:14">
      <c r="A169" s="1">
        <v>45336</v>
      </c>
      <c r="B169" t="s">
        <v>230</v>
      </c>
      <c r="C169" t="s">
        <v>53</v>
      </c>
      <c r="D169" t="s">
        <v>70</v>
      </c>
      <c r="E169">
        <v>11733.32</v>
      </c>
      <c r="F169" t="s">
        <v>26</v>
      </c>
      <c r="G169">
        <v>23906.06</v>
      </c>
      <c r="H169">
        <v>12172.74</v>
      </c>
      <c r="I169">
        <v>0</v>
      </c>
      <c r="J169">
        <v>10</v>
      </c>
      <c r="K169" t="str">
        <f>TEXT(discount_impact_on_profit_2000_rows[[#This Row],[order date]],"mmmm")</f>
        <v>February</v>
      </c>
      <c r="L169">
        <f>YEAR(discount_impact_on_profit_2000_rows[[#This Row],[order date]])</f>
        <v>2024</v>
      </c>
      <c r="M169" t="str">
        <f>IF(discount_impact_on_profit_2000_rows[[#This Row],[Discount %]]=0,"Zero Discount",IF(discount_impact_on_profit_2000_rows[[#This Row],[Discount %]]&lt;=10,"Low Discount","High Discount"))</f>
        <v>Zero Discount</v>
      </c>
      <c r="N169" t="str">
        <f t="shared" si="2"/>
        <v>0-10%</v>
      </c>
    </row>
    <row r="170" spans="1:14">
      <c r="A170" s="1">
        <v>45810</v>
      </c>
      <c r="B170" t="s">
        <v>231</v>
      </c>
      <c r="C170" t="s">
        <v>18</v>
      </c>
      <c r="D170" t="s">
        <v>188</v>
      </c>
      <c r="E170">
        <v>496.6</v>
      </c>
      <c r="F170" t="s">
        <v>36</v>
      </c>
      <c r="G170">
        <v>1048.22</v>
      </c>
      <c r="H170">
        <v>551.62</v>
      </c>
      <c r="I170">
        <v>5</v>
      </c>
      <c r="J170">
        <v>1</v>
      </c>
      <c r="K170" t="str">
        <f>TEXT(discount_impact_on_profit_2000_rows[[#This Row],[order date]],"mmmm")</f>
        <v>June</v>
      </c>
      <c r="L170">
        <f>YEAR(discount_impact_on_profit_2000_rows[[#This Row],[order date]])</f>
        <v>2025</v>
      </c>
      <c r="M170" t="str">
        <f>IF(discount_impact_on_profit_2000_rows[[#This Row],[Discount %]]=0,"Zero Discount",IF(discount_impact_on_profit_2000_rows[[#This Row],[Discount %]]&lt;=10,"Low Discount","High Discount"))</f>
        <v>Low Discount</v>
      </c>
      <c r="N170" t="str">
        <f t="shared" si="2"/>
        <v>0-10%</v>
      </c>
    </row>
    <row r="171" spans="1:14">
      <c r="A171" s="1">
        <v>45201</v>
      </c>
      <c r="B171" t="s">
        <v>232</v>
      </c>
      <c r="C171" t="s">
        <v>21</v>
      </c>
      <c r="D171" t="s">
        <v>109</v>
      </c>
      <c r="E171">
        <v>9954.41</v>
      </c>
      <c r="F171" t="s">
        <v>36</v>
      </c>
      <c r="G171">
        <v>10789.19</v>
      </c>
      <c r="H171">
        <v>834.78</v>
      </c>
      <c r="I171">
        <v>10</v>
      </c>
      <c r="J171">
        <v>4</v>
      </c>
      <c r="K171" t="str">
        <f>TEXT(discount_impact_on_profit_2000_rows[[#This Row],[order date]],"mmmm")</f>
        <v>October</v>
      </c>
      <c r="L171">
        <f>YEAR(discount_impact_on_profit_2000_rows[[#This Row],[order date]])</f>
        <v>2023</v>
      </c>
      <c r="M171" t="str">
        <f>IF(discount_impact_on_profit_2000_rows[[#This Row],[Discount %]]=0,"Zero Discount",IF(discount_impact_on_profit_2000_rows[[#This Row],[Discount %]]&lt;=10,"Low Discount","High Discount"))</f>
        <v>Low Discount</v>
      </c>
      <c r="N171" t="str">
        <f t="shared" si="2"/>
        <v>0-10%</v>
      </c>
    </row>
    <row r="172" spans="1:14">
      <c r="A172" s="1">
        <v>45185</v>
      </c>
      <c r="B172" t="s">
        <v>233</v>
      </c>
      <c r="C172" t="s">
        <v>15</v>
      </c>
      <c r="D172" t="s">
        <v>99</v>
      </c>
      <c r="E172">
        <v>2428.11</v>
      </c>
      <c r="F172" t="s">
        <v>26</v>
      </c>
      <c r="G172">
        <v>2500.9499999999998</v>
      </c>
      <c r="H172">
        <v>72.84</v>
      </c>
      <c r="I172">
        <v>21</v>
      </c>
      <c r="J172">
        <v>2</v>
      </c>
      <c r="K172" t="str">
        <f>TEXT(discount_impact_on_profit_2000_rows[[#This Row],[order date]],"mmmm")</f>
        <v>September</v>
      </c>
      <c r="L172">
        <f>YEAR(discount_impact_on_profit_2000_rows[[#This Row],[order date]])</f>
        <v>2023</v>
      </c>
      <c r="M172" t="str">
        <f>IF(discount_impact_on_profit_2000_rows[[#This Row],[Discount %]]=0,"Zero Discount",IF(discount_impact_on_profit_2000_rows[[#This Row],[Discount %]]&lt;=10,"Low Discount","High Discount"))</f>
        <v>High Discount</v>
      </c>
      <c r="N172" t="str">
        <f t="shared" si="2"/>
        <v>20-30%</v>
      </c>
    </row>
    <row r="173" spans="1:14">
      <c r="A173" s="1">
        <v>44989</v>
      </c>
      <c r="B173" t="s">
        <v>234</v>
      </c>
      <c r="C173" t="s">
        <v>18</v>
      </c>
      <c r="D173" t="s">
        <v>140</v>
      </c>
      <c r="E173">
        <v>168.67</v>
      </c>
      <c r="F173" t="s">
        <v>36</v>
      </c>
      <c r="G173">
        <v>294.54000000000002</v>
      </c>
      <c r="H173">
        <v>125.87</v>
      </c>
      <c r="I173">
        <v>20</v>
      </c>
      <c r="J173">
        <v>3</v>
      </c>
      <c r="K173" t="str">
        <f>TEXT(discount_impact_on_profit_2000_rows[[#This Row],[order date]],"mmmm")</f>
        <v>March</v>
      </c>
      <c r="L173">
        <f>YEAR(discount_impact_on_profit_2000_rows[[#This Row],[order date]])</f>
        <v>2023</v>
      </c>
      <c r="M173" t="str">
        <f>IF(discount_impact_on_profit_2000_rows[[#This Row],[Discount %]]=0,"Zero Discount",IF(discount_impact_on_profit_2000_rows[[#This Row],[Discount %]]&lt;=10,"Low Discount","High Discount"))</f>
        <v>High Discount</v>
      </c>
      <c r="N173" t="str">
        <f t="shared" si="2"/>
        <v>10-20%</v>
      </c>
    </row>
    <row r="174" spans="1:14">
      <c r="A174" s="1">
        <v>45325</v>
      </c>
      <c r="B174" t="s">
        <v>235</v>
      </c>
      <c r="C174" t="s">
        <v>11</v>
      </c>
      <c r="D174" t="s">
        <v>12</v>
      </c>
      <c r="E174">
        <v>425.72</v>
      </c>
      <c r="F174" t="s">
        <v>13</v>
      </c>
      <c r="G174">
        <v>621.66999999999996</v>
      </c>
      <c r="H174">
        <v>195.95</v>
      </c>
      <c r="I174">
        <v>20</v>
      </c>
      <c r="J174">
        <v>3</v>
      </c>
      <c r="K174" t="str">
        <f>TEXT(discount_impact_on_profit_2000_rows[[#This Row],[order date]],"mmmm")</f>
        <v>February</v>
      </c>
      <c r="L174">
        <f>YEAR(discount_impact_on_profit_2000_rows[[#This Row],[order date]])</f>
        <v>2024</v>
      </c>
      <c r="M174" t="str">
        <f>IF(discount_impact_on_profit_2000_rows[[#This Row],[Discount %]]=0,"Zero Discount",IF(discount_impact_on_profit_2000_rows[[#This Row],[Discount %]]&lt;=10,"Low Discount","High Discount"))</f>
        <v>High Discount</v>
      </c>
      <c r="N174" t="str">
        <f t="shared" si="2"/>
        <v>10-20%</v>
      </c>
    </row>
    <row r="175" spans="1:14">
      <c r="A175" s="1">
        <v>45977</v>
      </c>
      <c r="B175" t="s">
        <v>236</v>
      </c>
      <c r="C175" t="s">
        <v>15</v>
      </c>
      <c r="D175" t="s">
        <v>99</v>
      </c>
      <c r="E175">
        <v>4237.3599999999997</v>
      </c>
      <c r="F175" t="s">
        <v>31</v>
      </c>
      <c r="G175">
        <v>6549.7</v>
      </c>
      <c r="H175">
        <v>2312.34</v>
      </c>
      <c r="I175">
        <v>5</v>
      </c>
      <c r="J175">
        <v>2</v>
      </c>
      <c r="K175" t="str">
        <f>TEXT(discount_impact_on_profit_2000_rows[[#This Row],[order date]],"mmmm")</f>
        <v>November</v>
      </c>
      <c r="L175">
        <f>YEAR(discount_impact_on_profit_2000_rows[[#This Row],[order date]])</f>
        <v>2025</v>
      </c>
      <c r="M175" t="str">
        <f>IF(discount_impact_on_profit_2000_rows[[#This Row],[Discount %]]=0,"Zero Discount",IF(discount_impact_on_profit_2000_rows[[#This Row],[Discount %]]&lt;=10,"Low Discount","High Discount"))</f>
        <v>Low Discount</v>
      </c>
      <c r="N175" t="str">
        <f t="shared" si="2"/>
        <v>0-10%</v>
      </c>
    </row>
    <row r="176" spans="1:14">
      <c r="A176" s="1">
        <v>45202</v>
      </c>
      <c r="B176" t="s">
        <v>237</v>
      </c>
      <c r="C176" t="s">
        <v>21</v>
      </c>
      <c r="D176" t="s">
        <v>82</v>
      </c>
      <c r="E176">
        <v>10358.69</v>
      </c>
      <c r="F176" t="s">
        <v>13</v>
      </c>
      <c r="G176">
        <v>10377.01</v>
      </c>
      <c r="H176">
        <v>18.32</v>
      </c>
      <c r="I176">
        <v>19</v>
      </c>
      <c r="J176">
        <v>1</v>
      </c>
      <c r="K176" t="str">
        <f>TEXT(discount_impact_on_profit_2000_rows[[#This Row],[order date]],"mmmm")</f>
        <v>October</v>
      </c>
      <c r="L176">
        <f>YEAR(discount_impact_on_profit_2000_rows[[#This Row],[order date]])</f>
        <v>2023</v>
      </c>
      <c r="M176" t="str">
        <f>IF(discount_impact_on_profit_2000_rows[[#This Row],[Discount %]]=0,"Zero Discount",IF(discount_impact_on_profit_2000_rows[[#This Row],[Discount %]]&lt;=10,"Low Discount","High Discount"))</f>
        <v>High Discount</v>
      </c>
      <c r="N176" t="str">
        <f t="shared" si="2"/>
        <v>10-20%</v>
      </c>
    </row>
    <row r="177" spans="1:14">
      <c r="A177" s="1">
        <v>46005</v>
      </c>
      <c r="B177" t="s">
        <v>238</v>
      </c>
      <c r="C177" t="s">
        <v>21</v>
      </c>
      <c r="D177" t="s">
        <v>46</v>
      </c>
      <c r="E177">
        <v>20146.38</v>
      </c>
      <c r="F177" t="s">
        <v>31</v>
      </c>
      <c r="G177">
        <v>23986.91</v>
      </c>
      <c r="H177">
        <v>3840.53</v>
      </c>
      <c r="I177">
        <v>15</v>
      </c>
      <c r="J177">
        <v>4</v>
      </c>
      <c r="K177" t="str">
        <f>TEXT(discount_impact_on_profit_2000_rows[[#This Row],[order date]],"mmmm")</f>
        <v>December</v>
      </c>
      <c r="L177">
        <f>YEAR(discount_impact_on_profit_2000_rows[[#This Row],[order date]])</f>
        <v>2025</v>
      </c>
      <c r="M177" t="str">
        <f>IF(discount_impact_on_profit_2000_rows[[#This Row],[Discount %]]=0,"Zero Discount",IF(discount_impact_on_profit_2000_rows[[#This Row],[Discount %]]&lt;=10,"Low Discount","High Discount"))</f>
        <v>High Discount</v>
      </c>
      <c r="N177" t="str">
        <f t="shared" si="2"/>
        <v>10-20%</v>
      </c>
    </row>
    <row r="178" spans="1:14">
      <c r="A178" s="1">
        <v>45246</v>
      </c>
      <c r="B178" t="s">
        <v>239</v>
      </c>
      <c r="C178" t="s">
        <v>33</v>
      </c>
      <c r="D178" t="s">
        <v>44</v>
      </c>
      <c r="E178">
        <v>3605.9</v>
      </c>
      <c r="F178" t="s">
        <v>31</v>
      </c>
      <c r="G178">
        <v>5085.6400000000003</v>
      </c>
      <c r="H178">
        <v>1479.74</v>
      </c>
      <c r="I178">
        <v>5</v>
      </c>
      <c r="J178">
        <v>2</v>
      </c>
      <c r="K178" t="str">
        <f>TEXT(discount_impact_on_profit_2000_rows[[#This Row],[order date]],"mmmm")</f>
        <v>November</v>
      </c>
      <c r="L178">
        <f>YEAR(discount_impact_on_profit_2000_rows[[#This Row],[order date]])</f>
        <v>2023</v>
      </c>
      <c r="M178" t="str">
        <f>IF(discount_impact_on_profit_2000_rows[[#This Row],[Discount %]]=0,"Zero Discount",IF(discount_impact_on_profit_2000_rows[[#This Row],[Discount %]]&lt;=10,"Low Discount","High Discount"))</f>
        <v>Low Discount</v>
      </c>
      <c r="N178" t="str">
        <f t="shared" si="2"/>
        <v>0-10%</v>
      </c>
    </row>
    <row r="179" spans="1:14">
      <c r="A179" s="1">
        <v>45185</v>
      </c>
      <c r="B179" t="s">
        <v>240</v>
      </c>
      <c r="C179" t="s">
        <v>18</v>
      </c>
      <c r="D179" t="s">
        <v>104</v>
      </c>
      <c r="E179">
        <v>300.13</v>
      </c>
      <c r="F179" t="s">
        <v>26</v>
      </c>
      <c r="G179">
        <v>626.72</v>
      </c>
      <c r="H179">
        <v>326.58999999999997</v>
      </c>
      <c r="I179">
        <v>0</v>
      </c>
      <c r="J179">
        <v>2</v>
      </c>
      <c r="K179" t="str">
        <f>TEXT(discount_impact_on_profit_2000_rows[[#This Row],[order date]],"mmmm")</f>
        <v>September</v>
      </c>
      <c r="L179">
        <f>YEAR(discount_impact_on_profit_2000_rows[[#This Row],[order date]])</f>
        <v>2023</v>
      </c>
      <c r="M179" t="str">
        <f>IF(discount_impact_on_profit_2000_rows[[#This Row],[Discount %]]=0,"Zero Discount",IF(discount_impact_on_profit_2000_rows[[#This Row],[Discount %]]&lt;=10,"Low Discount","High Discount"))</f>
        <v>Zero Discount</v>
      </c>
      <c r="N179" t="str">
        <f t="shared" si="2"/>
        <v>0-10%</v>
      </c>
    </row>
    <row r="180" spans="1:14">
      <c r="A180" s="1">
        <v>45861</v>
      </c>
      <c r="B180" t="s">
        <v>241</v>
      </c>
      <c r="C180" t="s">
        <v>15</v>
      </c>
      <c r="D180" t="s">
        <v>84</v>
      </c>
      <c r="E180">
        <v>3123.83</v>
      </c>
      <c r="F180" t="s">
        <v>36</v>
      </c>
      <c r="G180">
        <v>3702.36</v>
      </c>
      <c r="H180">
        <v>578.53</v>
      </c>
      <c r="I180">
        <v>20</v>
      </c>
      <c r="J180">
        <v>2</v>
      </c>
      <c r="K180" t="str">
        <f>TEXT(discount_impact_on_profit_2000_rows[[#This Row],[order date]],"mmmm")</f>
        <v>July</v>
      </c>
      <c r="L180">
        <f>YEAR(discount_impact_on_profit_2000_rows[[#This Row],[order date]])</f>
        <v>2025</v>
      </c>
      <c r="M180" t="str">
        <f>IF(discount_impact_on_profit_2000_rows[[#This Row],[Discount %]]=0,"Zero Discount",IF(discount_impact_on_profit_2000_rows[[#This Row],[Discount %]]&lt;=10,"Low Discount","High Discount"))</f>
        <v>High Discount</v>
      </c>
      <c r="N180" t="str">
        <f t="shared" si="2"/>
        <v>10-20%</v>
      </c>
    </row>
    <row r="181" spans="1:14">
      <c r="A181" s="1">
        <v>45612</v>
      </c>
      <c r="B181" t="s">
        <v>242</v>
      </c>
      <c r="C181" t="s">
        <v>18</v>
      </c>
      <c r="D181" t="s">
        <v>50</v>
      </c>
      <c r="E181">
        <v>980.83</v>
      </c>
      <c r="F181" t="s">
        <v>23</v>
      </c>
      <c r="G181">
        <v>1189.8800000000001</v>
      </c>
      <c r="H181">
        <v>209.05</v>
      </c>
      <c r="I181">
        <v>20</v>
      </c>
      <c r="J181">
        <v>2</v>
      </c>
      <c r="K181" t="str">
        <f>TEXT(discount_impact_on_profit_2000_rows[[#This Row],[order date]],"mmmm")</f>
        <v>November</v>
      </c>
      <c r="L181">
        <f>YEAR(discount_impact_on_profit_2000_rows[[#This Row],[order date]])</f>
        <v>2024</v>
      </c>
      <c r="M181" t="str">
        <f>IF(discount_impact_on_profit_2000_rows[[#This Row],[Discount %]]=0,"Zero Discount",IF(discount_impact_on_profit_2000_rows[[#This Row],[Discount %]]&lt;=10,"Low Discount","High Discount"))</f>
        <v>High Discount</v>
      </c>
      <c r="N181" t="str">
        <f t="shared" si="2"/>
        <v>10-20%</v>
      </c>
    </row>
    <row r="182" spans="1:14">
      <c r="A182" s="1">
        <v>45205</v>
      </c>
      <c r="B182" t="s">
        <v>243</v>
      </c>
      <c r="C182" t="s">
        <v>15</v>
      </c>
      <c r="D182" t="s">
        <v>16</v>
      </c>
      <c r="E182">
        <v>61183.27</v>
      </c>
      <c r="F182" t="s">
        <v>31</v>
      </c>
      <c r="G182">
        <v>69566.210000000006</v>
      </c>
      <c r="H182">
        <v>8382.94</v>
      </c>
      <c r="I182">
        <v>20</v>
      </c>
      <c r="J182">
        <v>5</v>
      </c>
      <c r="K182" t="str">
        <f>TEXT(discount_impact_on_profit_2000_rows[[#This Row],[order date]],"mmmm")</f>
        <v>October</v>
      </c>
      <c r="L182">
        <f>YEAR(discount_impact_on_profit_2000_rows[[#This Row],[order date]])</f>
        <v>2023</v>
      </c>
      <c r="M182" t="str">
        <f>IF(discount_impact_on_profit_2000_rows[[#This Row],[Discount %]]=0,"Zero Discount",IF(discount_impact_on_profit_2000_rows[[#This Row],[Discount %]]&lt;=10,"Low Discount","High Discount"))</f>
        <v>High Discount</v>
      </c>
      <c r="N182" t="str">
        <f t="shared" si="2"/>
        <v>10-20%</v>
      </c>
    </row>
    <row r="183" spans="1:14">
      <c r="A183" s="1">
        <v>45811</v>
      </c>
      <c r="B183" t="s">
        <v>244</v>
      </c>
      <c r="C183" t="s">
        <v>53</v>
      </c>
      <c r="D183" t="s">
        <v>152</v>
      </c>
      <c r="E183">
        <v>415.99</v>
      </c>
      <c r="F183" t="s">
        <v>31</v>
      </c>
      <c r="G183">
        <v>773.2</v>
      </c>
      <c r="H183">
        <v>357.21</v>
      </c>
      <c r="I183">
        <v>10</v>
      </c>
      <c r="J183">
        <v>1</v>
      </c>
      <c r="K183" t="str">
        <f>TEXT(discount_impact_on_profit_2000_rows[[#This Row],[order date]],"mmmm")</f>
        <v>June</v>
      </c>
      <c r="L183">
        <f>YEAR(discount_impact_on_profit_2000_rows[[#This Row],[order date]])</f>
        <v>2025</v>
      </c>
      <c r="M183" t="str">
        <f>IF(discount_impact_on_profit_2000_rows[[#This Row],[Discount %]]=0,"Zero Discount",IF(discount_impact_on_profit_2000_rows[[#This Row],[Discount %]]&lt;=10,"Low Discount","High Discount"))</f>
        <v>Low Discount</v>
      </c>
      <c r="N183" t="str">
        <f t="shared" si="2"/>
        <v>0-10%</v>
      </c>
    </row>
    <row r="184" spans="1:14">
      <c r="A184" s="1">
        <v>45603</v>
      </c>
      <c r="B184" t="s">
        <v>245</v>
      </c>
      <c r="C184" t="s">
        <v>15</v>
      </c>
      <c r="D184" t="s">
        <v>84</v>
      </c>
      <c r="E184">
        <v>2082.34</v>
      </c>
      <c r="F184" t="s">
        <v>26</v>
      </c>
      <c r="G184">
        <v>2519.12</v>
      </c>
      <c r="H184">
        <v>436.78</v>
      </c>
      <c r="I184">
        <v>20</v>
      </c>
      <c r="J184">
        <v>1</v>
      </c>
      <c r="K184" t="str">
        <f>TEXT(discount_impact_on_profit_2000_rows[[#This Row],[order date]],"mmmm")</f>
        <v>November</v>
      </c>
      <c r="L184">
        <f>YEAR(discount_impact_on_profit_2000_rows[[#This Row],[order date]])</f>
        <v>2024</v>
      </c>
      <c r="M184" t="str">
        <f>IF(discount_impact_on_profit_2000_rows[[#This Row],[Discount %]]=0,"Zero Discount",IF(discount_impact_on_profit_2000_rows[[#This Row],[Discount %]]&lt;=10,"Low Discount","High Discount"))</f>
        <v>High Discount</v>
      </c>
      <c r="N184" t="str">
        <f t="shared" si="2"/>
        <v>10-20%</v>
      </c>
    </row>
    <row r="185" spans="1:14">
      <c r="A185" s="1">
        <v>45824</v>
      </c>
      <c r="B185" t="s">
        <v>246</v>
      </c>
      <c r="C185" t="s">
        <v>33</v>
      </c>
      <c r="D185" t="s">
        <v>197</v>
      </c>
      <c r="E185">
        <v>20914.7</v>
      </c>
      <c r="F185" t="s">
        <v>23</v>
      </c>
      <c r="G185">
        <v>23002.04</v>
      </c>
      <c r="H185">
        <v>2087.34</v>
      </c>
      <c r="I185">
        <v>25</v>
      </c>
      <c r="J185">
        <v>2</v>
      </c>
      <c r="K185" t="str">
        <f>TEXT(discount_impact_on_profit_2000_rows[[#This Row],[order date]],"mmmm")</f>
        <v>June</v>
      </c>
      <c r="L185">
        <f>YEAR(discount_impact_on_profit_2000_rows[[#This Row],[order date]])</f>
        <v>2025</v>
      </c>
      <c r="M185" t="str">
        <f>IF(discount_impact_on_profit_2000_rows[[#This Row],[Discount %]]=0,"Zero Discount",IF(discount_impact_on_profit_2000_rows[[#This Row],[Discount %]]&lt;=10,"Low Discount","High Discount"))</f>
        <v>High Discount</v>
      </c>
      <c r="N185" t="str">
        <f t="shared" si="2"/>
        <v>20-30%</v>
      </c>
    </row>
    <row r="186" spans="1:14">
      <c r="A186" s="1">
        <v>45803</v>
      </c>
      <c r="B186" t="s">
        <v>247</v>
      </c>
      <c r="C186" t="s">
        <v>53</v>
      </c>
      <c r="D186" t="s">
        <v>54</v>
      </c>
      <c r="E186">
        <v>409.69</v>
      </c>
      <c r="F186" t="s">
        <v>36</v>
      </c>
      <c r="G186">
        <v>569.21</v>
      </c>
      <c r="H186">
        <v>159.52000000000001</v>
      </c>
      <c r="I186">
        <v>10</v>
      </c>
      <c r="J186">
        <v>1</v>
      </c>
      <c r="K186" t="str">
        <f>TEXT(discount_impact_on_profit_2000_rows[[#This Row],[order date]],"mmmm")</f>
        <v>May</v>
      </c>
      <c r="L186">
        <f>YEAR(discount_impact_on_profit_2000_rows[[#This Row],[order date]])</f>
        <v>2025</v>
      </c>
      <c r="M186" t="str">
        <f>IF(discount_impact_on_profit_2000_rows[[#This Row],[Discount %]]=0,"Zero Discount",IF(discount_impact_on_profit_2000_rows[[#This Row],[Discount %]]&lt;=10,"Low Discount","High Discount"))</f>
        <v>Low Discount</v>
      </c>
      <c r="N186" t="str">
        <f t="shared" si="2"/>
        <v>0-10%</v>
      </c>
    </row>
    <row r="187" spans="1:14">
      <c r="A187" s="1">
        <v>45182</v>
      </c>
      <c r="B187" t="s">
        <v>248</v>
      </c>
      <c r="C187" t="s">
        <v>33</v>
      </c>
      <c r="D187" t="s">
        <v>44</v>
      </c>
      <c r="E187">
        <v>15852.48</v>
      </c>
      <c r="F187" t="s">
        <v>36</v>
      </c>
      <c r="G187">
        <v>23925.14</v>
      </c>
      <c r="H187">
        <v>8072.66</v>
      </c>
      <c r="I187">
        <v>0</v>
      </c>
      <c r="J187">
        <v>2</v>
      </c>
      <c r="K187" t="str">
        <f>TEXT(discount_impact_on_profit_2000_rows[[#This Row],[order date]],"mmmm")</f>
        <v>September</v>
      </c>
      <c r="L187">
        <f>YEAR(discount_impact_on_profit_2000_rows[[#This Row],[order date]])</f>
        <v>2023</v>
      </c>
      <c r="M187" t="str">
        <f>IF(discount_impact_on_profit_2000_rows[[#This Row],[Discount %]]=0,"Zero Discount",IF(discount_impact_on_profit_2000_rows[[#This Row],[Discount %]]&lt;=10,"Low Discount","High Discount"))</f>
        <v>Zero Discount</v>
      </c>
      <c r="N187" t="str">
        <f t="shared" si="2"/>
        <v>0-10%</v>
      </c>
    </row>
    <row r="188" spans="1:14">
      <c r="A188" s="1">
        <v>45782</v>
      </c>
      <c r="B188" t="s">
        <v>249</v>
      </c>
      <c r="C188" t="s">
        <v>33</v>
      </c>
      <c r="D188" t="s">
        <v>34</v>
      </c>
      <c r="E188">
        <v>8898.2199999999993</v>
      </c>
      <c r="F188" t="s">
        <v>31</v>
      </c>
      <c r="G188">
        <v>10747.55</v>
      </c>
      <c r="H188">
        <v>1849.33</v>
      </c>
      <c r="I188">
        <v>25</v>
      </c>
      <c r="J188">
        <v>1</v>
      </c>
      <c r="K188" t="str">
        <f>TEXT(discount_impact_on_profit_2000_rows[[#This Row],[order date]],"mmmm")</f>
        <v>May</v>
      </c>
      <c r="L188">
        <f>YEAR(discount_impact_on_profit_2000_rows[[#This Row],[order date]])</f>
        <v>2025</v>
      </c>
      <c r="M188" t="str">
        <f>IF(discount_impact_on_profit_2000_rows[[#This Row],[Discount %]]=0,"Zero Discount",IF(discount_impact_on_profit_2000_rows[[#This Row],[Discount %]]&lt;=10,"Low Discount","High Discount"))</f>
        <v>High Discount</v>
      </c>
      <c r="N188" t="str">
        <f t="shared" si="2"/>
        <v>20-30%</v>
      </c>
    </row>
    <row r="189" spans="1:14">
      <c r="A189" s="1">
        <v>45335</v>
      </c>
      <c r="B189" t="s">
        <v>250</v>
      </c>
      <c r="C189" t="s">
        <v>21</v>
      </c>
      <c r="D189" t="s">
        <v>109</v>
      </c>
      <c r="E189">
        <v>4806.87</v>
      </c>
      <c r="F189" t="s">
        <v>36</v>
      </c>
      <c r="G189">
        <v>7237.05</v>
      </c>
      <c r="H189">
        <v>2430.1799999999998</v>
      </c>
      <c r="I189">
        <v>0</v>
      </c>
      <c r="J189">
        <v>2</v>
      </c>
      <c r="K189" t="str">
        <f>TEXT(discount_impact_on_profit_2000_rows[[#This Row],[order date]],"mmmm")</f>
        <v>February</v>
      </c>
      <c r="L189">
        <f>YEAR(discount_impact_on_profit_2000_rows[[#This Row],[order date]])</f>
        <v>2024</v>
      </c>
      <c r="M189" t="str">
        <f>IF(discount_impact_on_profit_2000_rows[[#This Row],[Discount %]]=0,"Zero Discount",IF(discount_impact_on_profit_2000_rows[[#This Row],[Discount %]]&lt;=10,"Low Discount","High Discount"))</f>
        <v>Zero Discount</v>
      </c>
      <c r="N189" t="str">
        <f t="shared" si="2"/>
        <v>0-10%</v>
      </c>
    </row>
    <row r="190" spans="1:14">
      <c r="A190" s="1">
        <v>45875</v>
      </c>
      <c r="B190" t="s">
        <v>251</v>
      </c>
      <c r="C190" t="s">
        <v>11</v>
      </c>
      <c r="D190" t="s">
        <v>25</v>
      </c>
      <c r="E190">
        <v>4428.8500000000004</v>
      </c>
      <c r="F190" t="s">
        <v>31</v>
      </c>
      <c r="G190">
        <v>8957.31</v>
      </c>
      <c r="H190">
        <v>4528.46</v>
      </c>
      <c r="I190">
        <v>10</v>
      </c>
      <c r="J190">
        <v>4</v>
      </c>
      <c r="K190" t="str">
        <f>TEXT(discount_impact_on_profit_2000_rows[[#This Row],[order date]],"mmmm")</f>
        <v>August</v>
      </c>
      <c r="L190">
        <f>YEAR(discount_impact_on_profit_2000_rows[[#This Row],[order date]])</f>
        <v>2025</v>
      </c>
      <c r="M190" t="str">
        <f>IF(discount_impact_on_profit_2000_rows[[#This Row],[Discount %]]=0,"Zero Discount",IF(discount_impact_on_profit_2000_rows[[#This Row],[Discount %]]&lt;=10,"Low Discount","High Discount"))</f>
        <v>Low Discount</v>
      </c>
      <c r="N190" t="str">
        <f t="shared" si="2"/>
        <v>0-10%</v>
      </c>
    </row>
    <row r="191" spans="1:14">
      <c r="A191" s="1">
        <v>45032</v>
      </c>
      <c r="B191" t="s">
        <v>252</v>
      </c>
      <c r="C191" t="s">
        <v>18</v>
      </c>
      <c r="D191" t="s">
        <v>104</v>
      </c>
      <c r="E191">
        <v>162.12</v>
      </c>
      <c r="F191" t="s">
        <v>26</v>
      </c>
      <c r="G191">
        <v>325.58</v>
      </c>
      <c r="H191">
        <v>163.46</v>
      </c>
      <c r="I191">
        <v>10</v>
      </c>
      <c r="J191">
        <v>3</v>
      </c>
      <c r="K191" t="str">
        <f>TEXT(discount_impact_on_profit_2000_rows[[#This Row],[order date]],"mmmm")</f>
        <v>April</v>
      </c>
      <c r="L191">
        <f>YEAR(discount_impact_on_profit_2000_rows[[#This Row],[order date]])</f>
        <v>2023</v>
      </c>
      <c r="M191" t="str">
        <f>IF(discount_impact_on_profit_2000_rows[[#This Row],[Discount %]]=0,"Zero Discount",IF(discount_impact_on_profit_2000_rows[[#This Row],[Discount %]]&lt;=10,"Low Discount","High Discount"))</f>
        <v>Low Discount</v>
      </c>
      <c r="N191" t="str">
        <f t="shared" si="2"/>
        <v>0-10%</v>
      </c>
    </row>
    <row r="192" spans="1:14">
      <c r="A192" s="1">
        <v>45978</v>
      </c>
      <c r="B192" t="s">
        <v>253</v>
      </c>
      <c r="C192" t="s">
        <v>18</v>
      </c>
      <c r="D192" t="s">
        <v>188</v>
      </c>
      <c r="E192">
        <v>5315.45</v>
      </c>
      <c r="F192" t="s">
        <v>23</v>
      </c>
      <c r="G192">
        <v>8545.31</v>
      </c>
      <c r="H192">
        <v>3229.86</v>
      </c>
      <c r="I192">
        <v>0</v>
      </c>
      <c r="J192">
        <v>5</v>
      </c>
      <c r="K192" t="str">
        <f>TEXT(discount_impact_on_profit_2000_rows[[#This Row],[order date]],"mmmm")</f>
        <v>November</v>
      </c>
      <c r="L192">
        <f>YEAR(discount_impact_on_profit_2000_rows[[#This Row],[order date]])</f>
        <v>2025</v>
      </c>
      <c r="M192" t="str">
        <f>IF(discount_impact_on_profit_2000_rows[[#This Row],[Discount %]]=0,"Zero Discount",IF(discount_impact_on_profit_2000_rows[[#This Row],[Discount %]]&lt;=10,"Low Discount","High Discount"))</f>
        <v>Zero Discount</v>
      </c>
      <c r="N192" t="str">
        <f t="shared" si="2"/>
        <v>0-10%</v>
      </c>
    </row>
    <row r="193" spans="1:14">
      <c r="A193" s="1">
        <v>45518</v>
      </c>
      <c r="B193" t="s">
        <v>254</v>
      </c>
      <c r="C193" t="s">
        <v>11</v>
      </c>
      <c r="D193" t="s">
        <v>30</v>
      </c>
      <c r="E193">
        <v>9240.1</v>
      </c>
      <c r="F193" t="s">
        <v>31</v>
      </c>
      <c r="G193">
        <v>17583.38</v>
      </c>
      <c r="H193">
        <v>8343.2800000000007</v>
      </c>
      <c r="I193">
        <v>15</v>
      </c>
      <c r="J193">
        <v>8</v>
      </c>
      <c r="K193" t="str">
        <f>TEXT(discount_impact_on_profit_2000_rows[[#This Row],[order date]],"mmmm")</f>
        <v>August</v>
      </c>
      <c r="L193">
        <f>YEAR(discount_impact_on_profit_2000_rows[[#This Row],[order date]])</f>
        <v>2024</v>
      </c>
      <c r="M193" t="str">
        <f>IF(discount_impact_on_profit_2000_rows[[#This Row],[Discount %]]=0,"Zero Discount",IF(discount_impact_on_profit_2000_rows[[#This Row],[Discount %]]&lt;=10,"Low Discount","High Discount"))</f>
        <v>High Discount</v>
      </c>
      <c r="N193" t="str">
        <f t="shared" si="2"/>
        <v>10-20%</v>
      </c>
    </row>
    <row r="194" spans="1:14">
      <c r="A194" s="1">
        <v>45385</v>
      </c>
      <c r="B194" t="s">
        <v>255</v>
      </c>
      <c r="C194" t="s">
        <v>18</v>
      </c>
      <c r="D194" t="s">
        <v>104</v>
      </c>
      <c r="E194">
        <v>202.58</v>
      </c>
      <c r="F194" t="s">
        <v>36</v>
      </c>
      <c r="G194">
        <v>321.02</v>
      </c>
      <c r="H194">
        <v>118.44</v>
      </c>
      <c r="I194">
        <v>15</v>
      </c>
      <c r="J194">
        <v>1</v>
      </c>
      <c r="K194" t="str">
        <f>TEXT(discount_impact_on_profit_2000_rows[[#This Row],[order date]],"mmmm")</f>
        <v>April</v>
      </c>
      <c r="L194">
        <f>YEAR(discount_impact_on_profit_2000_rows[[#This Row],[order date]])</f>
        <v>2024</v>
      </c>
      <c r="M194" t="str">
        <f>IF(discount_impact_on_profit_2000_rows[[#This Row],[Discount %]]=0,"Zero Discount",IF(discount_impact_on_profit_2000_rows[[#This Row],[Discount %]]&lt;=10,"Low Discount","High Discount"))</f>
        <v>High Discount</v>
      </c>
      <c r="N194" t="str">
        <f t="shared" ref="N194:N257" si="3">IF(I194&lt;=10,"0-10%",IF(I194&lt;=20,"10-20%",IF(I194&lt;=30,"20-30%","30%+")))</f>
        <v>10-20%</v>
      </c>
    </row>
    <row r="195" spans="1:14">
      <c r="A195" s="1">
        <v>45870</v>
      </c>
      <c r="B195" t="s">
        <v>256</v>
      </c>
      <c r="C195" t="s">
        <v>11</v>
      </c>
      <c r="D195" t="s">
        <v>80</v>
      </c>
      <c r="E195">
        <v>739.48</v>
      </c>
      <c r="F195" t="s">
        <v>13</v>
      </c>
      <c r="G195">
        <v>918.9</v>
      </c>
      <c r="H195">
        <v>179.42</v>
      </c>
      <c r="I195">
        <v>20</v>
      </c>
      <c r="J195">
        <v>3</v>
      </c>
      <c r="K195" t="str">
        <f>TEXT(discount_impact_on_profit_2000_rows[[#This Row],[order date]],"mmmm")</f>
        <v>August</v>
      </c>
      <c r="L195">
        <f>YEAR(discount_impact_on_profit_2000_rows[[#This Row],[order date]])</f>
        <v>2025</v>
      </c>
      <c r="M195" t="str">
        <f>IF(discount_impact_on_profit_2000_rows[[#This Row],[Discount %]]=0,"Zero Discount",IF(discount_impact_on_profit_2000_rows[[#This Row],[Discount %]]&lt;=10,"Low Discount","High Discount"))</f>
        <v>High Discount</v>
      </c>
      <c r="N195" t="str">
        <f t="shared" si="3"/>
        <v>10-20%</v>
      </c>
    </row>
    <row r="196" spans="1:14">
      <c r="A196" s="1">
        <v>45577</v>
      </c>
      <c r="B196" t="s">
        <v>257</v>
      </c>
      <c r="C196" t="s">
        <v>53</v>
      </c>
      <c r="D196" t="s">
        <v>113</v>
      </c>
      <c r="E196">
        <v>933.03</v>
      </c>
      <c r="F196" t="s">
        <v>31</v>
      </c>
      <c r="G196">
        <v>1335.3</v>
      </c>
      <c r="H196">
        <v>402.27</v>
      </c>
      <c r="I196">
        <v>10</v>
      </c>
      <c r="J196">
        <v>1</v>
      </c>
      <c r="K196" t="str">
        <f>TEXT(discount_impact_on_profit_2000_rows[[#This Row],[order date]],"mmmm")</f>
        <v>October</v>
      </c>
      <c r="L196">
        <f>YEAR(discount_impact_on_profit_2000_rows[[#This Row],[order date]])</f>
        <v>2024</v>
      </c>
      <c r="M196" t="str">
        <f>IF(discount_impact_on_profit_2000_rows[[#This Row],[Discount %]]=0,"Zero Discount",IF(discount_impact_on_profit_2000_rows[[#This Row],[Discount %]]&lt;=10,"Low Discount","High Discount"))</f>
        <v>Low Discount</v>
      </c>
      <c r="N196" t="str">
        <f t="shared" si="3"/>
        <v>0-10%</v>
      </c>
    </row>
    <row r="197" spans="1:14">
      <c r="A197" s="1">
        <v>45027</v>
      </c>
      <c r="B197" t="s">
        <v>258</v>
      </c>
      <c r="C197" t="s">
        <v>15</v>
      </c>
      <c r="D197" t="s">
        <v>84</v>
      </c>
      <c r="E197">
        <v>1270.1199999999999</v>
      </c>
      <c r="F197" t="s">
        <v>26</v>
      </c>
      <c r="G197">
        <v>1845.23</v>
      </c>
      <c r="H197">
        <v>575.11</v>
      </c>
      <c r="I197">
        <v>5</v>
      </c>
      <c r="J197">
        <v>1</v>
      </c>
      <c r="K197" t="str">
        <f>TEXT(discount_impact_on_profit_2000_rows[[#This Row],[order date]],"mmmm")</f>
        <v>April</v>
      </c>
      <c r="L197">
        <f>YEAR(discount_impact_on_profit_2000_rows[[#This Row],[order date]])</f>
        <v>2023</v>
      </c>
      <c r="M197" t="str">
        <f>IF(discount_impact_on_profit_2000_rows[[#This Row],[Discount %]]=0,"Zero Discount",IF(discount_impact_on_profit_2000_rows[[#This Row],[Discount %]]&lt;=10,"Low Discount","High Discount"))</f>
        <v>Low Discount</v>
      </c>
      <c r="N197" t="str">
        <f t="shared" si="3"/>
        <v>0-10%</v>
      </c>
    </row>
    <row r="198" spans="1:14">
      <c r="A198" s="1">
        <v>45730</v>
      </c>
      <c r="B198" t="s">
        <v>259</v>
      </c>
      <c r="C198" t="s">
        <v>21</v>
      </c>
      <c r="D198" t="s">
        <v>46</v>
      </c>
      <c r="E198">
        <v>12147.25</v>
      </c>
      <c r="F198" t="s">
        <v>26</v>
      </c>
      <c r="G198">
        <v>15982.3</v>
      </c>
      <c r="H198">
        <v>3835.05</v>
      </c>
      <c r="I198">
        <v>10</v>
      </c>
      <c r="J198">
        <v>4</v>
      </c>
      <c r="K198" t="str">
        <f>TEXT(discount_impact_on_profit_2000_rows[[#This Row],[order date]],"mmmm")</f>
        <v>March</v>
      </c>
      <c r="L198">
        <f>YEAR(discount_impact_on_profit_2000_rows[[#This Row],[order date]])</f>
        <v>2025</v>
      </c>
      <c r="M198" t="str">
        <f>IF(discount_impact_on_profit_2000_rows[[#This Row],[Discount %]]=0,"Zero Discount",IF(discount_impact_on_profit_2000_rows[[#This Row],[Discount %]]&lt;=10,"Low Discount","High Discount"))</f>
        <v>Low Discount</v>
      </c>
      <c r="N198" t="str">
        <f t="shared" si="3"/>
        <v>0-10%</v>
      </c>
    </row>
    <row r="199" spans="1:14">
      <c r="A199" s="1">
        <v>45767</v>
      </c>
      <c r="B199" t="s">
        <v>260</v>
      </c>
      <c r="C199" t="s">
        <v>53</v>
      </c>
      <c r="D199" t="s">
        <v>152</v>
      </c>
      <c r="E199">
        <v>389.89</v>
      </c>
      <c r="F199" t="s">
        <v>31</v>
      </c>
      <c r="G199">
        <v>603.1</v>
      </c>
      <c r="H199">
        <v>213.21</v>
      </c>
      <c r="I199">
        <v>15</v>
      </c>
      <c r="J199">
        <v>1</v>
      </c>
      <c r="K199" t="str">
        <f>TEXT(discount_impact_on_profit_2000_rows[[#This Row],[order date]],"mmmm")</f>
        <v>April</v>
      </c>
      <c r="L199">
        <f>YEAR(discount_impact_on_profit_2000_rows[[#This Row],[order date]])</f>
        <v>2025</v>
      </c>
      <c r="M199" t="str">
        <f>IF(discount_impact_on_profit_2000_rows[[#This Row],[Discount %]]=0,"Zero Discount",IF(discount_impact_on_profit_2000_rows[[#This Row],[Discount %]]&lt;=10,"Low Discount","High Discount"))</f>
        <v>High Discount</v>
      </c>
      <c r="N199" t="str">
        <f t="shared" si="3"/>
        <v>10-20%</v>
      </c>
    </row>
    <row r="200" spans="1:14">
      <c r="A200" s="1">
        <v>45186</v>
      </c>
      <c r="B200" t="s">
        <v>261</v>
      </c>
      <c r="C200" t="s">
        <v>33</v>
      </c>
      <c r="D200" t="s">
        <v>92</v>
      </c>
      <c r="E200">
        <v>5861.92</v>
      </c>
      <c r="F200" t="s">
        <v>31</v>
      </c>
      <c r="G200">
        <v>7335.02</v>
      </c>
      <c r="H200">
        <v>1473.1</v>
      </c>
      <c r="I200">
        <v>15</v>
      </c>
      <c r="J200">
        <v>3</v>
      </c>
      <c r="K200" t="str">
        <f>TEXT(discount_impact_on_profit_2000_rows[[#This Row],[order date]],"mmmm")</f>
        <v>September</v>
      </c>
      <c r="L200">
        <f>YEAR(discount_impact_on_profit_2000_rows[[#This Row],[order date]])</f>
        <v>2023</v>
      </c>
      <c r="M200" t="str">
        <f>IF(discount_impact_on_profit_2000_rows[[#This Row],[Discount %]]=0,"Zero Discount",IF(discount_impact_on_profit_2000_rows[[#This Row],[Discount %]]&lt;=10,"Low Discount","High Discount"))</f>
        <v>High Discount</v>
      </c>
      <c r="N200" t="str">
        <f t="shared" si="3"/>
        <v>10-20%</v>
      </c>
    </row>
    <row r="201" spans="1:14">
      <c r="A201" s="1">
        <v>45396</v>
      </c>
      <c r="B201" t="s">
        <v>262</v>
      </c>
      <c r="C201" t="s">
        <v>11</v>
      </c>
      <c r="D201" t="s">
        <v>207</v>
      </c>
      <c r="E201">
        <v>251.64</v>
      </c>
      <c r="F201" t="s">
        <v>23</v>
      </c>
      <c r="G201">
        <v>326.31</v>
      </c>
      <c r="H201">
        <v>74.67</v>
      </c>
      <c r="I201">
        <v>30</v>
      </c>
      <c r="J201">
        <v>1</v>
      </c>
      <c r="K201" t="str">
        <f>TEXT(discount_impact_on_profit_2000_rows[[#This Row],[order date]],"mmmm")</f>
        <v>April</v>
      </c>
      <c r="L201">
        <f>YEAR(discount_impact_on_profit_2000_rows[[#This Row],[order date]])</f>
        <v>2024</v>
      </c>
      <c r="M201" t="str">
        <f>IF(discount_impact_on_profit_2000_rows[[#This Row],[Discount %]]=0,"Zero Discount",IF(discount_impact_on_profit_2000_rows[[#This Row],[Discount %]]&lt;=10,"Low Discount","High Discount"))</f>
        <v>High Discount</v>
      </c>
      <c r="N201" t="str">
        <f t="shared" si="3"/>
        <v>20-30%</v>
      </c>
    </row>
    <row r="202" spans="1:14">
      <c r="A202" s="1">
        <v>44955</v>
      </c>
      <c r="B202" t="s">
        <v>263</v>
      </c>
      <c r="C202" t="s">
        <v>21</v>
      </c>
      <c r="D202" t="s">
        <v>123</v>
      </c>
      <c r="E202">
        <v>21528.21</v>
      </c>
      <c r="F202" t="s">
        <v>31</v>
      </c>
      <c r="G202">
        <v>23439.35</v>
      </c>
      <c r="H202">
        <v>1911.14</v>
      </c>
      <c r="I202">
        <v>15</v>
      </c>
      <c r="J202">
        <v>6</v>
      </c>
      <c r="K202" t="str">
        <f>TEXT(discount_impact_on_profit_2000_rows[[#This Row],[order date]],"mmmm")</f>
        <v>January</v>
      </c>
      <c r="L202">
        <f>YEAR(discount_impact_on_profit_2000_rows[[#This Row],[order date]])</f>
        <v>2023</v>
      </c>
      <c r="M202" t="str">
        <f>IF(discount_impact_on_profit_2000_rows[[#This Row],[Discount %]]=0,"Zero Discount",IF(discount_impact_on_profit_2000_rows[[#This Row],[Discount %]]&lt;=10,"Low Discount","High Discount"))</f>
        <v>High Discount</v>
      </c>
      <c r="N202" t="str">
        <f t="shared" si="3"/>
        <v>10-20%</v>
      </c>
    </row>
    <row r="203" spans="1:14">
      <c r="A203" s="1">
        <v>45848</v>
      </c>
      <c r="B203" t="s">
        <v>264</v>
      </c>
      <c r="C203" t="s">
        <v>18</v>
      </c>
      <c r="D203" t="s">
        <v>188</v>
      </c>
      <c r="E203">
        <v>74.28</v>
      </c>
      <c r="F203" t="s">
        <v>31</v>
      </c>
      <c r="G203">
        <v>112.62</v>
      </c>
      <c r="H203">
        <v>38.340000000000003</v>
      </c>
      <c r="I203">
        <v>5</v>
      </c>
      <c r="J203">
        <v>1</v>
      </c>
      <c r="K203" t="str">
        <f>TEXT(discount_impact_on_profit_2000_rows[[#This Row],[order date]],"mmmm")</f>
        <v>July</v>
      </c>
      <c r="L203">
        <f>YEAR(discount_impact_on_profit_2000_rows[[#This Row],[order date]])</f>
        <v>2025</v>
      </c>
      <c r="M203" t="str">
        <f>IF(discount_impact_on_profit_2000_rows[[#This Row],[Discount %]]=0,"Zero Discount",IF(discount_impact_on_profit_2000_rows[[#This Row],[Discount %]]&lt;=10,"Low Discount","High Discount"))</f>
        <v>Low Discount</v>
      </c>
      <c r="N203" t="str">
        <f t="shared" si="3"/>
        <v>0-10%</v>
      </c>
    </row>
    <row r="204" spans="1:14">
      <c r="A204" s="1">
        <v>45828</v>
      </c>
      <c r="B204" t="s">
        <v>265</v>
      </c>
      <c r="C204" t="s">
        <v>53</v>
      </c>
      <c r="D204" t="s">
        <v>95</v>
      </c>
      <c r="E204">
        <v>2540.35</v>
      </c>
      <c r="F204" t="s">
        <v>26</v>
      </c>
      <c r="G204">
        <v>4560.66</v>
      </c>
      <c r="H204">
        <v>2020.31</v>
      </c>
      <c r="I204">
        <v>25</v>
      </c>
      <c r="J204">
        <v>4</v>
      </c>
      <c r="K204" t="str">
        <f>TEXT(discount_impact_on_profit_2000_rows[[#This Row],[order date]],"mmmm")</f>
        <v>June</v>
      </c>
      <c r="L204">
        <f>YEAR(discount_impact_on_profit_2000_rows[[#This Row],[order date]])</f>
        <v>2025</v>
      </c>
      <c r="M204" t="str">
        <f>IF(discount_impact_on_profit_2000_rows[[#This Row],[Discount %]]=0,"Zero Discount",IF(discount_impact_on_profit_2000_rows[[#This Row],[Discount %]]&lt;=10,"Low Discount","High Discount"))</f>
        <v>High Discount</v>
      </c>
      <c r="N204" t="str">
        <f t="shared" si="3"/>
        <v>20-30%</v>
      </c>
    </row>
    <row r="205" spans="1:14">
      <c r="A205" s="1">
        <v>45202</v>
      </c>
      <c r="B205" t="s">
        <v>266</v>
      </c>
      <c r="C205" t="s">
        <v>15</v>
      </c>
      <c r="D205" t="s">
        <v>40</v>
      </c>
      <c r="E205">
        <v>1301.6600000000001</v>
      </c>
      <c r="F205" t="s">
        <v>23</v>
      </c>
      <c r="G205">
        <v>1581.41</v>
      </c>
      <c r="H205">
        <v>279.75</v>
      </c>
      <c r="I205">
        <v>15</v>
      </c>
      <c r="J205">
        <v>1</v>
      </c>
      <c r="K205" t="str">
        <f>TEXT(discount_impact_on_profit_2000_rows[[#This Row],[order date]],"mmmm")</f>
        <v>October</v>
      </c>
      <c r="L205">
        <f>YEAR(discount_impact_on_profit_2000_rows[[#This Row],[order date]])</f>
        <v>2023</v>
      </c>
      <c r="M205" t="str">
        <f>IF(discount_impact_on_profit_2000_rows[[#This Row],[Discount %]]=0,"Zero Discount",IF(discount_impact_on_profit_2000_rows[[#This Row],[Discount %]]&lt;=10,"Low Discount","High Discount"))</f>
        <v>High Discount</v>
      </c>
      <c r="N205" t="str">
        <f t="shared" si="3"/>
        <v>10-20%</v>
      </c>
    </row>
    <row r="206" spans="1:14">
      <c r="A206" s="1">
        <v>45121</v>
      </c>
      <c r="B206" t="s">
        <v>267</v>
      </c>
      <c r="C206" t="s">
        <v>15</v>
      </c>
      <c r="D206" t="s">
        <v>28</v>
      </c>
      <c r="E206">
        <v>81120.5</v>
      </c>
      <c r="F206" t="s">
        <v>36</v>
      </c>
      <c r="G206">
        <v>101198.39</v>
      </c>
      <c r="H206">
        <v>20077.89</v>
      </c>
      <c r="I206">
        <v>5</v>
      </c>
      <c r="J206">
        <v>10</v>
      </c>
      <c r="K206" t="str">
        <f>TEXT(discount_impact_on_profit_2000_rows[[#This Row],[order date]],"mmmm")</f>
        <v>July</v>
      </c>
      <c r="L206">
        <f>YEAR(discount_impact_on_profit_2000_rows[[#This Row],[order date]])</f>
        <v>2023</v>
      </c>
      <c r="M206" t="str">
        <f>IF(discount_impact_on_profit_2000_rows[[#This Row],[Discount %]]=0,"Zero Discount",IF(discount_impact_on_profit_2000_rows[[#This Row],[Discount %]]&lt;=10,"Low Discount","High Discount"))</f>
        <v>Low Discount</v>
      </c>
      <c r="N206" t="str">
        <f t="shared" si="3"/>
        <v>0-10%</v>
      </c>
    </row>
    <row r="207" spans="1:14">
      <c r="A207" s="1">
        <v>45399</v>
      </c>
      <c r="B207" t="s">
        <v>268</v>
      </c>
      <c r="C207" t="s">
        <v>11</v>
      </c>
      <c r="D207" t="s">
        <v>12</v>
      </c>
      <c r="E207">
        <v>1290.26</v>
      </c>
      <c r="F207" t="s">
        <v>13</v>
      </c>
      <c r="G207">
        <v>2037.3</v>
      </c>
      <c r="H207">
        <v>747.04</v>
      </c>
      <c r="I207">
        <v>5</v>
      </c>
      <c r="J207">
        <v>6</v>
      </c>
      <c r="K207" t="str">
        <f>TEXT(discount_impact_on_profit_2000_rows[[#This Row],[order date]],"mmmm")</f>
        <v>April</v>
      </c>
      <c r="L207">
        <f>YEAR(discount_impact_on_profit_2000_rows[[#This Row],[order date]])</f>
        <v>2024</v>
      </c>
      <c r="M207" t="str">
        <f>IF(discount_impact_on_profit_2000_rows[[#This Row],[Discount %]]=0,"Zero Discount",IF(discount_impact_on_profit_2000_rows[[#This Row],[Discount %]]&lt;=10,"Low Discount","High Discount"))</f>
        <v>Low Discount</v>
      </c>
      <c r="N207" t="str">
        <f t="shared" si="3"/>
        <v>0-10%</v>
      </c>
    </row>
    <row r="208" spans="1:14">
      <c r="A208" s="1">
        <v>45641</v>
      </c>
      <c r="B208" t="s">
        <v>269</v>
      </c>
      <c r="C208" t="s">
        <v>18</v>
      </c>
      <c r="D208" t="s">
        <v>50</v>
      </c>
      <c r="E208">
        <v>771.16</v>
      </c>
      <c r="F208" t="s">
        <v>26</v>
      </c>
      <c r="G208">
        <v>1327.88</v>
      </c>
      <c r="H208">
        <v>556.72</v>
      </c>
      <c r="I208">
        <v>0</v>
      </c>
      <c r="J208">
        <v>1</v>
      </c>
      <c r="K208" t="str">
        <f>TEXT(discount_impact_on_profit_2000_rows[[#This Row],[order date]],"mmmm")</f>
        <v>December</v>
      </c>
      <c r="L208">
        <f>YEAR(discount_impact_on_profit_2000_rows[[#This Row],[order date]])</f>
        <v>2024</v>
      </c>
      <c r="M208" t="str">
        <f>IF(discount_impact_on_profit_2000_rows[[#This Row],[Discount %]]=0,"Zero Discount",IF(discount_impact_on_profit_2000_rows[[#This Row],[Discount %]]&lt;=10,"Low Discount","High Discount"))</f>
        <v>Zero Discount</v>
      </c>
      <c r="N208" t="str">
        <f t="shared" si="3"/>
        <v>0-10%</v>
      </c>
    </row>
    <row r="209" spans="1:14">
      <c r="A209" s="1">
        <v>44931</v>
      </c>
      <c r="B209" t="s">
        <v>270</v>
      </c>
      <c r="C209" t="s">
        <v>21</v>
      </c>
      <c r="D209" t="s">
        <v>57</v>
      </c>
      <c r="E209">
        <v>15529.47</v>
      </c>
      <c r="F209" t="s">
        <v>26</v>
      </c>
      <c r="G209">
        <v>15995.35</v>
      </c>
      <c r="H209">
        <v>465.88</v>
      </c>
      <c r="I209">
        <v>20</v>
      </c>
      <c r="J209">
        <v>2</v>
      </c>
      <c r="K209" t="str">
        <f>TEXT(discount_impact_on_profit_2000_rows[[#This Row],[order date]],"mmmm")</f>
        <v>January</v>
      </c>
      <c r="L209">
        <f>YEAR(discount_impact_on_profit_2000_rows[[#This Row],[order date]])</f>
        <v>2023</v>
      </c>
      <c r="M209" t="str">
        <f>IF(discount_impact_on_profit_2000_rows[[#This Row],[Discount %]]=0,"Zero Discount",IF(discount_impact_on_profit_2000_rows[[#This Row],[Discount %]]&lt;=10,"Low Discount","High Discount"))</f>
        <v>High Discount</v>
      </c>
      <c r="N209" t="str">
        <f t="shared" si="3"/>
        <v>10-20%</v>
      </c>
    </row>
    <row r="210" spans="1:14">
      <c r="A210" s="1">
        <v>45097</v>
      </c>
      <c r="B210" t="s">
        <v>271</v>
      </c>
      <c r="C210" t="s">
        <v>53</v>
      </c>
      <c r="D210" t="s">
        <v>152</v>
      </c>
      <c r="E210">
        <v>534.54999999999995</v>
      </c>
      <c r="F210" t="s">
        <v>26</v>
      </c>
      <c r="G210">
        <v>828.15</v>
      </c>
      <c r="H210">
        <v>293.60000000000002</v>
      </c>
      <c r="I210">
        <v>15</v>
      </c>
      <c r="J210">
        <v>2</v>
      </c>
      <c r="K210" t="str">
        <f>TEXT(discount_impact_on_profit_2000_rows[[#This Row],[order date]],"mmmm")</f>
        <v>June</v>
      </c>
      <c r="L210">
        <f>YEAR(discount_impact_on_profit_2000_rows[[#This Row],[order date]])</f>
        <v>2023</v>
      </c>
      <c r="M210" t="str">
        <f>IF(discount_impact_on_profit_2000_rows[[#This Row],[Discount %]]=0,"Zero Discount",IF(discount_impact_on_profit_2000_rows[[#This Row],[Discount %]]&lt;=10,"Low Discount","High Discount"))</f>
        <v>High Discount</v>
      </c>
      <c r="N210" t="str">
        <f t="shared" si="3"/>
        <v>10-20%</v>
      </c>
    </row>
    <row r="211" spans="1:14">
      <c r="A211" s="1">
        <v>45065</v>
      </c>
      <c r="B211" t="s">
        <v>272</v>
      </c>
      <c r="C211" t="s">
        <v>33</v>
      </c>
      <c r="D211" t="s">
        <v>273</v>
      </c>
      <c r="E211">
        <v>7269.56</v>
      </c>
      <c r="F211" t="s">
        <v>23</v>
      </c>
      <c r="G211">
        <v>10579.05</v>
      </c>
      <c r="H211">
        <v>3309.49</v>
      </c>
      <c r="I211">
        <v>5</v>
      </c>
      <c r="J211">
        <v>2</v>
      </c>
      <c r="K211" t="str">
        <f>TEXT(discount_impact_on_profit_2000_rows[[#This Row],[order date]],"mmmm")</f>
        <v>May</v>
      </c>
      <c r="L211">
        <f>YEAR(discount_impact_on_profit_2000_rows[[#This Row],[order date]])</f>
        <v>2023</v>
      </c>
      <c r="M211" t="str">
        <f>IF(discount_impact_on_profit_2000_rows[[#This Row],[Discount %]]=0,"Zero Discount",IF(discount_impact_on_profit_2000_rows[[#This Row],[Discount %]]&lt;=10,"Low Discount","High Discount"))</f>
        <v>Low Discount</v>
      </c>
      <c r="N211" t="str">
        <f t="shared" si="3"/>
        <v>0-10%</v>
      </c>
    </row>
    <row r="212" spans="1:14">
      <c r="A212" s="1">
        <v>45193</v>
      </c>
      <c r="B212" t="s">
        <v>274</v>
      </c>
      <c r="C212" t="s">
        <v>21</v>
      </c>
      <c r="D212" t="s">
        <v>22</v>
      </c>
      <c r="E212">
        <v>14988.58</v>
      </c>
      <c r="F212" t="s">
        <v>13</v>
      </c>
      <c r="G212">
        <v>15077.04</v>
      </c>
      <c r="H212">
        <v>88.46</v>
      </c>
      <c r="I212">
        <v>22</v>
      </c>
      <c r="J212">
        <v>2</v>
      </c>
      <c r="K212" t="str">
        <f>TEXT(discount_impact_on_profit_2000_rows[[#This Row],[order date]],"mmmm")</f>
        <v>September</v>
      </c>
      <c r="L212">
        <f>YEAR(discount_impact_on_profit_2000_rows[[#This Row],[order date]])</f>
        <v>2023</v>
      </c>
      <c r="M212" t="str">
        <f>IF(discount_impact_on_profit_2000_rows[[#This Row],[Discount %]]=0,"Zero Discount",IF(discount_impact_on_profit_2000_rows[[#This Row],[Discount %]]&lt;=10,"Low Discount","High Discount"))</f>
        <v>High Discount</v>
      </c>
      <c r="N212" t="str">
        <f t="shared" si="3"/>
        <v>20-30%</v>
      </c>
    </row>
    <row r="213" spans="1:14">
      <c r="A213" s="1">
        <v>45577</v>
      </c>
      <c r="B213" t="s">
        <v>275</v>
      </c>
      <c r="C213" t="s">
        <v>15</v>
      </c>
      <c r="D213" t="s">
        <v>86</v>
      </c>
      <c r="E213">
        <v>4824.55</v>
      </c>
      <c r="F213" t="s">
        <v>26</v>
      </c>
      <c r="G213">
        <v>6902.79</v>
      </c>
      <c r="H213">
        <v>2078.2399999999998</v>
      </c>
      <c r="I213">
        <v>5</v>
      </c>
      <c r="J213">
        <v>2</v>
      </c>
      <c r="K213" t="str">
        <f>TEXT(discount_impact_on_profit_2000_rows[[#This Row],[order date]],"mmmm")</f>
        <v>October</v>
      </c>
      <c r="L213">
        <f>YEAR(discount_impact_on_profit_2000_rows[[#This Row],[order date]])</f>
        <v>2024</v>
      </c>
      <c r="M213" t="str">
        <f>IF(discount_impact_on_profit_2000_rows[[#This Row],[Discount %]]=0,"Zero Discount",IF(discount_impact_on_profit_2000_rows[[#This Row],[Discount %]]&lt;=10,"Low Discount","High Discount"))</f>
        <v>Low Discount</v>
      </c>
      <c r="N213" t="str">
        <f t="shared" si="3"/>
        <v>0-10%</v>
      </c>
    </row>
    <row r="214" spans="1:14">
      <c r="A214" s="1">
        <v>45858</v>
      </c>
      <c r="B214" t="s">
        <v>276</v>
      </c>
      <c r="C214" t="s">
        <v>21</v>
      </c>
      <c r="D214" t="s">
        <v>57</v>
      </c>
      <c r="E214">
        <v>8650.94</v>
      </c>
      <c r="F214" t="s">
        <v>23</v>
      </c>
      <c r="G214">
        <v>10150.56</v>
      </c>
      <c r="H214">
        <v>1499.62</v>
      </c>
      <c r="I214">
        <v>10</v>
      </c>
      <c r="J214">
        <v>1</v>
      </c>
      <c r="K214" t="str">
        <f>TEXT(discount_impact_on_profit_2000_rows[[#This Row],[order date]],"mmmm")</f>
        <v>July</v>
      </c>
      <c r="L214">
        <f>YEAR(discount_impact_on_profit_2000_rows[[#This Row],[order date]])</f>
        <v>2025</v>
      </c>
      <c r="M214" t="str">
        <f>IF(discount_impact_on_profit_2000_rows[[#This Row],[Discount %]]=0,"Zero Discount",IF(discount_impact_on_profit_2000_rows[[#This Row],[Discount %]]&lt;=10,"Low Discount","High Discount"))</f>
        <v>Low Discount</v>
      </c>
      <c r="N214" t="str">
        <f t="shared" si="3"/>
        <v>0-10%</v>
      </c>
    </row>
    <row r="215" spans="1:14">
      <c r="A215" s="1">
        <v>45542</v>
      </c>
      <c r="B215" t="s">
        <v>277</v>
      </c>
      <c r="C215" t="s">
        <v>21</v>
      </c>
      <c r="D215" t="s">
        <v>109</v>
      </c>
      <c r="E215">
        <v>10492.38</v>
      </c>
      <c r="F215" t="s">
        <v>23</v>
      </c>
      <c r="G215">
        <v>13289.27</v>
      </c>
      <c r="H215">
        <v>2796.89</v>
      </c>
      <c r="I215">
        <v>5</v>
      </c>
      <c r="J215">
        <v>6</v>
      </c>
      <c r="K215" t="str">
        <f>TEXT(discount_impact_on_profit_2000_rows[[#This Row],[order date]],"mmmm")</f>
        <v>September</v>
      </c>
      <c r="L215">
        <f>YEAR(discount_impact_on_profit_2000_rows[[#This Row],[order date]])</f>
        <v>2024</v>
      </c>
      <c r="M215" t="str">
        <f>IF(discount_impact_on_profit_2000_rows[[#This Row],[Discount %]]=0,"Zero Discount",IF(discount_impact_on_profit_2000_rows[[#This Row],[Discount %]]&lt;=10,"Low Discount","High Discount"))</f>
        <v>Low Discount</v>
      </c>
      <c r="N215" t="str">
        <f t="shared" si="3"/>
        <v>0-10%</v>
      </c>
    </row>
    <row r="216" spans="1:14">
      <c r="A216" s="1">
        <v>45731</v>
      </c>
      <c r="B216" t="s">
        <v>278</v>
      </c>
      <c r="C216" t="s">
        <v>15</v>
      </c>
      <c r="D216" t="s">
        <v>16</v>
      </c>
      <c r="E216">
        <v>11420.17</v>
      </c>
      <c r="F216" t="s">
        <v>31</v>
      </c>
      <c r="G216">
        <v>13264.14</v>
      </c>
      <c r="H216">
        <v>1843.97</v>
      </c>
      <c r="I216">
        <v>15</v>
      </c>
      <c r="J216">
        <v>1</v>
      </c>
      <c r="K216" t="str">
        <f>TEXT(discount_impact_on_profit_2000_rows[[#This Row],[order date]],"mmmm")</f>
        <v>March</v>
      </c>
      <c r="L216">
        <f>YEAR(discount_impact_on_profit_2000_rows[[#This Row],[order date]])</f>
        <v>2025</v>
      </c>
      <c r="M216" t="str">
        <f>IF(discount_impact_on_profit_2000_rows[[#This Row],[Discount %]]=0,"Zero Discount",IF(discount_impact_on_profit_2000_rows[[#This Row],[Discount %]]&lt;=10,"Low Discount","High Discount"))</f>
        <v>High Discount</v>
      </c>
      <c r="N216" t="str">
        <f t="shared" si="3"/>
        <v>10-20%</v>
      </c>
    </row>
    <row r="217" spans="1:14">
      <c r="A217" s="1">
        <v>45614</v>
      </c>
      <c r="B217" t="s">
        <v>279</v>
      </c>
      <c r="C217" t="s">
        <v>15</v>
      </c>
      <c r="D217" t="s">
        <v>86</v>
      </c>
      <c r="E217">
        <v>8814.0400000000009</v>
      </c>
      <c r="F217" t="s">
        <v>13</v>
      </c>
      <c r="G217">
        <v>11639.13</v>
      </c>
      <c r="H217">
        <v>2825.09</v>
      </c>
      <c r="I217">
        <v>5</v>
      </c>
      <c r="J217">
        <v>3</v>
      </c>
      <c r="K217" t="str">
        <f>TEXT(discount_impact_on_profit_2000_rows[[#This Row],[order date]],"mmmm")</f>
        <v>November</v>
      </c>
      <c r="L217">
        <f>YEAR(discount_impact_on_profit_2000_rows[[#This Row],[order date]])</f>
        <v>2024</v>
      </c>
      <c r="M217" t="str">
        <f>IF(discount_impact_on_profit_2000_rows[[#This Row],[Discount %]]=0,"Zero Discount",IF(discount_impact_on_profit_2000_rows[[#This Row],[Discount %]]&lt;=10,"Low Discount","High Discount"))</f>
        <v>Low Discount</v>
      </c>
      <c r="N217" t="str">
        <f t="shared" si="3"/>
        <v>0-10%</v>
      </c>
    </row>
    <row r="218" spans="1:14">
      <c r="A218" s="1">
        <v>45056</v>
      </c>
      <c r="B218" t="s">
        <v>280</v>
      </c>
      <c r="C218" t="s">
        <v>21</v>
      </c>
      <c r="D218" t="s">
        <v>57</v>
      </c>
      <c r="E218">
        <v>27380.97</v>
      </c>
      <c r="F218" t="s">
        <v>36</v>
      </c>
      <c r="G218">
        <v>35828.5</v>
      </c>
      <c r="H218">
        <v>8447.5300000000007</v>
      </c>
      <c r="I218">
        <v>0</v>
      </c>
      <c r="J218">
        <v>4</v>
      </c>
      <c r="K218" t="str">
        <f>TEXT(discount_impact_on_profit_2000_rows[[#This Row],[order date]],"mmmm")</f>
        <v>May</v>
      </c>
      <c r="L218">
        <f>YEAR(discount_impact_on_profit_2000_rows[[#This Row],[order date]])</f>
        <v>2023</v>
      </c>
      <c r="M218" t="str">
        <f>IF(discount_impact_on_profit_2000_rows[[#This Row],[Discount %]]=0,"Zero Discount",IF(discount_impact_on_profit_2000_rows[[#This Row],[Discount %]]&lt;=10,"Low Discount","High Discount"))</f>
        <v>Zero Discount</v>
      </c>
      <c r="N218" t="str">
        <f t="shared" si="3"/>
        <v>0-10%</v>
      </c>
    </row>
    <row r="219" spans="1:14">
      <c r="A219" s="1">
        <v>45827</v>
      </c>
      <c r="B219" t="s">
        <v>281</v>
      </c>
      <c r="C219" t="s">
        <v>21</v>
      </c>
      <c r="D219" t="s">
        <v>109</v>
      </c>
      <c r="E219">
        <v>5897.91</v>
      </c>
      <c r="F219" t="s">
        <v>13</v>
      </c>
      <c r="G219">
        <v>6074.85</v>
      </c>
      <c r="H219">
        <v>176.94</v>
      </c>
      <c r="I219">
        <v>21</v>
      </c>
      <c r="J219">
        <v>2</v>
      </c>
      <c r="K219" t="str">
        <f>TEXT(discount_impact_on_profit_2000_rows[[#This Row],[order date]],"mmmm")</f>
        <v>June</v>
      </c>
      <c r="L219">
        <f>YEAR(discount_impact_on_profit_2000_rows[[#This Row],[order date]])</f>
        <v>2025</v>
      </c>
      <c r="M219" t="str">
        <f>IF(discount_impact_on_profit_2000_rows[[#This Row],[Discount %]]=0,"Zero Discount",IF(discount_impact_on_profit_2000_rows[[#This Row],[Discount %]]&lt;=10,"Low Discount","High Discount"))</f>
        <v>High Discount</v>
      </c>
      <c r="N219" t="str">
        <f t="shared" si="3"/>
        <v>20-30%</v>
      </c>
    </row>
    <row r="220" spans="1:14">
      <c r="A220" s="1">
        <v>45353</v>
      </c>
      <c r="B220" t="s">
        <v>282</v>
      </c>
      <c r="C220" t="s">
        <v>18</v>
      </c>
      <c r="D220" t="s">
        <v>50</v>
      </c>
      <c r="E220">
        <v>568.47</v>
      </c>
      <c r="F220" t="s">
        <v>36</v>
      </c>
      <c r="G220">
        <v>977.94</v>
      </c>
      <c r="H220">
        <v>409.47</v>
      </c>
      <c r="I220">
        <v>0</v>
      </c>
      <c r="J220">
        <v>1</v>
      </c>
      <c r="K220" t="str">
        <f>TEXT(discount_impact_on_profit_2000_rows[[#This Row],[order date]],"mmmm")</f>
        <v>March</v>
      </c>
      <c r="L220">
        <f>YEAR(discount_impact_on_profit_2000_rows[[#This Row],[order date]])</f>
        <v>2024</v>
      </c>
      <c r="M220" t="str">
        <f>IF(discount_impact_on_profit_2000_rows[[#This Row],[Discount %]]=0,"Zero Discount",IF(discount_impact_on_profit_2000_rows[[#This Row],[Discount %]]&lt;=10,"Low Discount","High Discount"))</f>
        <v>Zero Discount</v>
      </c>
      <c r="N220" t="str">
        <f t="shared" si="3"/>
        <v>0-10%</v>
      </c>
    </row>
    <row r="221" spans="1:14">
      <c r="A221" s="1">
        <v>45351</v>
      </c>
      <c r="B221" t="s">
        <v>283</v>
      </c>
      <c r="C221" t="s">
        <v>21</v>
      </c>
      <c r="D221" t="s">
        <v>109</v>
      </c>
      <c r="E221">
        <v>5400.04</v>
      </c>
      <c r="F221" t="s">
        <v>31</v>
      </c>
      <c r="G221">
        <v>5613.24</v>
      </c>
      <c r="H221">
        <v>213.2</v>
      </c>
      <c r="I221">
        <v>25</v>
      </c>
      <c r="J221">
        <v>6</v>
      </c>
      <c r="K221" t="str">
        <f>TEXT(discount_impact_on_profit_2000_rows[[#This Row],[order date]],"mmmm")</f>
        <v>February</v>
      </c>
      <c r="L221">
        <f>YEAR(discount_impact_on_profit_2000_rows[[#This Row],[order date]])</f>
        <v>2024</v>
      </c>
      <c r="M221" t="str">
        <f>IF(discount_impact_on_profit_2000_rows[[#This Row],[Discount %]]=0,"Zero Discount",IF(discount_impact_on_profit_2000_rows[[#This Row],[Discount %]]&lt;=10,"Low Discount","High Discount"))</f>
        <v>High Discount</v>
      </c>
      <c r="N221" t="str">
        <f t="shared" si="3"/>
        <v>20-30%</v>
      </c>
    </row>
    <row r="222" spans="1:14">
      <c r="A222" s="1">
        <v>45693</v>
      </c>
      <c r="B222" t="s">
        <v>284</v>
      </c>
      <c r="C222" t="s">
        <v>15</v>
      </c>
      <c r="D222" t="s">
        <v>28</v>
      </c>
      <c r="E222">
        <v>21859.37</v>
      </c>
      <c r="F222" t="s">
        <v>26</v>
      </c>
      <c r="G222">
        <v>26255.77</v>
      </c>
      <c r="H222">
        <v>4396.3999999999996</v>
      </c>
      <c r="I222">
        <v>10</v>
      </c>
      <c r="J222">
        <v>3</v>
      </c>
      <c r="K222" t="str">
        <f>TEXT(discount_impact_on_profit_2000_rows[[#This Row],[order date]],"mmmm")</f>
        <v>February</v>
      </c>
      <c r="L222">
        <f>YEAR(discount_impact_on_profit_2000_rows[[#This Row],[order date]])</f>
        <v>2025</v>
      </c>
      <c r="M222" t="str">
        <f>IF(discount_impact_on_profit_2000_rows[[#This Row],[Discount %]]=0,"Zero Discount",IF(discount_impact_on_profit_2000_rows[[#This Row],[Discount %]]&lt;=10,"Low Discount","High Discount"))</f>
        <v>Low Discount</v>
      </c>
      <c r="N222" t="str">
        <f t="shared" si="3"/>
        <v>0-10%</v>
      </c>
    </row>
    <row r="223" spans="1:14">
      <c r="A223" s="1">
        <v>45986</v>
      </c>
      <c r="B223" t="s">
        <v>285</v>
      </c>
      <c r="C223" t="s">
        <v>18</v>
      </c>
      <c r="D223" t="s">
        <v>188</v>
      </c>
      <c r="E223">
        <v>272.98</v>
      </c>
      <c r="F223" t="s">
        <v>26</v>
      </c>
      <c r="G223">
        <v>380.01</v>
      </c>
      <c r="H223">
        <v>107.03</v>
      </c>
      <c r="I223">
        <v>15</v>
      </c>
      <c r="J223">
        <v>2</v>
      </c>
      <c r="K223" t="str">
        <f>TEXT(discount_impact_on_profit_2000_rows[[#This Row],[order date]],"mmmm")</f>
        <v>November</v>
      </c>
      <c r="L223">
        <f>YEAR(discount_impact_on_profit_2000_rows[[#This Row],[order date]])</f>
        <v>2025</v>
      </c>
      <c r="M223" t="str">
        <f>IF(discount_impact_on_profit_2000_rows[[#This Row],[Discount %]]=0,"Zero Discount",IF(discount_impact_on_profit_2000_rows[[#This Row],[Discount %]]&lt;=10,"Low Discount","High Discount"))</f>
        <v>High Discount</v>
      </c>
      <c r="N223" t="str">
        <f t="shared" si="3"/>
        <v>10-20%</v>
      </c>
    </row>
    <row r="224" spans="1:14">
      <c r="A224" s="1">
        <v>44982</v>
      </c>
      <c r="B224" t="s">
        <v>286</v>
      </c>
      <c r="C224" t="s">
        <v>15</v>
      </c>
      <c r="D224" t="s">
        <v>86</v>
      </c>
      <c r="E224">
        <v>5802.99</v>
      </c>
      <c r="F224" t="s">
        <v>23</v>
      </c>
      <c r="G224">
        <v>7332.09</v>
      </c>
      <c r="H224">
        <v>1529.1</v>
      </c>
      <c r="I224">
        <v>0</v>
      </c>
      <c r="J224">
        <v>1</v>
      </c>
      <c r="K224" t="str">
        <f>TEXT(discount_impact_on_profit_2000_rows[[#This Row],[order date]],"mmmm")</f>
        <v>February</v>
      </c>
      <c r="L224">
        <f>YEAR(discount_impact_on_profit_2000_rows[[#This Row],[order date]])</f>
        <v>2023</v>
      </c>
      <c r="M224" t="str">
        <f>IF(discount_impact_on_profit_2000_rows[[#This Row],[Discount %]]=0,"Zero Discount",IF(discount_impact_on_profit_2000_rows[[#This Row],[Discount %]]&lt;=10,"Low Discount","High Discount"))</f>
        <v>Zero Discount</v>
      </c>
      <c r="N224" t="str">
        <f t="shared" si="3"/>
        <v>0-10%</v>
      </c>
    </row>
    <row r="225" spans="1:14">
      <c r="A225" s="1">
        <v>45014</v>
      </c>
      <c r="B225" t="s">
        <v>287</v>
      </c>
      <c r="C225" t="s">
        <v>18</v>
      </c>
      <c r="D225" t="s">
        <v>50</v>
      </c>
      <c r="E225">
        <v>549.11</v>
      </c>
      <c r="F225" t="s">
        <v>36</v>
      </c>
      <c r="G225">
        <v>736.22</v>
      </c>
      <c r="H225">
        <v>187.11</v>
      </c>
      <c r="I225">
        <v>20</v>
      </c>
      <c r="J225">
        <v>1</v>
      </c>
      <c r="K225" t="str">
        <f>TEXT(discount_impact_on_profit_2000_rows[[#This Row],[order date]],"mmmm")</f>
        <v>March</v>
      </c>
      <c r="L225">
        <f>YEAR(discount_impact_on_profit_2000_rows[[#This Row],[order date]])</f>
        <v>2023</v>
      </c>
      <c r="M225" t="str">
        <f>IF(discount_impact_on_profit_2000_rows[[#This Row],[Discount %]]=0,"Zero Discount",IF(discount_impact_on_profit_2000_rows[[#This Row],[Discount %]]&lt;=10,"Low Discount","High Discount"))</f>
        <v>High Discount</v>
      </c>
      <c r="N225" t="str">
        <f t="shared" si="3"/>
        <v>10-20%</v>
      </c>
    </row>
    <row r="226" spans="1:14">
      <c r="A226" s="1">
        <v>45404</v>
      </c>
      <c r="B226" t="s">
        <v>288</v>
      </c>
      <c r="C226" t="s">
        <v>11</v>
      </c>
      <c r="D226" t="s">
        <v>30</v>
      </c>
      <c r="E226">
        <v>887.01</v>
      </c>
      <c r="F226" t="s">
        <v>26</v>
      </c>
      <c r="G226">
        <v>1421.43</v>
      </c>
      <c r="H226">
        <v>534.41999999999996</v>
      </c>
      <c r="I226">
        <v>10</v>
      </c>
      <c r="J226">
        <v>1</v>
      </c>
      <c r="K226" t="str">
        <f>TEXT(discount_impact_on_profit_2000_rows[[#This Row],[order date]],"mmmm")</f>
        <v>April</v>
      </c>
      <c r="L226">
        <f>YEAR(discount_impact_on_profit_2000_rows[[#This Row],[order date]])</f>
        <v>2024</v>
      </c>
      <c r="M226" t="str">
        <f>IF(discount_impact_on_profit_2000_rows[[#This Row],[Discount %]]=0,"Zero Discount",IF(discount_impact_on_profit_2000_rows[[#This Row],[Discount %]]&lt;=10,"Low Discount","High Discount"))</f>
        <v>Low Discount</v>
      </c>
      <c r="N226" t="str">
        <f t="shared" si="3"/>
        <v>0-10%</v>
      </c>
    </row>
    <row r="227" spans="1:14">
      <c r="A227" s="1">
        <v>45480</v>
      </c>
      <c r="B227" t="s">
        <v>289</v>
      </c>
      <c r="C227" t="s">
        <v>18</v>
      </c>
      <c r="D227" t="s">
        <v>50</v>
      </c>
      <c r="E227">
        <v>687.98</v>
      </c>
      <c r="F227" t="s">
        <v>26</v>
      </c>
      <c r="G227">
        <v>1269.58</v>
      </c>
      <c r="H227">
        <v>581.6</v>
      </c>
      <c r="I227">
        <v>5</v>
      </c>
      <c r="J227">
        <v>1</v>
      </c>
      <c r="K227" t="str">
        <f>TEXT(discount_impact_on_profit_2000_rows[[#This Row],[order date]],"mmmm")</f>
        <v>July</v>
      </c>
      <c r="L227">
        <f>YEAR(discount_impact_on_profit_2000_rows[[#This Row],[order date]])</f>
        <v>2024</v>
      </c>
      <c r="M227" t="str">
        <f>IF(discount_impact_on_profit_2000_rows[[#This Row],[Discount %]]=0,"Zero Discount",IF(discount_impact_on_profit_2000_rows[[#This Row],[Discount %]]&lt;=10,"Low Discount","High Discount"))</f>
        <v>Low Discount</v>
      </c>
      <c r="N227" t="str">
        <f t="shared" si="3"/>
        <v>0-10%</v>
      </c>
    </row>
    <row r="228" spans="1:14">
      <c r="A228" s="1">
        <v>45881</v>
      </c>
      <c r="B228" t="s">
        <v>290</v>
      </c>
      <c r="C228" t="s">
        <v>15</v>
      </c>
      <c r="D228" t="s">
        <v>16</v>
      </c>
      <c r="E228">
        <v>6796.3</v>
      </c>
      <c r="F228" t="s">
        <v>13</v>
      </c>
      <c r="G228">
        <v>9483.09</v>
      </c>
      <c r="H228">
        <v>2686.79</v>
      </c>
      <c r="I228">
        <v>10</v>
      </c>
      <c r="J228">
        <v>1</v>
      </c>
      <c r="K228" t="str">
        <f>TEXT(discount_impact_on_profit_2000_rows[[#This Row],[order date]],"mmmm")</f>
        <v>August</v>
      </c>
      <c r="L228">
        <f>YEAR(discount_impact_on_profit_2000_rows[[#This Row],[order date]])</f>
        <v>2025</v>
      </c>
      <c r="M228" t="str">
        <f>IF(discount_impact_on_profit_2000_rows[[#This Row],[Discount %]]=0,"Zero Discount",IF(discount_impact_on_profit_2000_rows[[#This Row],[Discount %]]&lt;=10,"Low Discount","High Discount"))</f>
        <v>Low Discount</v>
      </c>
      <c r="N228" t="str">
        <f t="shared" si="3"/>
        <v>0-10%</v>
      </c>
    </row>
    <row r="229" spans="1:14">
      <c r="A229" s="1">
        <v>44946</v>
      </c>
      <c r="B229" t="s">
        <v>291</v>
      </c>
      <c r="C229" t="s">
        <v>11</v>
      </c>
      <c r="D229" t="s">
        <v>12</v>
      </c>
      <c r="E229">
        <v>923.07</v>
      </c>
      <c r="F229" t="s">
        <v>23</v>
      </c>
      <c r="G229">
        <v>2176.46</v>
      </c>
      <c r="H229">
        <v>1253.3900000000001</v>
      </c>
      <c r="I229">
        <v>10</v>
      </c>
      <c r="J229">
        <v>1</v>
      </c>
      <c r="K229" t="str">
        <f>TEXT(discount_impact_on_profit_2000_rows[[#This Row],[order date]],"mmmm")</f>
        <v>January</v>
      </c>
      <c r="L229">
        <f>YEAR(discount_impact_on_profit_2000_rows[[#This Row],[order date]])</f>
        <v>2023</v>
      </c>
      <c r="M229" t="str">
        <f>IF(discount_impact_on_profit_2000_rows[[#This Row],[Discount %]]=0,"Zero Discount",IF(discount_impact_on_profit_2000_rows[[#This Row],[Discount %]]&lt;=10,"Low Discount","High Discount"))</f>
        <v>Low Discount</v>
      </c>
      <c r="N229" t="str">
        <f t="shared" si="3"/>
        <v>0-10%</v>
      </c>
    </row>
    <row r="230" spans="1:14">
      <c r="A230" s="1">
        <v>45628</v>
      </c>
      <c r="B230" t="s">
        <v>292</v>
      </c>
      <c r="C230" t="s">
        <v>11</v>
      </c>
      <c r="D230" t="s">
        <v>12</v>
      </c>
      <c r="E230">
        <v>1406.03</v>
      </c>
      <c r="F230" t="s">
        <v>36</v>
      </c>
      <c r="G230">
        <v>2105.11</v>
      </c>
      <c r="H230">
        <v>699.08</v>
      </c>
      <c r="I230">
        <v>15</v>
      </c>
      <c r="J230">
        <v>1</v>
      </c>
      <c r="K230" t="str">
        <f>TEXT(discount_impact_on_profit_2000_rows[[#This Row],[order date]],"mmmm")</f>
        <v>December</v>
      </c>
      <c r="L230">
        <f>YEAR(discount_impact_on_profit_2000_rows[[#This Row],[order date]])</f>
        <v>2024</v>
      </c>
      <c r="M230" t="str">
        <f>IF(discount_impact_on_profit_2000_rows[[#This Row],[Discount %]]=0,"Zero Discount",IF(discount_impact_on_profit_2000_rows[[#This Row],[Discount %]]&lt;=10,"Low Discount","High Discount"))</f>
        <v>High Discount</v>
      </c>
      <c r="N230" t="str">
        <f t="shared" si="3"/>
        <v>10-20%</v>
      </c>
    </row>
    <row r="231" spans="1:14">
      <c r="A231" s="1">
        <v>45963</v>
      </c>
      <c r="B231" t="s">
        <v>293</v>
      </c>
      <c r="C231" t="s">
        <v>15</v>
      </c>
      <c r="D231" t="s">
        <v>99</v>
      </c>
      <c r="E231">
        <v>2781.49</v>
      </c>
      <c r="F231" t="s">
        <v>23</v>
      </c>
      <c r="G231">
        <v>3545.73</v>
      </c>
      <c r="H231">
        <v>764.24</v>
      </c>
      <c r="I231">
        <v>0</v>
      </c>
      <c r="J231">
        <v>2</v>
      </c>
      <c r="K231" t="str">
        <f>TEXT(discount_impact_on_profit_2000_rows[[#This Row],[order date]],"mmmm")</f>
        <v>November</v>
      </c>
      <c r="L231">
        <f>YEAR(discount_impact_on_profit_2000_rows[[#This Row],[order date]])</f>
        <v>2025</v>
      </c>
      <c r="M231" t="str">
        <f>IF(discount_impact_on_profit_2000_rows[[#This Row],[Discount %]]=0,"Zero Discount",IF(discount_impact_on_profit_2000_rows[[#This Row],[Discount %]]&lt;=10,"Low Discount","High Discount"))</f>
        <v>Zero Discount</v>
      </c>
      <c r="N231" t="str">
        <f t="shared" si="3"/>
        <v>0-10%</v>
      </c>
    </row>
    <row r="232" spans="1:14">
      <c r="A232" s="1">
        <v>45243</v>
      </c>
      <c r="B232" t="s">
        <v>294</v>
      </c>
      <c r="C232" t="s">
        <v>15</v>
      </c>
      <c r="D232" t="s">
        <v>86</v>
      </c>
      <c r="E232">
        <v>3756.07</v>
      </c>
      <c r="F232" t="s">
        <v>13</v>
      </c>
      <c r="G232">
        <v>5469.52</v>
      </c>
      <c r="H232">
        <v>1713.45</v>
      </c>
      <c r="I232">
        <v>0</v>
      </c>
      <c r="J232">
        <v>1</v>
      </c>
      <c r="K232" t="str">
        <f>TEXT(discount_impact_on_profit_2000_rows[[#This Row],[order date]],"mmmm")</f>
        <v>November</v>
      </c>
      <c r="L232">
        <f>YEAR(discount_impact_on_profit_2000_rows[[#This Row],[order date]])</f>
        <v>2023</v>
      </c>
      <c r="M232" t="str">
        <f>IF(discount_impact_on_profit_2000_rows[[#This Row],[Discount %]]=0,"Zero Discount",IF(discount_impact_on_profit_2000_rows[[#This Row],[Discount %]]&lt;=10,"Low Discount","High Discount"))</f>
        <v>Zero Discount</v>
      </c>
      <c r="N232" t="str">
        <f t="shared" si="3"/>
        <v>0-10%</v>
      </c>
    </row>
    <row r="233" spans="1:14">
      <c r="A233" s="1">
        <v>45017</v>
      </c>
      <c r="B233" t="s">
        <v>295</v>
      </c>
      <c r="C233" t="s">
        <v>11</v>
      </c>
      <c r="D233" t="s">
        <v>64</v>
      </c>
      <c r="E233">
        <v>185.37</v>
      </c>
      <c r="F233" t="s">
        <v>13</v>
      </c>
      <c r="G233">
        <v>359.51</v>
      </c>
      <c r="H233">
        <v>174.14</v>
      </c>
      <c r="I233">
        <v>0</v>
      </c>
      <c r="J233">
        <v>1</v>
      </c>
      <c r="K233" t="str">
        <f>TEXT(discount_impact_on_profit_2000_rows[[#This Row],[order date]],"mmmm")</f>
        <v>April</v>
      </c>
      <c r="L233">
        <f>YEAR(discount_impact_on_profit_2000_rows[[#This Row],[order date]])</f>
        <v>2023</v>
      </c>
      <c r="M233" t="str">
        <f>IF(discount_impact_on_profit_2000_rows[[#This Row],[Discount %]]=0,"Zero Discount",IF(discount_impact_on_profit_2000_rows[[#This Row],[Discount %]]&lt;=10,"Low Discount","High Discount"))</f>
        <v>Zero Discount</v>
      </c>
      <c r="N233" t="str">
        <f t="shared" si="3"/>
        <v>0-10%</v>
      </c>
    </row>
    <row r="234" spans="1:14">
      <c r="A234" s="1">
        <v>45571</v>
      </c>
      <c r="B234" t="s">
        <v>296</v>
      </c>
      <c r="C234" t="s">
        <v>15</v>
      </c>
      <c r="D234" t="s">
        <v>99</v>
      </c>
      <c r="E234">
        <v>8300.1200000000008</v>
      </c>
      <c r="F234" t="s">
        <v>31</v>
      </c>
      <c r="G234">
        <v>8549.1200000000008</v>
      </c>
      <c r="H234">
        <v>249</v>
      </c>
      <c r="I234">
        <v>20</v>
      </c>
      <c r="J234">
        <v>2</v>
      </c>
      <c r="K234" t="str">
        <f>TEXT(discount_impact_on_profit_2000_rows[[#This Row],[order date]],"mmmm")</f>
        <v>October</v>
      </c>
      <c r="L234">
        <f>YEAR(discount_impact_on_profit_2000_rows[[#This Row],[order date]])</f>
        <v>2024</v>
      </c>
      <c r="M234" t="str">
        <f>IF(discount_impact_on_profit_2000_rows[[#This Row],[Discount %]]=0,"Zero Discount",IF(discount_impact_on_profit_2000_rows[[#This Row],[Discount %]]&lt;=10,"Low Discount","High Discount"))</f>
        <v>High Discount</v>
      </c>
      <c r="N234" t="str">
        <f t="shared" si="3"/>
        <v>10-20%</v>
      </c>
    </row>
    <row r="235" spans="1:14">
      <c r="A235" s="1">
        <v>45858</v>
      </c>
      <c r="B235" t="s">
        <v>297</v>
      </c>
      <c r="C235" t="s">
        <v>21</v>
      </c>
      <c r="D235" t="s">
        <v>97</v>
      </c>
      <c r="E235">
        <v>30114.68</v>
      </c>
      <c r="F235" t="s">
        <v>31</v>
      </c>
      <c r="G235">
        <v>36264.080000000002</v>
      </c>
      <c r="H235">
        <v>6149.4</v>
      </c>
      <c r="I235">
        <v>10</v>
      </c>
      <c r="J235">
        <v>2</v>
      </c>
      <c r="K235" t="str">
        <f>TEXT(discount_impact_on_profit_2000_rows[[#This Row],[order date]],"mmmm")</f>
        <v>July</v>
      </c>
      <c r="L235">
        <f>YEAR(discount_impact_on_profit_2000_rows[[#This Row],[order date]])</f>
        <v>2025</v>
      </c>
      <c r="M235" t="str">
        <f>IF(discount_impact_on_profit_2000_rows[[#This Row],[Discount %]]=0,"Zero Discount",IF(discount_impact_on_profit_2000_rows[[#This Row],[Discount %]]&lt;=10,"Low Discount","High Discount"))</f>
        <v>Low Discount</v>
      </c>
      <c r="N235" t="str">
        <f t="shared" si="3"/>
        <v>0-10%</v>
      </c>
    </row>
    <row r="236" spans="1:14">
      <c r="A236" s="1">
        <v>45508</v>
      </c>
      <c r="B236" t="s">
        <v>298</v>
      </c>
      <c r="C236" t="s">
        <v>21</v>
      </c>
      <c r="D236" t="s">
        <v>123</v>
      </c>
      <c r="E236">
        <v>44965.93</v>
      </c>
      <c r="F236" t="s">
        <v>23</v>
      </c>
      <c r="G236">
        <v>46314.91</v>
      </c>
      <c r="H236">
        <v>1348.98</v>
      </c>
      <c r="I236">
        <v>19</v>
      </c>
      <c r="J236">
        <v>3</v>
      </c>
      <c r="K236" t="str">
        <f>TEXT(discount_impact_on_profit_2000_rows[[#This Row],[order date]],"mmmm")</f>
        <v>August</v>
      </c>
      <c r="L236">
        <f>YEAR(discount_impact_on_profit_2000_rows[[#This Row],[order date]])</f>
        <v>2024</v>
      </c>
      <c r="M236" t="str">
        <f>IF(discount_impact_on_profit_2000_rows[[#This Row],[Discount %]]=0,"Zero Discount",IF(discount_impact_on_profit_2000_rows[[#This Row],[Discount %]]&lt;=10,"Low Discount","High Discount"))</f>
        <v>High Discount</v>
      </c>
      <c r="N236" t="str">
        <f t="shared" si="3"/>
        <v>10-20%</v>
      </c>
    </row>
    <row r="237" spans="1:14">
      <c r="A237" s="1">
        <v>45563</v>
      </c>
      <c r="B237" t="s">
        <v>299</v>
      </c>
      <c r="C237" t="s">
        <v>33</v>
      </c>
      <c r="D237" t="s">
        <v>92</v>
      </c>
      <c r="E237">
        <v>7024.42</v>
      </c>
      <c r="F237" t="s">
        <v>31</v>
      </c>
      <c r="G237">
        <v>9297</v>
      </c>
      <c r="H237">
        <v>2272.58</v>
      </c>
      <c r="I237">
        <v>15</v>
      </c>
      <c r="J237">
        <v>1</v>
      </c>
      <c r="K237" t="str">
        <f>TEXT(discount_impact_on_profit_2000_rows[[#This Row],[order date]],"mmmm")</f>
        <v>September</v>
      </c>
      <c r="L237">
        <f>YEAR(discount_impact_on_profit_2000_rows[[#This Row],[order date]])</f>
        <v>2024</v>
      </c>
      <c r="M237" t="str">
        <f>IF(discount_impact_on_profit_2000_rows[[#This Row],[Discount %]]=0,"Zero Discount",IF(discount_impact_on_profit_2000_rows[[#This Row],[Discount %]]&lt;=10,"Low Discount","High Discount"))</f>
        <v>High Discount</v>
      </c>
      <c r="N237" t="str">
        <f t="shared" si="3"/>
        <v>10-20%</v>
      </c>
    </row>
    <row r="238" spans="1:14">
      <c r="A238" s="1">
        <v>45229</v>
      </c>
      <c r="B238" t="s">
        <v>300</v>
      </c>
      <c r="C238" t="s">
        <v>18</v>
      </c>
      <c r="D238" t="s">
        <v>42</v>
      </c>
      <c r="E238">
        <v>615.29999999999995</v>
      </c>
      <c r="F238" t="s">
        <v>31</v>
      </c>
      <c r="G238">
        <v>1010.09</v>
      </c>
      <c r="H238">
        <v>394.79</v>
      </c>
      <c r="I238">
        <v>5</v>
      </c>
      <c r="J238">
        <v>6</v>
      </c>
      <c r="K238" t="str">
        <f>TEXT(discount_impact_on_profit_2000_rows[[#This Row],[order date]],"mmmm")</f>
        <v>October</v>
      </c>
      <c r="L238">
        <f>YEAR(discount_impact_on_profit_2000_rows[[#This Row],[order date]])</f>
        <v>2023</v>
      </c>
      <c r="M238" t="str">
        <f>IF(discount_impact_on_profit_2000_rows[[#This Row],[Discount %]]=0,"Zero Discount",IF(discount_impact_on_profit_2000_rows[[#This Row],[Discount %]]&lt;=10,"Low Discount","High Discount"))</f>
        <v>Low Discount</v>
      </c>
      <c r="N238" t="str">
        <f t="shared" si="3"/>
        <v>0-10%</v>
      </c>
    </row>
    <row r="239" spans="1:14">
      <c r="A239" s="1">
        <v>45457</v>
      </c>
      <c r="B239" t="s">
        <v>301</v>
      </c>
      <c r="C239" t="s">
        <v>53</v>
      </c>
      <c r="D239" t="s">
        <v>95</v>
      </c>
      <c r="E239">
        <v>372.28</v>
      </c>
      <c r="F239" t="s">
        <v>26</v>
      </c>
      <c r="G239">
        <v>609.71</v>
      </c>
      <c r="H239">
        <v>237.43</v>
      </c>
      <c r="I239">
        <v>5</v>
      </c>
      <c r="J239">
        <v>1</v>
      </c>
      <c r="K239" t="str">
        <f>TEXT(discount_impact_on_profit_2000_rows[[#This Row],[order date]],"mmmm")</f>
        <v>June</v>
      </c>
      <c r="L239">
        <f>YEAR(discount_impact_on_profit_2000_rows[[#This Row],[order date]])</f>
        <v>2024</v>
      </c>
      <c r="M239" t="str">
        <f>IF(discount_impact_on_profit_2000_rows[[#This Row],[Discount %]]=0,"Zero Discount",IF(discount_impact_on_profit_2000_rows[[#This Row],[Discount %]]&lt;=10,"Low Discount","High Discount"))</f>
        <v>Low Discount</v>
      </c>
      <c r="N239" t="str">
        <f t="shared" si="3"/>
        <v>0-10%</v>
      </c>
    </row>
    <row r="240" spans="1:14">
      <c r="A240" s="1">
        <v>45737</v>
      </c>
      <c r="B240" t="s">
        <v>302</v>
      </c>
      <c r="C240" t="s">
        <v>33</v>
      </c>
      <c r="D240" t="s">
        <v>203</v>
      </c>
      <c r="E240">
        <v>2263.91</v>
      </c>
      <c r="F240" t="s">
        <v>36</v>
      </c>
      <c r="G240">
        <v>3636.97</v>
      </c>
      <c r="H240">
        <v>1373.06</v>
      </c>
      <c r="I240">
        <v>0</v>
      </c>
      <c r="J240">
        <v>2</v>
      </c>
      <c r="K240" t="str">
        <f>TEXT(discount_impact_on_profit_2000_rows[[#This Row],[order date]],"mmmm")</f>
        <v>March</v>
      </c>
      <c r="L240">
        <f>YEAR(discount_impact_on_profit_2000_rows[[#This Row],[order date]])</f>
        <v>2025</v>
      </c>
      <c r="M240" t="str">
        <f>IF(discount_impact_on_profit_2000_rows[[#This Row],[Discount %]]=0,"Zero Discount",IF(discount_impact_on_profit_2000_rows[[#This Row],[Discount %]]&lt;=10,"Low Discount","High Discount"))</f>
        <v>Zero Discount</v>
      </c>
      <c r="N240" t="str">
        <f t="shared" si="3"/>
        <v>0-10%</v>
      </c>
    </row>
    <row r="241" spans="1:14">
      <c r="A241" s="1">
        <v>44957</v>
      </c>
      <c r="B241" t="s">
        <v>303</v>
      </c>
      <c r="C241" t="s">
        <v>15</v>
      </c>
      <c r="D241" t="s">
        <v>84</v>
      </c>
      <c r="E241">
        <v>24090.55</v>
      </c>
      <c r="F241" t="s">
        <v>13</v>
      </c>
      <c r="G241">
        <v>32054.46</v>
      </c>
      <c r="H241">
        <v>7963.91</v>
      </c>
      <c r="I241">
        <v>10</v>
      </c>
      <c r="J241">
        <v>6</v>
      </c>
      <c r="K241" t="str">
        <f>TEXT(discount_impact_on_profit_2000_rows[[#This Row],[order date]],"mmmm")</f>
        <v>January</v>
      </c>
      <c r="L241">
        <f>YEAR(discount_impact_on_profit_2000_rows[[#This Row],[order date]])</f>
        <v>2023</v>
      </c>
      <c r="M241" t="str">
        <f>IF(discount_impact_on_profit_2000_rows[[#This Row],[Discount %]]=0,"Zero Discount",IF(discount_impact_on_profit_2000_rows[[#This Row],[Discount %]]&lt;=10,"Low Discount","High Discount"))</f>
        <v>Low Discount</v>
      </c>
      <c r="N241" t="str">
        <f t="shared" si="3"/>
        <v>0-10%</v>
      </c>
    </row>
    <row r="242" spans="1:14">
      <c r="A242" s="1">
        <v>45723</v>
      </c>
      <c r="B242" t="s">
        <v>304</v>
      </c>
      <c r="C242" t="s">
        <v>18</v>
      </c>
      <c r="D242" t="s">
        <v>188</v>
      </c>
      <c r="E242">
        <v>354.72</v>
      </c>
      <c r="F242" t="s">
        <v>36</v>
      </c>
      <c r="G242">
        <v>628.57000000000005</v>
      </c>
      <c r="H242">
        <v>273.85000000000002</v>
      </c>
      <c r="I242">
        <v>20</v>
      </c>
      <c r="J242">
        <v>8</v>
      </c>
      <c r="K242" t="str">
        <f>TEXT(discount_impact_on_profit_2000_rows[[#This Row],[order date]],"mmmm")</f>
        <v>March</v>
      </c>
      <c r="L242">
        <f>YEAR(discount_impact_on_profit_2000_rows[[#This Row],[order date]])</f>
        <v>2025</v>
      </c>
      <c r="M242" t="str">
        <f>IF(discount_impact_on_profit_2000_rows[[#This Row],[Discount %]]=0,"Zero Discount",IF(discount_impact_on_profit_2000_rows[[#This Row],[Discount %]]&lt;=10,"Low Discount","High Discount"))</f>
        <v>High Discount</v>
      </c>
      <c r="N242" t="str">
        <f t="shared" si="3"/>
        <v>10-20%</v>
      </c>
    </row>
    <row r="243" spans="1:14">
      <c r="A243" s="1">
        <v>44975</v>
      </c>
      <c r="B243" t="s">
        <v>305</v>
      </c>
      <c r="C243" t="s">
        <v>33</v>
      </c>
      <c r="D243" t="s">
        <v>92</v>
      </c>
      <c r="E243">
        <v>89406.84</v>
      </c>
      <c r="F243" t="s">
        <v>31</v>
      </c>
      <c r="G243">
        <v>106396.8</v>
      </c>
      <c r="H243">
        <v>16989.96</v>
      </c>
      <c r="I243">
        <v>15</v>
      </c>
      <c r="J243">
        <v>5</v>
      </c>
      <c r="K243" t="str">
        <f>TEXT(discount_impact_on_profit_2000_rows[[#This Row],[order date]],"mmmm")</f>
        <v>February</v>
      </c>
      <c r="L243">
        <f>YEAR(discount_impact_on_profit_2000_rows[[#This Row],[order date]])</f>
        <v>2023</v>
      </c>
      <c r="M243" t="str">
        <f>IF(discount_impact_on_profit_2000_rows[[#This Row],[Discount %]]=0,"Zero Discount",IF(discount_impact_on_profit_2000_rows[[#This Row],[Discount %]]&lt;=10,"Low Discount","High Discount"))</f>
        <v>High Discount</v>
      </c>
      <c r="N243" t="str">
        <f t="shared" si="3"/>
        <v>10-20%</v>
      </c>
    </row>
    <row r="244" spans="1:14">
      <c r="A244" s="1">
        <v>45161</v>
      </c>
      <c r="B244" t="s">
        <v>306</v>
      </c>
      <c r="C244" t="s">
        <v>15</v>
      </c>
      <c r="D244" t="s">
        <v>84</v>
      </c>
      <c r="E244">
        <v>7014.48</v>
      </c>
      <c r="F244" t="s">
        <v>26</v>
      </c>
      <c r="G244">
        <v>9765.44</v>
      </c>
      <c r="H244">
        <v>2750.96</v>
      </c>
      <c r="I244">
        <v>15</v>
      </c>
      <c r="J244">
        <v>1</v>
      </c>
      <c r="K244" t="str">
        <f>TEXT(discount_impact_on_profit_2000_rows[[#This Row],[order date]],"mmmm")</f>
        <v>August</v>
      </c>
      <c r="L244">
        <f>YEAR(discount_impact_on_profit_2000_rows[[#This Row],[order date]])</f>
        <v>2023</v>
      </c>
      <c r="M244" t="str">
        <f>IF(discount_impact_on_profit_2000_rows[[#This Row],[Discount %]]=0,"Zero Discount",IF(discount_impact_on_profit_2000_rows[[#This Row],[Discount %]]&lt;=10,"Low Discount","High Discount"))</f>
        <v>High Discount</v>
      </c>
      <c r="N244" t="str">
        <f t="shared" si="3"/>
        <v>10-20%</v>
      </c>
    </row>
    <row r="245" spans="1:14">
      <c r="A245" s="1">
        <v>45008</v>
      </c>
      <c r="B245" t="s">
        <v>307</v>
      </c>
      <c r="C245" t="s">
        <v>15</v>
      </c>
      <c r="D245" t="s">
        <v>99</v>
      </c>
      <c r="E245">
        <v>30680.400000000001</v>
      </c>
      <c r="F245" t="s">
        <v>31</v>
      </c>
      <c r="G245">
        <v>34439.949999999997</v>
      </c>
      <c r="H245">
        <v>3759.55</v>
      </c>
      <c r="I245">
        <v>10</v>
      </c>
      <c r="J245">
        <v>4</v>
      </c>
      <c r="K245" t="str">
        <f>TEXT(discount_impact_on_profit_2000_rows[[#This Row],[order date]],"mmmm")</f>
        <v>March</v>
      </c>
      <c r="L245">
        <f>YEAR(discount_impact_on_profit_2000_rows[[#This Row],[order date]])</f>
        <v>2023</v>
      </c>
      <c r="M245" t="str">
        <f>IF(discount_impact_on_profit_2000_rows[[#This Row],[Discount %]]=0,"Zero Discount",IF(discount_impact_on_profit_2000_rows[[#This Row],[Discount %]]&lt;=10,"Low Discount","High Discount"))</f>
        <v>Low Discount</v>
      </c>
      <c r="N245" t="str">
        <f t="shared" si="3"/>
        <v>0-10%</v>
      </c>
    </row>
    <row r="246" spans="1:14">
      <c r="A246" s="1">
        <v>45123</v>
      </c>
      <c r="B246" t="s">
        <v>308</v>
      </c>
      <c r="C246" t="s">
        <v>11</v>
      </c>
      <c r="D246" t="s">
        <v>30</v>
      </c>
      <c r="E246">
        <v>4139.6400000000003</v>
      </c>
      <c r="F246" t="s">
        <v>31</v>
      </c>
      <c r="G246">
        <v>6428.52</v>
      </c>
      <c r="H246">
        <v>2288.88</v>
      </c>
      <c r="I246">
        <v>20</v>
      </c>
      <c r="J246">
        <v>4</v>
      </c>
      <c r="K246" t="str">
        <f>TEXT(discount_impact_on_profit_2000_rows[[#This Row],[order date]],"mmmm")</f>
        <v>July</v>
      </c>
      <c r="L246">
        <f>YEAR(discount_impact_on_profit_2000_rows[[#This Row],[order date]])</f>
        <v>2023</v>
      </c>
      <c r="M246" t="str">
        <f>IF(discount_impact_on_profit_2000_rows[[#This Row],[Discount %]]=0,"Zero Discount",IF(discount_impact_on_profit_2000_rows[[#This Row],[Discount %]]&lt;=10,"Low Discount","High Discount"))</f>
        <v>High Discount</v>
      </c>
      <c r="N246" t="str">
        <f t="shared" si="3"/>
        <v>10-20%</v>
      </c>
    </row>
    <row r="247" spans="1:14">
      <c r="A247" s="1">
        <v>45209</v>
      </c>
      <c r="B247" t="s">
        <v>309</v>
      </c>
      <c r="C247" t="s">
        <v>21</v>
      </c>
      <c r="D247" t="s">
        <v>57</v>
      </c>
      <c r="E247">
        <v>1434.14</v>
      </c>
      <c r="F247" t="s">
        <v>26</v>
      </c>
      <c r="G247">
        <v>1580.68</v>
      </c>
      <c r="H247">
        <v>146.54</v>
      </c>
      <c r="I247">
        <v>25</v>
      </c>
      <c r="J247">
        <v>2</v>
      </c>
      <c r="K247" t="str">
        <f>TEXT(discount_impact_on_profit_2000_rows[[#This Row],[order date]],"mmmm")</f>
        <v>October</v>
      </c>
      <c r="L247">
        <f>YEAR(discount_impact_on_profit_2000_rows[[#This Row],[order date]])</f>
        <v>2023</v>
      </c>
      <c r="M247" t="str">
        <f>IF(discount_impact_on_profit_2000_rows[[#This Row],[Discount %]]=0,"Zero Discount",IF(discount_impact_on_profit_2000_rows[[#This Row],[Discount %]]&lt;=10,"Low Discount","High Discount"))</f>
        <v>High Discount</v>
      </c>
      <c r="N247" t="str">
        <f t="shared" si="3"/>
        <v>20-30%</v>
      </c>
    </row>
    <row r="248" spans="1:14">
      <c r="A248" s="1">
        <v>44930</v>
      </c>
      <c r="B248" t="s">
        <v>310</v>
      </c>
      <c r="C248" t="s">
        <v>11</v>
      </c>
      <c r="D248" t="s">
        <v>30</v>
      </c>
      <c r="E248">
        <v>1279.1199999999999</v>
      </c>
      <c r="F248" t="s">
        <v>26</v>
      </c>
      <c r="G248">
        <v>2042.46</v>
      </c>
      <c r="H248">
        <v>763.34</v>
      </c>
      <c r="I248">
        <v>0</v>
      </c>
      <c r="J248">
        <v>4</v>
      </c>
      <c r="K248" t="str">
        <f>TEXT(discount_impact_on_profit_2000_rows[[#This Row],[order date]],"mmmm")</f>
        <v>January</v>
      </c>
      <c r="L248">
        <f>YEAR(discount_impact_on_profit_2000_rows[[#This Row],[order date]])</f>
        <v>2023</v>
      </c>
      <c r="M248" t="str">
        <f>IF(discount_impact_on_profit_2000_rows[[#This Row],[Discount %]]=0,"Zero Discount",IF(discount_impact_on_profit_2000_rows[[#This Row],[Discount %]]&lt;=10,"Low Discount","High Discount"))</f>
        <v>Zero Discount</v>
      </c>
      <c r="N248" t="str">
        <f t="shared" si="3"/>
        <v>0-10%</v>
      </c>
    </row>
    <row r="249" spans="1:14">
      <c r="A249" s="1">
        <v>45830</v>
      </c>
      <c r="B249" t="s">
        <v>311</v>
      </c>
      <c r="C249" t="s">
        <v>11</v>
      </c>
      <c r="D249" t="s">
        <v>12</v>
      </c>
      <c r="E249">
        <v>640.76</v>
      </c>
      <c r="F249" t="s">
        <v>31</v>
      </c>
      <c r="G249">
        <v>1172.67</v>
      </c>
      <c r="H249">
        <v>531.91</v>
      </c>
      <c r="I249">
        <v>0</v>
      </c>
      <c r="J249">
        <v>1</v>
      </c>
      <c r="K249" t="str">
        <f>TEXT(discount_impact_on_profit_2000_rows[[#This Row],[order date]],"mmmm")</f>
        <v>June</v>
      </c>
      <c r="L249">
        <f>YEAR(discount_impact_on_profit_2000_rows[[#This Row],[order date]])</f>
        <v>2025</v>
      </c>
      <c r="M249" t="str">
        <f>IF(discount_impact_on_profit_2000_rows[[#This Row],[Discount %]]=0,"Zero Discount",IF(discount_impact_on_profit_2000_rows[[#This Row],[Discount %]]&lt;=10,"Low Discount","High Discount"))</f>
        <v>Zero Discount</v>
      </c>
      <c r="N249" t="str">
        <f t="shared" si="3"/>
        <v>0-10%</v>
      </c>
    </row>
    <row r="250" spans="1:14">
      <c r="A250" s="1">
        <v>45035</v>
      </c>
      <c r="B250" t="s">
        <v>312</v>
      </c>
      <c r="C250" t="s">
        <v>53</v>
      </c>
      <c r="D250" t="s">
        <v>59</v>
      </c>
      <c r="E250">
        <v>539.26</v>
      </c>
      <c r="F250" t="s">
        <v>36</v>
      </c>
      <c r="G250">
        <v>987.36</v>
      </c>
      <c r="H250">
        <v>448.1</v>
      </c>
      <c r="I250">
        <v>0</v>
      </c>
      <c r="J250">
        <v>2</v>
      </c>
      <c r="K250" t="str">
        <f>TEXT(discount_impact_on_profit_2000_rows[[#This Row],[order date]],"mmmm")</f>
        <v>April</v>
      </c>
      <c r="L250">
        <f>YEAR(discount_impact_on_profit_2000_rows[[#This Row],[order date]])</f>
        <v>2023</v>
      </c>
      <c r="M250" t="str">
        <f>IF(discount_impact_on_profit_2000_rows[[#This Row],[Discount %]]=0,"Zero Discount",IF(discount_impact_on_profit_2000_rows[[#This Row],[Discount %]]&lt;=10,"Low Discount","High Discount"))</f>
        <v>Zero Discount</v>
      </c>
      <c r="N250" t="str">
        <f t="shared" si="3"/>
        <v>0-10%</v>
      </c>
    </row>
    <row r="251" spans="1:14">
      <c r="A251" s="1">
        <v>45695</v>
      </c>
      <c r="B251" t="s">
        <v>313</v>
      </c>
      <c r="C251" t="s">
        <v>11</v>
      </c>
      <c r="D251" t="s">
        <v>80</v>
      </c>
      <c r="E251">
        <v>1281.8399999999999</v>
      </c>
      <c r="F251" t="s">
        <v>31</v>
      </c>
      <c r="G251">
        <v>1695.4</v>
      </c>
      <c r="H251">
        <v>413.56</v>
      </c>
      <c r="I251">
        <v>25</v>
      </c>
      <c r="J251">
        <v>5</v>
      </c>
      <c r="K251" t="str">
        <f>TEXT(discount_impact_on_profit_2000_rows[[#This Row],[order date]],"mmmm")</f>
        <v>February</v>
      </c>
      <c r="L251">
        <f>YEAR(discount_impact_on_profit_2000_rows[[#This Row],[order date]])</f>
        <v>2025</v>
      </c>
      <c r="M251" t="str">
        <f>IF(discount_impact_on_profit_2000_rows[[#This Row],[Discount %]]=0,"Zero Discount",IF(discount_impact_on_profit_2000_rows[[#This Row],[Discount %]]&lt;=10,"Low Discount","High Discount"))</f>
        <v>High Discount</v>
      </c>
      <c r="N251" t="str">
        <f t="shared" si="3"/>
        <v>20-30%</v>
      </c>
    </row>
    <row r="252" spans="1:14">
      <c r="A252" s="1">
        <v>44959</v>
      </c>
      <c r="B252" t="s">
        <v>314</v>
      </c>
      <c r="C252" t="s">
        <v>15</v>
      </c>
      <c r="D252" t="s">
        <v>99</v>
      </c>
      <c r="E252">
        <v>4066.21</v>
      </c>
      <c r="F252" t="s">
        <v>31</v>
      </c>
      <c r="G252">
        <v>5949.88</v>
      </c>
      <c r="H252">
        <v>1883.67</v>
      </c>
      <c r="I252">
        <v>5</v>
      </c>
      <c r="J252">
        <v>3</v>
      </c>
      <c r="K252" t="str">
        <f>TEXT(discount_impact_on_profit_2000_rows[[#This Row],[order date]],"mmmm")</f>
        <v>February</v>
      </c>
      <c r="L252">
        <f>YEAR(discount_impact_on_profit_2000_rows[[#This Row],[order date]])</f>
        <v>2023</v>
      </c>
      <c r="M252" t="str">
        <f>IF(discount_impact_on_profit_2000_rows[[#This Row],[Discount %]]=0,"Zero Discount",IF(discount_impact_on_profit_2000_rows[[#This Row],[Discount %]]&lt;=10,"Low Discount","High Discount"))</f>
        <v>Low Discount</v>
      </c>
      <c r="N252" t="str">
        <f t="shared" si="3"/>
        <v>0-10%</v>
      </c>
    </row>
    <row r="253" spans="1:14">
      <c r="A253" s="1">
        <v>46015</v>
      </c>
      <c r="B253" t="s">
        <v>315</v>
      </c>
      <c r="C253" t="s">
        <v>21</v>
      </c>
      <c r="D253" t="s">
        <v>154</v>
      </c>
      <c r="E253">
        <v>86024.51</v>
      </c>
      <c r="F253" t="s">
        <v>31</v>
      </c>
      <c r="G253">
        <v>91860.73</v>
      </c>
      <c r="H253">
        <v>5836.22</v>
      </c>
      <c r="I253">
        <v>10</v>
      </c>
      <c r="J253">
        <v>8</v>
      </c>
      <c r="K253" t="str">
        <f>TEXT(discount_impact_on_profit_2000_rows[[#This Row],[order date]],"mmmm")</f>
        <v>December</v>
      </c>
      <c r="L253">
        <f>YEAR(discount_impact_on_profit_2000_rows[[#This Row],[order date]])</f>
        <v>2025</v>
      </c>
      <c r="M253" t="str">
        <f>IF(discount_impact_on_profit_2000_rows[[#This Row],[Discount %]]=0,"Zero Discount",IF(discount_impact_on_profit_2000_rows[[#This Row],[Discount %]]&lt;=10,"Low Discount","High Discount"))</f>
        <v>Low Discount</v>
      </c>
      <c r="N253" t="str">
        <f t="shared" si="3"/>
        <v>0-10%</v>
      </c>
    </row>
    <row r="254" spans="1:14">
      <c r="A254" s="1">
        <v>45967</v>
      </c>
      <c r="B254" t="s">
        <v>316</v>
      </c>
      <c r="C254" t="s">
        <v>33</v>
      </c>
      <c r="D254" t="s">
        <v>273</v>
      </c>
      <c r="E254">
        <v>10726.53</v>
      </c>
      <c r="F254" t="s">
        <v>36</v>
      </c>
      <c r="G254">
        <v>13357.99</v>
      </c>
      <c r="H254">
        <v>2631.46</v>
      </c>
      <c r="I254">
        <v>15</v>
      </c>
      <c r="J254">
        <v>5</v>
      </c>
      <c r="K254" t="str">
        <f>TEXT(discount_impact_on_profit_2000_rows[[#This Row],[order date]],"mmmm")</f>
        <v>November</v>
      </c>
      <c r="L254">
        <f>YEAR(discount_impact_on_profit_2000_rows[[#This Row],[order date]])</f>
        <v>2025</v>
      </c>
      <c r="M254" t="str">
        <f>IF(discount_impact_on_profit_2000_rows[[#This Row],[Discount %]]=0,"Zero Discount",IF(discount_impact_on_profit_2000_rows[[#This Row],[Discount %]]&lt;=10,"Low Discount","High Discount"))</f>
        <v>High Discount</v>
      </c>
      <c r="N254" t="str">
        <f t="shared" si="3"/>
        <v>10-20%</v>
      </c>
    </row>
    <row r="255" spans="1:14">
      <c r="A255" s="1">
        <v>44996</v>
      </c>
      <c r="B255" t="s">
        <v>317</v>
      </c>
      <c r="C255" t="s">
        <v>53</v>
      </c>
      <c r="D255" t="s">
        <v>152</v>
      </c>
      <c r="E255">
        <v>724.42</v>
      </c>
      <c r="F255" t="s">
        <v>36</v>
      </c>
      <c r="G255">
        <v>1437.04</v>
      </c>
      <c r="H255">
        <v>712.62</v>
      </c>
      <c r="I255">
        <v>10</v>
      </c>
      <c r="J255">
        <v>1</v>
      </c>
      <c r="K255" t="str">
        <f>TEXT(discount_impact_on_profit_2000_rows[[#This Row],[order date]],"mmmm")</f>
        <v>March</v>
      </c>
      <c r="L255">
        <f>YEAR(discount_impact_on_profit_2000_rows[[#This Row],[order date]])</f>
        <v>2023</v>
      </c>
      <c r="M255" t="str">
        <f>IF(discount_impact_on_profit_2000_rows[[#This Row],[Discount %]]=0,"Zero Discount",IF(discount_impact_on_profit_2000_rows[[#This Row],[Discount %]]&lt;=10,"Low Discount","High Discount"))</f>
        <v>Low Discount</v>
      </c>
      <c r="N255" t="str">
        <f t="shared" si="3"/>
        <v>0-10%</v>
      </c>
    </row>
    <row r="256" spans="1:14">
      <c r="A256" s="1">
        <v>45843</v>
      </c>
      <c r="B256" t="s">
        <v>318</v>
      </c>
      <c r="C256" t="s">
        <v>53</v>
      </c>
      <c r="D256" t="s">
        <v>152</v>
      </c>
      <c r="E256">
        <v>472.37</v>
      </c>
      <c r="F256" t="s">
        <v>36</v>
      </c>
      <c r="G256">
        <v>822.22</v>
      </c>
      <c r="H256">
        <v>349.85</v>
      </c>
      <c r="I256">
        <v>10</v>
      </c>
      <c r="J256">
        <v>1</v>
      </c>
      <c r="K256" t="str">
        <f>TEXT(discount_impact_on_profit_2000_rows[[#This Row],[order date]],"mmmm")</f>
        <v>July</v>
      </c>
      <c r="L256">
        <f>YEAR(discount_impact_on_profit_2000_rows[[#This Row],[order date]])</f>
        <v>2025</v>
      </c>
      <c r="M256" t="str">
        <f>IF(discount_impact_on_profit_2000_rows[[#This Row],[Discount %]]=0,"Zero Discount",IF(discount_impact_on_profit_2000_rows[[#This Row],[Discount %]]&lt;=10,"Low Discount","High Discount"))</f>
        <v>Low Discount</v>
      </c>
      <c r="N256" t="str">
        <f t="shared" si="3"/>
        <v>0-10%</v>
      </c>
    </row>
    <row r="257" spans="1:14">
      <c r="A257" s="1">
        <v>45518</v>
      </c>
      <c r="B257" t="s">
        <v>319</v>
      </c>
      <c r="C257" t="s">
        <v>53</v>
      </c>
      <c r="D257" t="s">
        <v>152</v>
      </c>
      <c r="E257">
        <v>691.99</v>
      </c>
      <c r="F257" t="s">
        <v>26</v>
      </c>
      <c r="G257">
        <v>1084.46</v>
      </c>
      <c r="H257">
        <v>392.47</v>
      </c>
      <c r="I257">
        <v>0</v>
      </c>
      <c r="J257">
        <v>1</v>
      </c>
      <c r="K257" t="str">
        <f>TEXT(discount_impact_on_profit_2000_rows[[#This Row],[order date]],"mmmm")</f>
        <v>August</v>
      </c>
      <c r="L257">
        <f>YEAR(discount_impact_on_profit_2000_rows[[#This Row],[order date]])</f>
        <v>2024</v>
      </c>
      <c r="M257" t="str">
        <f>IF(discount_impact_on_profit_2000_rows[[#This Row],[Discount %]]=0,"Zero Discount",IF(discount_impact_on_profit_2000_rows[[#This Row],[Discount %]]&lt;=10,"Low Discount","High Discount"))</f>
        <v>Zero Discount</v>
      </c>
      <c r="N257" t="str">
        <f t="shared" si="3"/>
        <v>0-10%</v>
      </c>
    </row>
    <row r="258" spans="1:14">
      <c r="A258" s="1">
        <v>45577</v>
      </c>
      <c r="B258" t="s">
        <v>320</v>
      </c>
      <c r="C258" t="s">
        <v>33</v>
      </c>
      <c r="D258" t="s">
        <v>197</v>
      </c>
      <c r="E258">
        <v>4895.45</v>
      </c>
      <c r="F258" t="s">
        <v>26</v>
      </c>
      <c r="G258">
        <v>6317.86</v>
      </c>
      <c r="H258">
        <v>1422.41</v>
      </c>
      <c r="I258">
        <v>0</v>
      </c>
      <c r="J258">
        <v>2</v>
      </c>
      <c r="K258" t="str">
        <f>TEXT(discount_impact_on_profit_2000_rows[[#This Row],[order date]],"mmmm")</f>
        <v>October</v>
      </c>
      <c r="L258">
        <f>YEAR(discount_impact_on_profit_2000_rows[[#This Row],[order date]])</f>
        <v>2024</v>
      </c>
      <c r="M258" t="str">
        <f>IF(discount_impact_on_profit_2000_rows[[#This Row],[Discount %]]=0,"Zero Discount",IF(discount_impact_on_profit_2000_rows[[#This Row],[Discount %]]&lt;=10,"Low Discount","High Discount"))</f>
        <v>Zero Discount</v>
      </c>
      <c r="N258" t="str">
        <f t="shared" ref="N258:N321" si="4">IF(I258&lt;=10,"0-10%",IF(I258&lt;=20,"10-20%",IF(I258&lt;=30,"20-30%","30%+")))</f>
        <v>0-10%</v>
      </c>
    </row>
    <row r="259" spans="1:14">
      <c r="A259" s="1">
        <v>45422</v>
      </c>
      <c r="B259" t="s">
        <v>321</v>
      </c>
      <c r="C259" t="s">
        <v>15</v>
      </c>
      <c r="D259" t="s">
        <v>86</v>
      </c>
      <c r="E259">
        <v>6946.28</v>
      </c>
      <c r="F259" t="s">
        <v>26</v>
      </c>
      <c r="G259">
        <v>8739.5400000000009</v>
      </c>
      <c r="H259">
        <v>1793.26</v>
      </c>
      <c r="I259">
        <v>10</v>
      </c>
      <c r="J259">
        <v>5</v>
      </c>
      <c r="K259" t="str">
        <f>TEXT(discount_impact_on_profit_2000_rows[[#This Row],[order date]],"mmmm")</f>
        <v>May</v>
      </c>
      <c r="L259">
        <f>YEAR(discount_impact_on_profit_2000_rows[[#This Row],[order date]])</f>
        <v>2024</v>
      </c>
      <c r="M259" t="str">
        <f>IF(discount_impact_on_profit_2000_rows[[#This Row],[Discount %]]=0,"Zero Discount",IF(discount_impact_on_profit_2000_rows[[#This Row],[Discount %]]&lt;=10,"Low Discount","High Discount"))</f>
        <v>Low Discount</v>
      </c>
      <c r="N259" t="str">
        <f t="shared" si="4"/>
        <v>0-10%</v>
      </c>
    </row>
    <row r="260" spans="1:14">
      <c r="A260" s="1">
        <v>45447</v>
      </c>
      <c r="B260" t="s">
        <v>322</v>
      </c>
      <c r="C260" t="s">
        <v>18</v>
      </c>
      <c r="D260" t="s">
        <v>140</v>
      </c>
      <c r="E260">
        <v>1217.8699999999999</v>
      </c>
      <c r="F260" t="s">
        <v>13</v>
      </c>
      <c r="G260">
        <v>1625.31</v>
      </c>
      <c r="H260">
        <v>407.44</v>
      </c>
      <c r="I260">
        <v>10</v>
      </c>
      <c r="J260">
        <v>2</v>
      </c>
      <c r="K260" t="str">
        <f>TEXT(discount_impact_on_profit_2000_rows[[#This Row],[order date]],"mmmm")</f>
        <v>June</v>
      </c>
      <c r="L260">
        <f>YEAR(discount_impact_on_profit_2000_rows[[#This Row],[order date]])</f>
        <v>2024</v>
      </c>
      <c r="M260" t="str">
        <f>IF(discount_impact_on_profit_2000_rows[[#This Row],[Discount %]]=0,"Zero Discount",IF(discount_impact_on_profit_2000_rows[[#This Row],[Discount %]]&lt;=10,"Low Discount","High Discount"))</f>
        <v>Low Discount</v>
      </c>
      <c r="N260" t="str">
        <f t="shared" si="4"/>
        <v>0-10%</v>
      </c>
    </row>
    <row r="261" spans="1:14">
      <c r="A261" s="1">
        <v>45088</v>
      </c>
      <c r="B261" t="s">
        <v>323</v>
      </c>
      <c r="C261" t="s">
        <v>15</v>
      </c>
      <c r="D261" t="s">
        <v>86</v>
      </c>
      <c r="E261">
        <v>12911.68</v>
      </c>
      <c r="F261" t="s">
        <v>26</v>
      </c>
      <c r="G261">
        <v>16434.849999999999</v>
      </c>
      <c r="H261">
        <v>3523.17</v>
      </c>
      <c r="I261">
        <v>0</v>
      </c>
      <c r="J261">
        <v>1</v>
      </c>
      <c r="K261" t="str">
        <f>TEXT(discount_impact_on_profit_2000_rows[[#This Row],[order date]],"mmmm")</f>
        <v>June</v>
      </c>
      <c r="L261">
        <f>YEAR(discount_impact_on_profit_2000_rows[[#This Row],[order date]])</f>
        <v>2023</v>
      </c>
      <c r="M261" t="str">
        <f>IF(discount_impact_on_profit_2000_rows[[#This Row],[Discount %]]=0,"Zero Discount",IF(discount_impact_on_profit_2000_rows[[#This Row],[Discount %]]&lt;=10,"Low Discount","High Discount"))</f>
        <v>Zero Discount</v>
      </c>
      <c r="N261" t="str">
        <f t="shared" si="4"/>
        <v>0-10%</v>
      </c>
    </row>
    <row r="262" spans="1:14">
      <c r="A262" s="1">
        <v>45452</v>
      </c>
      <c r="B262" t="s">
        <v>324</v>
      </c>
      <c r="C262" t="s">
        <v>33</v>
      </c>
      <c r="D262" t="s">
        <v>203</v>
      </c>
      <c r="E262">
        <v>8374.07</v>
      </c>
      <c r="F262" t="s">
        <v>26</v>
      </c>
      <c r="G262">
        <v>9574.9599999999991</v>
      </c>
      <c r="H262">
        <v>1200.8900000000001</v>
      </c>
      <c r="I262">
        <v>15</v>
      </c>
      <c r="J262">
        <v>3</v>
      </c>
      <c r="K262" t="str">
        <f>TEXT(discount_impact_on_profit_2000_rows[[#This Row],[order date]],"mmmm")</f>
        <v>June</v>
      </c>
      <c r="L262">
        <f>YEAR(discount_impact_on_profit_2000_rows[[#This Row],[order date]])</f>
        <v>2024</v>
      </c>
      <c r="M262" t="str">
        <f>IF(discount_impact_on_profit_2000_rows[[#This Row],[Discount %]]=0,"Zero Discount",IF(discount_impact_on_profit_2000_rows[[#This Row],[Discount %]]&lt;=10,"Low Discount","High Discount"))</f>
        <v>High Discount</v>
      </c>
      <c r="N262" t="str">
        <f t="shared" si="4"/>
        <v>10-20%</v>
      </c>
    </row>
    <row r="263" spans="1:14">
      <c r="A263" s="1">
        <v>45546</v>
      </c>
      <c r="B263" t="s">
        <v>325</v>
      </c>
      <c r="C263" t="s">
        <v>15</v>
      </c>
      <c r="D263" t="s">
        <v>16</v>
      </c>
      <c r="E263">
        <v>1556.85</v>
      </c>
      <c r="F263" t="s">
        <v>23</v>
      </c>
      <c r="G263">
        <v>2152.58</v>
      </c>
      <c r="H263">
        <v>595.73</v>
      </c>
      <c r="I263">
        <v>10</v>
      </c>
      <c r="J263">
        <v>1</v>
      </c>
      <c r="K263" t="str">
        <f>TEXT(discount_impact_on_profit_2000_rows[[#This Row],[order date]],"mmmm")</f>
        <v>September</v>
      </c>
      <c r="L263">
        <f>YEAR(discount_impact_on_profit_2000_rows[[#This Row],[order date]])</f>
        <v>2024</v>
      </c>
      <c r="M263" t="str">
        <f>IF(discount_impact_on_profit_2000_rows[[#This Row],[Discount %]]=0,"Zero Discount",IF(discount_impact_on_profit_2000_rows[[#This Row],[Discount %]]&lt;=10,"Low Discount","High Discount"))</f>
        <v>Low Discount</v>
      </c>
      <c r="N263" t="str">
        <f t="shared" si="4"/>
        <v>0-10%</v>
      </c>
    </row>
    <row r="264" spans="1:14">
      <c r="A264" s="1">
        <v>45213</v>
      </c>
      <c r="B264" t="s">
        <v>326</v>
      </c>
      <c r="C264" t="s">
        <v>18</v>
      </c>
      <c r="D264" t="s">
        <v>140</v>
      </c>
      <c r="E264">
        <v>1599.62</v>
      </c>
      <c r="F264" t="s">
        <v>26</v>
      </c>
      <c r="G264">
        <v>2587.06</v>
      </c>
      <c r="H264">
        <v>987.44</v>
      </c>
      <c r="I264">
        <v>30</v>
      </c>
      <c r="J264">
        <v>3</v>
      </c>
      <c r="K264" t="str">
        <f>TEXT(discount_impact_on_profit_2000_rows[[#This Row],[order date]],"mmmm")</f>
        <v>October</v>
      </c>
      <c r="L264">
        <f>YEAR(discount_impact_on_profit_2000_rows[[#This Row],[order date]])</f>
        <v>2023</v>
      </c>
      <c r="M264" t="str">
        <f>IF(discount_impact_on_profit_2000_rows[[#This Row],[Discount %]]=0,"Zero Discount",IF(discount_impact_on_profit_2000_rows[[#This Row],[Discount %]]&lt;=10,"Low Discount","High Discount"))</f>
        <v>High Discount</v>
      </c>
      <c r="N264" t="str">
        <f t="shared" si="4"/>
        <v>20-30%</v>
      </c>
    </row>
    <row r="265" spans="1:14">
      <c r="A265" s="1">
        <v>45531</v>
      </c>
      <c r="B265" t="s">
        <v>327</v>
      </c>
      <c r="C265" t="s">
        <v>18</v>
      </c>
      <c r="D265" t="s">
        <v>50</v>
      </c>
      <c r="E265">
        <v>798.69</v>
      </c>
      <c r="F265" t="s">
        <v>13</v>
      </c>
      <c r="G265">
        <v>1023.32</v>
      </c>
      <c r="H265">
        <v>224.63</v>
      </c>
      <c r="I265">
        <v>20</v>
      </c>
      <c r="J265">
        <v>4</v>
      </c>
      <c r="K265" t="str">
        <f>TEXT(discount_impact_on_profit_2000_rows[[#This Row],[order date]],"mmmm")</f>
        <v>August</v>
      </c>
      <c r="L265">
        <f>YEAR(discount_impact_on_profit_2000_rows[[#This Row],[order date]])</f>
        <v>2024</v>
      </c>
      <c r="M265" t="str">
        <f>IF(discount_impact_on_profit_2000_rows[[#This Row],[Discount %]]=0,"Zero Discount",IF(discount_impact_on_profit_2000_rows[[#This Row],[Discount %]]&lt;=10,"Low Discount","High Discount"))</f>
        <v>High Discount</v>
      </c>
      <c r="N265" t="str">
        <f t="shared" si="4"/>
        <v>10-20%</v>
      </c>
    </row>
    <row r="266" spans="1:14">
      <c r="A266" s="1">
        <v>45149</v>
      </c>
      <c r="B266" t="s">
        <v>328</v>
      </c>
      <c r="C266" t="s">
        <v>11</v>
      </c>
      <c r="D266" t="s">
        <v>30</v>
      </c>
      <c r="E266">
        <v>2030.27</v>
      </c>
      <c r="F266" t="s">
        <v>36</v>
      </c>
      <c r="G266">
        <v>4226.75</v>
      </c>
      <c r="H266">
        <v>2196.48</v>
      </c>
      <c r="I266">
        <v>10</v>
      </c>
      <c r="J266">
        <v>2</v>
      </c>
      <c r="K266" t="str">
        <f>TEXT(discount_impact_on_profit_2000_rows[[#This Row],[order date]],"mmmm")</f>
        <v>August</v>
      </c>
      <c r="L266">
        <f>YEAR(discount_impact_on_profit_2000_rows[[#This Row],[order date]])</f>
        <v>2023</v>
      </c>
      <c r="M266" t="str">
        <f>IF(discount_impact_on_profit_2000_rows[[#This Row],[Discount %]]=0,"Zero Discount",IF(discount_impact_on_profit_2000_rows[[#This Row],[Discount %]]&lt;=10,"Low Discount","High Discount"))</f>
        <v>Low Discount</v>
      </c>
      <c r="N266" t="str">
        <f t="shared" si="4"/>
        <v>0-10%</v>
      </c>
    </row>
    <row r="267" spans="1:14">
      <c r="A267" s="1">
        <v>45542</v>
      </c>
      <c r="B267" t="s">
        <v>329</v>
      </c>
      <c r="C267" t="s">
        <v>21</v>
      </c>
      <c r="D267" t="s">
        <v>109</v>
      </c>
      <c r="E267">
        <v>6795.11</v>
      </c>
      <c r="F267" t="s">
        <v>36</v>
      </c>
      <c r="G267">
        <v>8567.57</v>
      </c>
      <c r="H267">
        <v>1772.46</v>
      </c>
      <c r="I267">
        <v>10</v>
      </c>
      <c r="J267">
        <v>2</v>
      </c>
      <c r="K267" t="str">
        <f>TEXT(discount_impact_on_profit_2000_rows[[#This Row],[order date]],"mmmm")</f>
        <v>September</v>
      </c>
      <c r="L267">
        <f>YEAR(discount_impact_on_profit_2000_rows[[#This Row],[order date]])</f>
        <v>2024</v>
      </c>
      <c r="M267" t="str">
        <f>IF(discount_impact_on_profit_2000_rows[[#This Row],[Discount %]]=0,"Zero Discount",IF(discount_impact_on_profit_2000_rows[[#This Row],[Discount %]]&lt;=10,"Low Discount","High Discount"))</f>
        <v>Low Discount</v>
      </c>
      <c r="N267" t="str">
        <f t="shared" si="4"/>
        <v>0-10%</v>
      </c>
    </row>
    <row r="268" spans="1:14">
      <c r="A268" s="1">
        <v>44975</v>
      </c>
      <c r="B268" t="s">
        <v>330</v>
      </c>
      <c r="C268" t="s">
        <v>21</v>
      </c>
      <c r="D268" t="s">
        <v>109</v>
      </c>
      <c r="E268">
        <v>3458.41</v>
      </c>
      <c r="F268" t="s">
        <v>26</v>
      </c>
      <c r="G268">
        <v>3562.16</v>
      </c>
      <c r="H268">
        <v>103.75</v>
      </c>
      <c r="I268">
        <v>27</v>
      </c>
      <c r="J268">
        <v>2</v>
      </c>
      <c r="K268" t="str">
        <f>TEXT(discount_impact_on_profit_2000_rows[[#This Row],[order date]],"mmmm")</f>
        <v>February</v>
      </c>
      <c r="L268">
        <f>YEAR(discount_impact_on_profit_2000_rows[[#This Row],[order date]])</f>
        <v>2023</v>
      </c>
      <c r="M268" t="str">
        <f>IF(discount_impact_on_profit_2000_rows[[#This Row],[Discount %]]=0,"Zero Discount",IF(discount_impact_on_profit_2000_rows[[#This Row],[Discount %]]&lt;=10,"Low Discount","High Discount"))</f>
        <v>High Discount</v>
      </c>
      <c r="N268" t="str">
        <f t="shared" si="4"/>
        <v>20-30%</v>
      </c>
    </row>
    <row r="269" spans="1:14">
      <c r="A269" s="1">
        <v>45648</v>
      </c>
      <c r="B269" t="s">
        <v>331</v>
      </c>
      <c r="C269" t="s">
        <v>18</v>
      </c>
      <c r="D269" t="s">
        <v>104</v>
      </c>
      <c r="E269">
        <v>924.02</v>
      </c>
      <c r="F269" t="s">
        <v>31</v>
      </c>
      <c r="G269">
        <v>1232.75</v>
      </c>
      <c r="H269">
        <v>308.73</v>
      </c>
      <c r="I269">
        <v>10</v>
      </c>
      <c r="J269">
        <v>1</v>
      </c>
      <c r="K269" t="str">
        <f>TEXT(discount_impact_on_profit_2000_rows[[#This Row],[order date]],"mmmm")</f>
        <v>December</v>
      </c>
      <c r="L269">
        <f>YEAR(discount_impact_on_profit_2000_rows[[#This Row],[order date]])</f>
        <v>2024</v>
      </c>
      <c r="M269" t="str">
        <f>IF(discount_impact_on_profit_2000_rows[[#This Row],[Discount %]]=0,"Zero Discount",IF(discount_impact_on_profit_2000_rows[[#This Row],[Discount %]]&lt;=10,"Low Discount","High Discount"))</f>
        <v>Low Discount</v>
      </c>
      <c r="N269" t="str">
        <f t="shared" si="4"/>
        <v>0-10%</v>
      </c>
    </row>
    <row r="270" spans="1:14">
      <c r="A270" s="1">
        <v>45310</v>
      </c>
      <c r="B270" t="s">
        <v>332</v>
      </c>
      <c r="C270" t="s">
        <v>18</v>
      </c>
      <c r="D270" t="s">
        <v>88</v>
      </c>
      <c r="E270">
        <v>1290.8</v>
      </c>
      <c r="F270" t="s">
        <v>23</v>
      </c>
      <c r="G270">
        <v>2453.52</v>
      </c>
      <c r="H270">
        <v>1162.72</v>
      </c>
      <c r="I270">
        <v>20</v>
      </c>
      <c r="J270">
        <v>2</v>
      </c>
      <c r="K270" t="str">
        <f>TEXT(discount_impact_on_profit_2000_rows[[#This Row],[order date]],"mmmm")</f>
        <v>January</v>
      </c>
      <c r="L270">
        <f>YEAR(discount_impact_on_profit_2000_rows[[#This Row],[order date]])</f>
        <v>2024</v>
      </c>
      <c r="M270" t="str">
        <f>IF(discount_impact_on_profit_2000_rows[[#This Row],[Discount %]]=0,"Zero Discount",IF(discount_impact_on_profit_2000_rows[[#This Row],[Discount %]]&lt;=10,"Low Discount","High Discount"))</f>
        <v>High Discount</v>
      </c>
      <c r="N270" t="str">
        <f t="shared" si="4"/>
        <v>10-20%</v>
      </c>
    </row>
    <row r="271" spans="1:14">
      <c r="A271" s="1">
        <v>45592</v>
      </c>
      <c r="B271" t="s">
        <v>333</v>
      </c>
      <c r="C271" t="s">
        <v>18</v>
      </c>
      <c r="D271" t="s">
        <v>50</v>
      </c>
      <c r="E271">
        <v>2853.05</v>
      </c>
      <c r="F271" t="s">
        <v>13</v>
      </c>
      <c r="G271">
        <v>4161.8100000000004</v>
      </c>
      <c r="H271">
        <v>1308.76</v>
      </c>
      <c r="I271">
        <v>5</v>
      </c>
      <c r="J271">
        <v>4</v>
      </c>
      <c r="K271" t="str">
        <f>TEXT(discount_impact_on_profit_2000_rows[[#This Row],[order date]],"mmmm")</f>
        <v>October</v>
      </c>
      <c r="L271">
        <f>YEAR(discount_impact_on_profit_2000_rows[[#This Row],[order date]])</f>
        <v>2024</v>
      </c>
      <c r="M271" t="str">
        <f>IF(discount_impact_on_profit_2000_rows[[#This Row],[Discount %]]=0,"Zero Discount",IF(discount_impact_on_profit_2000_rows[[#This Row],[Discount %]]&lt;=10,"Low Discount","High Discount"))</f>
        <v>Low Discount</v>
      </c>
      <c r="N271" t="str">
        <f t="shared" si="4"/>
        <v>0-10%</v>
      </c>
    </row>
    <row r="272" spans="1:14">
      <c r="A272" s="1">
        <v>45609</v>
      </c>
      <c r="B272" t="s">
        <v>334</v>
      </c>
      <c r="C272" t="s">
        <v>21</v>
      </c>
      <c r="D272" t="s">
        <v>46</v>
      </c>
      <c r="E272">
        <v>1968.5</v>
      </c>
      <c r="F272" t="s">
        <v>36</v>
      </c>
      <c r="G272">
        <v>2328.77</v>
      </c>
      <c r="H272">
        <v>360.27</v>
      </c>
      <c r="I272">
        <v>10</v>
      </c>
      <c r="J272">
        <v>1</v>
      </c>
      <c r="K272" t="str">
        <f>TEXT(discount_impact_on_profit_2000_rows[[#This Row],[order date]],"mmmm")</f>
        <v>November</v>
      </c>
      <c r="L272">
        <f>YEAR(discount_impact_on_profit_2000_rows[[#This Row],[order date]])</f>
        <v>2024</v>
      </c>
      <c r="M272" t="str">
        <f>IF(discount_impact_on_profit_2000_rows[[#This Row],[Discount %]]=0,"Zero Discount",IF(discount_impact_on_profit_2000_rows[[#This Row],[Discount %]]&lt;=10,"Low Discount","High Discount"))</f>
        <v>Low Discount</v>
      </c>
      <c r="N272" t="str">
        <f t="shared" si="4"/>
        <v>0-10%</v>
      </c>
    </row>
    <row r="273" spans="1:14">
      <c r="A273" s="1">
        <v>45909</v>
      </c>
      <c r="B273" t="s">
        <v>335</v>
      </c>
      <c r="C273" t="s">
        <v>11</v>
      </c>
      <c r="D273" t="s">
        <v>64</v>
      </c>
      <c r="E273">
        <v>4761.42</v>
      </c>
      <c r="F273" t="s">
        <v>36</v>
      </c>
      <c r="G273">
        <v>9484.76</v>
      </c>
      <c r="H273">
        <v>4723.34</v>
      </c>
      <c r="I273">
        <v>5</v>
      </c>
      <c r="J273">
        <v>5</v>
      </c>
      <c r="K273" t="str">
        <f>TEXT(discount_impact_on_profit_2000_rows[[#This Row],[order date]],"mmmm")</f>
        <v>September</v>
      </c>
      <c r="L273">
        <f>YEAR(discount_impact_on_profit_2000_rows[[#This Row],[order date]])</f>
        <v>2025</v>
      </c>
      <c r="M273" t="str">
        <f>IF(discount_impact_on_profit_2000_rows[[#This Row],[Discount %]]=0,"Zero Discount",IF(discount_impact_on_profit_2000_rows[[#This Row],[Discount %]]&lt;=10,"Low Discount","High Discount"))</f>
        <v>Low Discount</v>
      </c>
      <c r="N273" t="str">
        <f t="shared" si="4"/>
        <v>0-10%</v>
      </c>
    </row>
    <row r="274" spans="1:14">
      <c r="A274" s="1">
        <v>44960</v>
      </c>
      <c r="B274" t="s">
        <v>336</v>
      </c>
      <c r="C274" t="s">
        <v>11</v>
      </c>
      <c r="D274" t="s">
        <v>64</v>
      </c>
      <c r="E274">
        <v>1456.52</v>
      </c>
      <c r="F274" t="s">
        <v>31</v>
      </c>
      <c r="G274">
        <v>2050.96</v>
      </c>
      <c r="H274">
        <v>594.44000000000005</v>
      </c>
      <c r="I274">
        <v>15</v>
      </c>
      <c r="J274">
        <v>8</v>
      </c>
      <c r="K274" t="str">
        <f>TEXT(discount_impact_on_profit_2000_rows[[#This Row],[order date]],"mmmm")</f>
        <v>February</v>
      </c>
      <c r="L274">
        <f>YEAR(discount_impact_on_profit_2000_rows[[#This Row],[order date]])</f>
        <v>2023</v>
      </c>
      <c r="M274" t="str">
        <f>IF(discount_impact_on_profit_2000_rows[[#This Row],[Discount %]]=0,"Zero Discount",IF(discount_impact_on_profit_2000_rows[[#This Row],[Discount %]]&lt;=10,"Low Discount","High Discount"))</f>
        <v>High Discount</v>
      </c>
      <c r="N274" t="str">
        <f t="shared" si="4"/>
        <v>10-20%</v>
      </c>
    </row>
    <row r="275" spans="1:14">
      <c r="A275" s="1">
        <v>45290</v>
      </c>
      <c r="B275" t="s">
        <v>337</v>
      </c>
      <c r="C275" t="s">
        <v>33</v>
      </c>
      <c r="D275" t="s">
        <v>102</v>
      </c>
      <c r="E275">
        <v>49977.16</v>
      </c>
      <c r="F275" t="s">
        <v>31</v>
      </c>
      <c r="G275">
        <v>59135.29</v>
      </c>
      <c r="H275">
        <v>9158.1299999999992</v>
      </c>
      <c r="I275">
        <v>25</v>
      </c>
      <c r="J275">
        <v>8</v>
      </c>
      <c r="K275" t="str">
        <f>TEXT(discount_impact_on_profit_2000_rows[[#This Row],[order date]],"mmmm")</f>
        <v>December</v>
      </c>
      <c r="L275">
        <f>YEAR(discount_impact_on_profit_2000_rows[[#This Row],[order date]])</f>
        <v>2023</v>
      </c>
      <c r="M275" t="str">
        <f>IF(discount_impact_on_profit_2000_rows[[#This Row],[Discount %]]=0,"Zero Discount",IF(discount_impact_on_profit_2000_rows[[#This Row],[Discount %]]&lt;=10,"Low Discount","High Discount"))</f>
        <v>High Discount</v>
      </c>
      <c r="N275" t="str">
        <f t="shared" si="4"/>
        <v>20-30%</v>
      </c>
    </row>
    <row r="276" spans="1:14">
      <c r="A276" s="1">
        <v>45688</v>
      </c>
      <c r="B276" t="s">
        <v>338</v>
      </c>
      <c r="C276" t="s">
        <v>33</v>
      </c>
      <c r="D276" t="s">
        <v>203</v>
      </c>
      <c r="E276">
        <v>14899.63</v>
      </c>
      <c r="F276" t="s">
        <v>23</v>
      </c>
      <c r="G276">
        <v>21442.2</v>
      </c>
      <c r="H276">
        <v>6542.57</v>
      </c>
      <c r="I276">
        <v>10</v>
      </c>
      <c r="J276">
        <v>4</v>
      </c>
      <c r="K276" t="str">
        <f>TEXT(discount_impact_on_profit_2000_rows[[#This Row],[order date]],"mmmm")</f>
        <v>January</v>
      </c>
      <c r="L276">
        <f>YEAR(discount_impact_on_profit_2000_rows[[#This Row],[order date]])</f>
        <v>2025</v>
      </c>
      <c r="M276" t="str">
        <f>IF(discount_impact_on_profit_2000_rows[[#This Row],[Discount %]]=0,"Zero Discount",IF(discount_impact_on_profit_2000_rows[[#This Row],[Discount %]]&lt;=10,"Low Discount","High Discount"))</f>
        <v>Low Discount</v>
      </c>
      <c r="N276" t="str">
        <f t="shared" si="4"/>
        <v>0-10%</v>
      </c>
    </row>
    <row r="277" spans="1:14">
      <c r="A277" s="1">
        <v>45067</v>
      </c>
      <c r="B277" t="s">
        <v>339</v>
      </c>
      <c r="C277" t="s">
        <v>33</v>
      </c>
      <c r="D277" t="s">
        <v>92</v>
      </c>
      <c r="E277">
        <v>36693.199999999997</v>
      </c>
      <c r="F277" t="s">
        <v>31</v>
      </c>
      <c r="G277">
        <v>39570.36</v>
      </c>
      <c r="H277">
        <v>2877.16</v>
      </c>
      <c r="I277">
        <v>25</v>
      </c>
      <c r="J277">
        <v>5</v>
      </c>
      <c r="K277" t="str">
        <f>TEXT(discount_impact_on_profit_2000_rows[[#This Row],[order date]],"mmmm")</f>
        <v>May</v>
      </c>
      <c r="L277">
        <f>YEAR(discount_impact_on_profit_2000_rows[[#This Row],[order date]])</f>
        <v>2023</v>
      </c>
      <c r="M277" t="str">
        <f>IF(discount_impact_on_profit_2000_rows[[#This Row],[Discount %]]=0,"Zero Discount",IF(discount_impact_on_profit_2000_rows[[#This Row],[Discount %]]&lt;=10,"Low Discount","High Discount"))</f>
        <v>High Discount</v>
      </c>
      <c r="N277" t="str">
        <f t="shared" si="4"/>
        <v>20-30%</v>
      </c>
    </row>
    <row r="278" spans="1:14">
      <c r="A278" s="1">
        <v>45717</v>
      </c>
      <c r="B278" t="s">
        <v>340</v>
      </c>
      <c r="C278" t="s">
        <v>53</v>
      </c>
      <c r="D278" t="s">
        <v>78</v>
      </c>
      <c r="E278">
        <v>2015.56</v>
      </c>
      <c r="F278" t="s">
        <v>13</v>
      </c>
      <c r="G278">
        <v>4566.92</v>
      </c>
      <c r="H278">
        <v>2551.36</v>
      </c>
      <c r="I278">
        <v>0</v>
      </c>
      <c r="J278">
        <v>1</v>
      </c>
      <c r="K278" t="str">
        <f>TEXT(discount_impact_on_profit_2000_rows[[#This Row],[order date]],"mmmm")</f>
        <v>March</v>
      </c>
      <c r="L278">
        <f>YEAR(discount_impact_on_profit_2000_rows[[#This Row],[order date]])</f>
        <v>2025</v>
      </c>
      <c r="M278" t="str">
        <f>IF(discount_impact_on_profit_2000_rows[[#This Row],[Discount %]]=0,"Zero Discount",IF(discount_impact_on_profit_2000_rows[[#This Row],[Discount %]]&lt;=10,"Low Discount","High Discount"))</f>
        <v>Zero Discount</v>
      </c>
      <c r="N278" t="str">
        <f t="shared" si="4"/>
        <v>0-10%</v>
      </c>
    </row>
    <row r="279" spans="1:14">
      <c r="A279" s="1">
        <v>45890</v>
      </c>
      <c r="B279" t="s">
        <v>341</v>
      </c>
      <c r="C279" t="s">
        <v>21</v>
      </c>
      <c r="D279" t="s">
        <v>46</v>
      </c>
      <c r="E279">
        <v>14088.84</v>
      </c>
      <c r="F279" t="s">
        <v>23</v>
      </c>
      <c r="G279">
        <v>14315.38</v>
      </c>
      <c r="H279">
        <v>226.54</v>
      </c>
      <c r="I279">
        <v>15</v>
      </c>
      <c r="J279">
        <v>8</v>
      </c>
      <c r="K279" t="str">
        <f>TEXT(discount_impact_on_profit_2000_rows[[#This Row],[order date]],"mmmm")</f>
        <v>August</v>
      </c>
      <c r="L279">
        <f>YEAR(discount_impact_on_profit_2000_rows[[#This Row],[order date]])</f>
        <v>2025</v>
      </c>
      <c r="M279" t="str">
        <f>IF(discount_impact_on_profit_2000_rows[[#This Row],[Discount %]]=0,"Zero Discount",IF(discount_impact_on_profit_2000_rows[[#This Row],[Discount %]]&lt;=10,"Low Discount","High Discount"))</f>
        <v>High Discount</v>
      </c>
      <c r="N279" t="str">
        <f t="shared" si="4"/>
        <v>10-20%</v>
      </c>
    </row>
    <row r="280" spans="1:14">
      <c r="A280" s="1">
        <v>46015</v>
      </c>
      <c r="B280" t="s">
        <v>342</v>
      </c>
      <c r="C280" t="s">
        <v>33</v>
      </c>
      <c r="D280" t="s">
        <v>203</v>
      </c>
      <c r="E280">
        <v>2936.37</v>
      </c>
      <c r="F280" t="s">
        <v>13</v>
      </c>
      <c r="G280">
        <v>3623.45</v>
      </c>
      <c r="H280">
        <v>687.08</v>
      </c>
      <c r="I280">
        <v>10</v>
      </c>
      <c r="J280">
        <v>1</v>
      </c>
      <c r="K280" t="str">
        <f>TEXT(discount_impact_on_profit_2000_rows[[#This Row],[order date]],"mmmm")</f>
        <v>December</v>
      </c>
      <c r="L280">
        <f>YEAR(discount_impact_on_profit_2000_rows[[#This Row],[order date]])</f>
        <v>2025</v>
      </c>
      <c r="M280" t="str">
        <f>IF(discount_impact_on_profit_2000_rows[[#This Row],[Discount %]]=0,"Zero Discount",IF(discount_impact_on_profit_2000_rows[[#This Row],[Discount %]]&lt;=10,"Low Discount","High Discount"))</f>
        <v>Low Discount</v>
      </c>
      <c r="N280" t="str">
        <f t="shared" si="4"/>
        <v>0-10%</v>
      </c>
    </row>
    <row r="281" spans="1:14">
      <c r="A281" s="1">
        <v>45756</v>
      </c>
      <c r="B281" t="s">
        <v>343</v>
      </c>
      <c r="C281" t="s">
        <v>18</v>
      </c>
      <c r="D281" t="s">
        <v>140</v>
      </c>
      <c r="E281">
        <v>269.67</v>
      </c>
      <c r="F281" t="s">
        <v>31</v>
      </c>
      <c r="G281">
        <v>379.65</v>
      </c>
      <c r="H281">
        <v>109.98</v>
      </c>
      <c r="I281">
        <v>10</v>
      </c>
      <c r="J281">
        <v>3</v>
      </c>
      <c r="K281" t="str">
        <f>TEXT(discount_impact_on_profit_2000_rows[[#This Row],[order date]],"mmmm")</f>
        <v>April</v>
      </c>
      <c r="L281">
        <f>YEAR(discount_impact_on_profit_2000_rows[[#This Row],[order date]])</f>
        <v>2025</v>
      </c>
      <c r="M281" t="str">
        <f>IF(discount_impact_on_profit_2000_rows[[#This Row],[Discount %]]=0,"Zero Discount",IF(discount_impact_on_profit_2000_rows[[#This Row],[Discount %]]&lt;=10,"Low Discount","High Discount"))</f>
        <v>Low Discount</v>
      </c>
      <c r="N281" t="str">
        <f t="shared" si="4"/>
        <v>0-10%</v>
      </c>
    </row>
    <row r="282" spans="1:14">
      <c r="A282" s="1">
        <v>45164</v>
      </c>
      <c r="B282" t="s">
        <v>344</v>
      </c>
      <c r="C282" t="s">
        <v>15</v>
      </c>
      <c r="D282" t="s">
        <v>16</v>
      </c>
      <c r="E282">
        <v>1030.56</v>
      </c>
      <c r="F282" t="s">
        <v>23</v>
      </c>
      <c r="G282">
        <v>1061.48</v>
      </c>
      <c r="H282">
        <v>30.92</v>
      </c>
      <c r="I282">
        <v>19</v>
      </c>
      <c r="J282">
        <v>1</v>
      </c>
      <c r="K282" t="str">
        <f>TEXT(discount_impact_on_profit_2000_rows[[#This Row],[order date]],"mmmm")</f>
        <v>August</v>
      </c>
      <c r="L282">
        <f>YEAR(discount_impact_on_profit_2000_rows[[#This Row],[order date]])</f>
        <v>2023</v>
      </c>
      <c r="M282" t="str">
        <f>IF(discount_impact_on_profit_2000_rows[[#This Row],[Discount %]]=0,"Zero Discount",IF(discount_impact_on_profit_2000_rows[[#This Row],[Discount %]]&lt;=10,"Low Discount","High Discount"))</f>
        <v>High Discount</v>
      </c>
      <c r="N282" t="str">
        <f t="shared" si="4"/>
        <v>10-20%</v>
      </c>
    </row>
    <row r="283" spans="1:14">
      <c r="A283" s="1">
        <v>45791</v>
      </c>
      <c r="B283" t="s">
        <v>345</v>
      </c>
      <c r="C283" t="s">
        <v>53</v>
      </c>
      <c r="D283" t="s">
        <v>95</v>
      </c>
      <c r="E283">
        <v>7678.49</v>
      </c>
      <c r="F283" t="s">
        <v>36</v>
      </c>
      <c r="G283">
        <v>11541.09</v>
      </c>
      <c r="H283">
        <v>3862.6</v>
      </c>
      <c r="I283">
        <v>15</v>
      </c>
      <c r="J283">
        <v>3</v>
      </c>
      <c r="K283" t="str">
        <f>TEXT(discount_impact_on_profit_2000_rows[[#This Row],[order date]],"mmmm")</f>
        <v>May</v>
      </c>
      <c r="L283">
        <f>YEAR(discount_impact_on_profit_2000_rows[[#This Row],[order date]])</f>
        <v>2025</v>
      </c>
      <c r="M283" t="str">
        <f>IF(discount_impact_on_profit_2000_rows[[#This Row],[Discount %]]=0,"Zero Discount",IF(discount_impact_on_profit_2000_rows[[#This Row],[Discount %]]&lt;=10,"Low Discount","High Discount"))</f>
        <v>High Discount</v>
      </c>
      <c r="N283" t="str">
        <f t="shared" si="4"/>
        <v>10-20%</v>
      </c>
    </row>
    <row r="284" spans="1:14">
      <c r="A284" s="1">
        <v>45866</v>
      </c>
      <c r="B284" t="s">
        <v>346</v>
      </c>
      <c r="C284" t="s">
        <v>53</v>
      </c>
      <c r="D284" t="s">
        <v>54</v>
      </c>
      <c r="E284">
        <v>1479.92</v>
      </c>
      <c r="F284" t="s">
        <v>36</v>
      </c>
      <c r="G284">
        <v>2546.27</v>
      </c>
      <c r="H284">
        <v>1066.3499999999999</v>
      </c>
      <c r="I284">
        <v>10</v>
      </c>
      <c r="J284">
        <v>4</v>
      </c>
      <c r="K284" t="str">
        <f>TEXT(discount_impact_on_profit_2000_rows[[#This Row],[order date]],"mmmm")</f>
        <v>July</v>
      </c>
      <c r="L284">
        <f>YEAR(discount_impact_on_profit_2000_rows[[#This Row],[order date]])</f>
        <v>2025</v>
      </c>
      <c r="M284" t="str">
        <f>IF(discount_impact_on_profit_2000_rows[[#This Row],[Discount %]]=0,"Zero Discount",IF(discount_impact_on_profit_2000_rows[[#This Row],[Discount %]]&lt;=10,"Low Discount","High Discount"))</f>
        <v>Low Discount</v>
      </c>
      <c r="N284" t="str">
        <f t="shared" si="4"/>
        <v>0-10%</v>
      </c>
    </row>
    <row r="285" spans="1:14">
      <c r="A285" s="1">
        <v>45243</v>
      </c>
      <c r="B285" t="s">
        <v>347</v>
      </c>
      <c r="C285" t="s">
        <v>11</v>
      </c>
      <c r="D285" t="s">
        <v>12</v>
      </c>
      <c r="E285">
        <v>3763.49</v>
      </c>
      <c r="F285" t="s">
        <v>26</v>
      </c>
      <c r="G285">
        <v>8174.88</v>
      </c>
      <c r="H285">
        <v>4411.3900000000003</v>
      </c>
      <c r="I285">
        <v>10</v>
      </c>
      <c r="J285">
        <v>2</v>
      </c>
      <c r="K285" t="str">
        <f>TEXT(discount_impact_on_profit_2000_rows[[#This Row],[order date]],"mmmm")</f>
        <v>November</v>
      </c>
      <c r="L285">
        <f>YEAR(discount_impact_on_profit_2000_rows[[#This Row],[order date]])</f>
        <v>2023</v>
      </c>
      <c r="M285" t="str">
        <f>IF(discount_impact_on_profit_2000_rows[[#This Row],[Discount %]]=0,"Zero Discount",IF(discount_impact_on_profit_2000_rows[[#This Row],[Discount %]]&lt;=10,"Low Discount","High Discount"))</f>
        <v>Low Discount</v>
      </c>
      <c r="N285" t="str">
        <f t="shared" si="4"/>
        <v>0-10%</v>
      </c>
    </row>
    <row r="286" spans="1:14">
      <c r="A286" s="1">
        <v>45952</v>
      </c>
      <c r="B286" t="s">
        <v>348</v>
      </c>
      <c r="C286" t="s">
        <v>18</v>
      </c>
      <c r="D286" t="s">
        <v>42</v>
      </c>
      <c r="E286">
        <v>457.29</v>
      </c>
      <c r="F286" t="s">
        <v>36</v>
      </c>
      <c r="G286">
        <v>715.24</v>
      </c>
      <c r="H286">
        <v>257.95</v>
      </c>
      <c r="I286">
        <v>5</v>
      </c>
      <c r="J286">
        <v>1</v>
      </c>
      <c r="K286" t="str">
        <f>TEXT(discount_impact_on_profit_2000_rows[[#This Row],[order date]],"mmmm")</f>
        <v>October</v>
      </c>
      <c r="L286">
        <f>YEAR(discount_impact_on_profit_2000_rows[[#This Row],[order date]])</f>
        <v>2025</v>
      </c>
      <c r="M286" t="str">
        <f>IF(discount_impact_on_profit_2000_rows[[#This Row],[Discount %]]=0,"Zero Discount",IF(discount_impact_on_profit_2000_rows[[#This Row],[Discount %]]&lt;=10,"Low Discount","High Discount"))</f>
        <v>Low Discount</v>
      </c>
      <c r="N286" t="str">
        <f t="shared" si="4"/>
        <v>0-10%</v>
      </c>
    </row>
    <row r="287" spans="1:14">
      <c r="A287" s="1">
        <v>45682</v>
      </c>
      <c r="B287" t="s">
        <v>349</v>
      </c>
      <c r="C287" t="s">
        <v>21</v>
      </c>
      <c r="D287" t="s">
        <v>82</v>
      </c>
      <c r="E287">
        <v>10002.290000000001</v>
      </c>
      <c r="F287" t="s">
        <v>36</v>
      </c>
      <c r="G287">
        <v>11741.87</v>
      </c>
      <c r="H287">
        <v>1739.58</v>
      </c>
      <c r="I287">
        <v>20</v>
      </c>
      <c r="J287">
        <v>3</v>
      </c>
      <c r="K287" t="str">
        <f>TEXT(discount_impact_on_profit_2000_rows[[#This Row],[order date]],"mmmm")</f>
        <v>January</v>
      </c>
      <c r="L287">
        <f>YEAR(discount_impact_on_profit_2000_rows[[#This Row],[order date]])</f>
        <v>2025</v>
      </c>
      <c r="M287" t="str">
        <f>IF(discount_impact_on_profit_2000_rows[[#This Row],[Discount %]]=0,"Zero Discount",IF(discount_impact_on_profit_2000_rows[[#This Row],[Discount %]]&lt;=10,"Low Discount","High Discount"))</f>
        <v>High Discount</v>
      </c>
      <c r="N287" t="str">
        <f t="shared" si="4"/>
        <v>10-20%</v>
      </c>
    </row>
    <row r="288" spans="1:14">
      <c r="A288" s="1">
        <v>45890</v>
      </c>
      <c r="B288" t="s">
        <v>350</v>
      </c>
      <c r="C288" t="s">
        <v>21</v>
      </c>
      <c r="D288" t="s">
        <v>97</v>
      </c>
      <c r="E288">
        <v>3731.41</v>
      </c>
      <c r="F288" t="s">
        <v>26</v>
      </c>
      <c r="G288">
        <v>4473.74</v>
      </c>
      <c r="H288">
        <v>742.33</v>
      </c>
      <c r="I288">
        <v>10</v>
      </c>
      <c r="J288">
        <v>1</v>
      </c>
      <c r="K288" t="str">
        <f>TEXT(discount_impact_on_profit_2000_rows[[#This Row],[order date]],"mmmm")</f>
        <v>August</v>
      </c>
      <c r="L288">
        <f>YEAR(discount_impact_on_profit_2000_rows[[#This Row],[order date]])</f>
        <v>2025</v>
      </c>
      <c r="M288" t="str">
        <f>IF(discount_impact_on_profit_2000_rows[[#This Row],[Discount %]]=0,"Zero Discount",IF(discount_impact_on_profit_2000_rows[[#This Row],[Discount %]]&lt;=10,"Low Discount","High Discount"))</f>
        <v>Low Discount</v>
      </c>
      <c r="N288" t="str">
        <f t="shared" si="4"/>
        <v>0-10%</v>
      </c>
    </row>
    <row r="289" spans="1:14">
      <c r="A289" s="1">
        <v>45314</v>
      </c>
      <c r="B289" t="s">
        <v>351</v>
      </c>
      <c r="C289" t="s">
        <v>53</v>
      </c>
      <c r="D289" t="s">
        <v>78</v>
      </c>
      <c r="E289">
        <v>7821.87</v>
      </c>
      <c r="F289" t="s">
        <v>26</v>
      </c>
      <c r="G289">
        <v>10589.36</v>
      </c>
      <c r="H289">
        <v>2767.49</v>
      </c>
      <c r="I289">
        <v>25</v>
      </c>
      <c r="J289">
        <v>3</v>
      </c>
      <c r="K289" t="str">
        <f>TEXT(discount_impact_on_profit_2000_rows[[#This Row],[order date]],"mmmm")</f>
        <v>January</v>
      </c>
      <c r="L289">
        <f>YEAR(discount_impact_on_profit_2000_rows[[#This Row],[order date]])</f>
        <v>2024</v>
      </c>
      <c r="M289" t="str">
        <f>IF(discount_impact_on_profit_2000_rows[[#This Row],[Discount %]]=0,"Zero Discount",IF(discount_impact_on_profit_2000_rows[[#This Row],[Discount %]]&lt;=10,"Low Discount","High Discount"))</f>
        <v>High Discount</v>
      </c>
      <c r="N289" t="str">
        <f t="shared" si="4"/>
        <v>20-30%</v>
      </c>
    </row>
    <row r="290" spans="1:14">
      <c r="A290" s="1">
        <v>45330</v>
      </c>
      <c r="B290" t="s">
        <v>352</v>
      </c>
      <c r="C290" t="s">
        <v>21</v>
      </c>
      <c r="D290" t="s">
        <v>82</v>
      </c>
      <c r="E290">
        <v>8483.09</v>
      </c>
      <c r="F290" t="s">
        <v>23</v>
      </c>
      <c r="G290">
        <v>10117.540000000001</v>
      </c>
      <c r="H290">
        <v>1634.45</v>
      </c>
      <c r="I290">
        <v>5</v>
      </c>
      <c r="J290">
        <v>1</v>
      </c>
      <c r="K290" t="str">
        <f>TEXT(discount_impact_on_profit_2000_rows[[#This Row],[order date]],"mmmm")</f>
        <v>February</v>
      </c>
      <c r="L290">
        <f>YEAR(discount_impact_on_profit_2000_rows[[#This Row],[order date]])</f>
        <v>2024</v>
      </c>
      <c r="M290" t="str">
        <f>IF(discount_impact_on_profit_2000_rows[[#This Row],[Discount %]]=0,"Zero Discount",IF(discount_impact_on_profit_2000_rows[[#This Row],[Discount %]]&lt;=10,"Low Discount","High Discount"))</f>
        <v>Low Discount</v>
      </c>
      <c r="N290" t="str">
        <f t="shared" si="4"/>
        <v>0-10%</v>
      </c>
    </row>
    <row r="291" spans="1:14">
      <c r="A291" s="1">
        <v>44967</v>
      </c>
      <c r="B291" t="s">
        <v>353</v>
      </c>
      <c r="C291" t="s">
        <v>33</v>
      </c>
      <c r="D291" t="s">
        <v>102</v>
      </c>
      <c r="E291">
        <v>30136.799999999999</v>
      </c>
      <c r="F291" t="s">
        <v>26</v>
      </c>
      <c r="G291">
        <v>38654.19</v>
      </c>
      <c r="H291">
        <v>8517.39</v>
      </c>
      <c r="I291">
        <v>0</v>
      </c>
      <c r="J291">
        <v>5</v>
      </c>
      <c r="K291" t="str">
        <f>TEXT(discount_impact_on_profit_2000_rows[[#This Row],[order date]],"mmmm")</f>
        <v>February</v>
      </c>
      <c r="L291">
        <f>YEAR(discount_impact_on_profit_2000_rows[[#This Row],[order date]])</f>
        <v>2023</v>
      </c>
      <c r="M291" t="str">
        <f>IF(discount_impact_on_profit_2000_rows[[#This Row],[Discount %]]=0,"Zero Discount",IF(discount_impact_on_profit_2000_rows[[#This Row],[Discount %]]&lt;=10,"Low Discount","High Discount"))</f>
        <v>Zero Discount</v>
      </c>
      <c r="N291" t="str">
        <f t="shared" si="4"/>
        <v>0-10%</v>
      </c>
    </row>
    <row r="292" spans="1:14">
      <c r="A292" s="1">
        <v>45760</v>
      </c>
      <c r="B292" t="s">
        <v>354</v>
      </c>
      <c r="C292" t="s">
        <v>15</v>
      </c>
      <c r="D292" t="s">
        <v>40</v>
      </c>
      <c r="E292">
        <v>4400.53</v>
      </c>
      <c r="F292" t="s">
        <v>23</v>
      </c>
      <c r="G292">
        <v>5905.06</v>
      </c>
      <c r="H292">
        <v>1504.53</v>
      </c>
      <c r="I292">
        <v>10</v>
      </c>
      <c r="J292">
        <v>5</v>
      </c>
      <c r="K292" t="str">
        <f>TEXT(discount_impact_on_profit_2000_rows[[#This Row],[order date]],"mmmm")</f>
        <v>April</v>
      </c>
      <c r="L292">
        <f>YEAR(discount_impact_on_profit_2000_rows[[#This Row],[order date]])</f>
        <v>2025</v>
      </c>
      <c r="M292" t="str">
        <f>IF(discount_impact_on_profit_2000_rows[[#This Row],[Discount %]]=0,"Zero Discount",IF(discount_impact_on_profit_2000_rows[[#This Row],[Discount %]]&lt;=10,"Low Discount","High Discount"))</f>
        <v>Low Discount</v>
      </c>
      <c r="N292" t="str">
        <f t="shared" si="4"/>
        <v>0-10%</v>
      </c>
    </row>
    <row r="293" spans="1:14">
      <c r="A293" s="1">
        <v>45330</v>
      </c>
      <c r="B293" t="s">
        <v>355</v>
      </c>
      <c r="C293" t="s">
        <v>53</v>
      </c>
      <c r="D293" t="s">
        <v>70</v>
      </c>
      <c r="E293">
        <v>5184.2299999999996</v>
      </c>
      <c r="F293" t="s">
        <v>26</v>
      </c>
      <c r="G293">
        <v>8936.56</v>
      </c>
      <c r="H293">
        <v>3752.33</v>
      </c>
      <c r="I293">
        <v>5</v>
      </c>
      <c r="J293">
        <v>10</v>
      </c>
      <c r="K293" t="str">
        <f>TEXT(discount_impact_on_profit_2000_rows[[#This Row],[order date]],"mmmm")</f>
        <v>February</v>
      </c>
      <c r="L293">
        <f>YEAR(discount_impact_on_profit_2000_rows[[#This Row],[order date]])</f>
        <v>2024</v>
      </c>
      <c r="M293" t="str">
        <f>IF(discount_impact_on_profit_2000_rows[[#This Row],[Discount %]]=0,"Zero Discount",IF(discount_impact_on_profit_2000_rows[[#This Row],[Discount %]]&lt;=10,"Low Discount","High Discount"))</f>
        <v>Low Discount</v>
      </c>
      <c r="N293" t="str">
        <f t="shared" si="4"/>
        <v>0-10%</v>
      </c>
    </row>
    <row r="294" spans="1:14">
      <c r="A294" s="1">
        <v>45044</v>
      </c>
      <c r="B294" t="s">
        <v>356</v>
      </c>
      <c r="C294" t="s">
        <v>53</v>
      </c>
      <c r="D294" t="s">
        <v>59</v>
      </c>
      <c r="E294">
        <v>5192.05</v>
      </c>
      <c r="F294" t="s">
        <v>26</v>
      </c>
      <c r="G294">
        <v>8200.2099999999991</v>
      </c>
      <c r="H294">
        <v>3008.16</v>
      </c>
      <c r="I294">
        <v>5</v>
      </c>
      <c r="J294">
        <v>4</v>
      </c>
      <c r="K294" t="str">
        <f>TEXT(discount_impact_on_profit_2000_rows[[#This Row],[order date]],"mmmm")</f>
        <v>April</v>
      </c>
      <c r="L294">
        <f>YEAR(discount_impact_on_profit_2000_rows[[#This Row],[order date]])</f>
        <v>2023</v>
      </c>
      <c r="M294" t="str">
        <f>IF(discount_impact_on_profit_2000_rows[[#This Row],[Discount %]]=0,"Zero Discount",IF(discount_impact_on_profit_2000_rows[[#This Row],[Discount %]]&lt;=10,"Low Discount","High Discount"))</f>
        <v>Low Discount</v>
      </c>
      <c r="N294" t="str">
        <f t="shared" si="4"/>
        <v>0-10%</v>
      </c>
    </row>
    <row r="295" spans="1:14">
      <c r="A295" s="1">
        <v>45526</v>
      </c>
      <c r="B295" t="s">
        <v>357</v>
      </c>
      <c r="C295" t="s">
        <v>15</v>
      </c>
      <c r="D295" t="s">
        <v>86</v>
      </c>
      <c r="E295">
        <v>10162.07</v>
      </c>
      <c r="F295" t="s">
        <v>13</v>
      </c>
      <c r="G295">
        <v>12822.47</v>
      </c>
      <c r="H295">
        <v>2660.4</v>
      </c>
      <c r="I295">
        <v>20</v>
      </c>
      <c r="J295">
        <v>5</v>
      </c>
      <c r="K295" t="str">
        <f>TEXT(discount_impact_on_profit_2000_rows[[#This Row],[order date]],"mmmm")</f>
        <v>August</v>
      </c>
      <c r="L295">
        <f>YEAR(discount_impact_on_profit_2000_rows[[#This Row],[order date]])</f>
        <v>2024</v>
      </c>
      <c r="M295" t="str">
        <f>IF(discount_impact_on_profit_2000_rows[[#This Row],[Discount %]]=0,"Zero Discount",IF(discount_impact_on_profit_2000_rows[[#This Row],[Discount %]]&lt;=10,"Low Discount","High Discount"))</f>
        <v>High Discount</v>
      </c>
      <c r="N295" t="str">
        <f t="shared" si="4"/>
        <v>10-20%</v>
      </c>
    </row>
    <row r="296" spans="1:14">
      <c r="A296" s="1">
        <v>45019</v>
      </c>
      <c r="B296" t="s">
        <v>358</v>
      </c>
      <c r="C296" t="s">
        <v>21</v>
      </c>
      <c r="D296" t="s">
        <v>46</v>
      </c>
      <c r="E296">
        <v>2516.58</v>
      </c>
      <c r="F296" t="s">
        <v>36</v>
      </c>
      <c r="G296">
        <v>3112.75</v>
      </c>
      <c r="H296">
        <v>596.16999999999996</v>
      </c>
      <c r="I296">
        <v>10</v>
      </c>
      <c r="J296">
        <v>1</v>
      </c>
      <c r="K296" t="str">
        <f>TEXT(discount_impact_on_profit_2000_rows[[#This Row],[order date]],"mmmm")</f>
        <v>April</v>
      </c>
      <c r="L296">
        <f>YEAR(discount_impact_on_profit_2000_rows[[#This Row],[order date]])</f>
        <v>2023</v>
      </c>
      <c r="M296" t="str">
        <f>IF(discount_impact_on_profit_2000_rows[[#This Row],[Discount %]]=0,"Zero Discount",IF(discount_impact_on_profit_2000_rows[[#This Row],[Discount %]]&lt;=10,"Low Discount","High Discount"))</f>
        <v>Low Discount</v>
      </c>
      <c r="N296" t="str">
        <f t="shared" si="4"/>
        <v>0-10%</v>
      </c>
    </row>
    <row r="297" spans="1:14">
      <c r="A297" s="1">
        <v>45496</v>
      </c>
      <c r="B297" t="s">
        <v>359</v>
      </c>
      <c r="C297" t="s">
        <v>21</v>
      </c>
      <c r="D297" t="s">
        <v>22</v>
      </c>
      <c r="E297">
        <v>66158.759999999995</v>
      </c>
      <c r="F297" t="s">
        <v>26</v>
      </c>
      <c r="G297">
        <v>74470.87</v>
      </c>
      <c r="H297">
        <v>8312.11</v>
      </c>
      <c r="I297">
        <v>10</v>
      </c>
      <c r="J297">
        <v>6</v>
      </c>
      <c r="K297" t="str">
        <f>TEXT(discount_impact_on_profit_2000_rows[[#This Row],[order date]],"mmmm")</f>
        <v>July</v>
      </c>
      <c r="L297">
        <f>YEAR(discount_impact_on_profit_2000_rows[[#This Row],[order date]])</f>
        <v>2024</v>
      </c>
      <c r="M297" t="str">
        <f>IF(discount_impact_on_profit_2000_rows[[#This Row],[Discount %]]=0,"Zero Discount",IF(discount_impact_on_profit_2000_rows[[#This Row],[Discount %]]&lt;=10,"Low Discount","High Discount"))</f>
        <v>Low Discount</v>
      </c>
      <c r="N297" t="str">
        <f t="shared" si="4"/>
        <v>0-10%</v>
      </c>
    </row>
    <row r="298" spans="1:14">
      <c r="A298" s="1">
        <v>45368</v>
      </c>
      <c r="B298" t="s">
        <v>360</v>
      </c>
      <c r="C298" t="s">
        <v>15</v>
      </c>
      <c r="D298" t="s">
        <v>84</v>
      </c>
      <c r="E298">
        <v>7763.86</v>
      </c>
      <c r="F298" t="s">
        <v>13</v>
      </c>
      <c r="G298">
        <v>8956.74</v>
      </c>
      <c r="H298">
        <v>1192.8800000000001</v>
      </c>
      <c r="I298">
        <v>15</v>
      </c>
      <c r="J298">
        <v>3</v>
      </c>
      <c r="K298" t="str">
        <f>TEXT(discount_impact_on_profit_2000_rows[[#This Row],[order date]],"mmmm")</f>
        <v>March</v>
      </c>
      <c r="L298">
        <f>YEAR(discount_impact_on_profit_2000_rows[[#This Row],[order date]])</f>
        <v>2024</v>
      </c>
      <c r="M298" t="str">
        <f>IF(discount_impact_on_profit_2000_rows[[#This Row],[Discount %]]=0,"Zero Discount",IF(discount_impact_on_profit_2000_rows[[#This Row],[Discount %]]&lt;=10,"Low Discount","High Discount"))</f>
        <v>High Discount</v>
      </c>
      <c r="N298" t="str">
        <f t="shared" si="4"/>
        <v>10-20%</v>
      </c>
    </row>
    <row r="299" spans="1:14">
      <c r="A299" s="1">
        <v>45645</v>
      </c>
      <c r="B299" t="s">
        <v>361</v>
      </c>
      <c r="C299" t="s">
        <v>15</v>
      </c>
      <c r="D299" t="s">
        <v>16</v>
      </c>
      <c r="E299">
        <v>100925.27</v>
      </c>
      <c r="F299" t="s">
        <v>26</v>
      </c>
      <c r="G299">
        <v>105842.3</v>
      </c>
      <c r="H299">
        <v>4917.03</v>
      </c>
      <c r="I299">
        <v>20</v>
      </c>
      <c r="J299">
        <v>8</v>
      </c>
      <c r="K299" t="str">
        <f>TEXT(discount_impact_on_profit_2000_rows[[#This Row],[order date]],"mmmm")</f>
        <v>December</v>
      </c>
      <c r="L299">
        <f>YEAR(discount_impact_on_profit_2000_rows[[#This Row],[order date]])</f>
        <v>2024</v>
      </c>
      <c r="M299" t="str">
        <f>IF(discount_impact_on_profit_2000_rows[[#This Row],[Discount %]]=0,"Zero Discount",IF(discount_impact_on_profit_2000_rows[[#This Row],[Discount %]]&lt;=10,"Low Discount","High Discount"))</f>
        <v>High Discount</v>
      </c>
      <c r="N299" t="str">
        <f t="shared" si="4"/>
        <v>10-20%</v>
      </c>
    </row>
    <row r="300" spans="1:14">
      <c r="A300" s="1">
        <v>45801</v>
      </c>
      <c r="B300" t="s">
        <v>362</v>
      </c>
      <c r="C300" t="s">
        <v>53</v>
      </c>
      <c r="D300" t="s">
        <v>95</v>
      </c>
      <c r="E300">
        <v>350.77</v>
      </c>
      <c r="F300" t="s">
        <v>13</v>
      </c>
      <c r="G300">
        <v>542.79999999999995</v>
      </c>
      <c r="H300">
        <v>192.03</v>
      </c>
      <c r="I300">
        <v>25</v>
      </c>
      <c r="J300">
        <v>1</v>
      </c>
      <c r="K300" t="str">
        <f>TEXT(discount_impact_on_profit_2000_rows[[#This Row],[order date]],"mmmm")</f>
        <v>May</v>
      </c>
      <c r="L300">
        <f>YEAR(discount_impact_on_profit_2000_rows[[#This Row],[order date]])</f>
        <v>2025</v>
      </c>
      <c r="M300" t="str">
        <f>IF(discount_impact_on_profit_2000_rows[[#This Row],[Discount %]]=0,"Zero Discount",IF(discount_impact_on_profit_2000_rows[[#This Row],[Discount %]]&lt;=10,"Low Discount","High Discount"))</f>
        <v>High Discount</v>
      </c>
      <c r="N300" t="str">
        <f t="shared" si="4"/>
        <v>20-30%</v>
      </c>
    </row>
    <row r="301" spans="1:14">
      <c r="A301" s="1">
        <v>45715</v>
      </c>
      <c r="B301" t="s">
        <v>363</v>
      </c>
      <c r="C301" t="s">
        <v>21</v>
      </c>
      <c r="D301" t="s">
        <v>97</v>
      </c>
      <c r="E301">
        <v>15380.01</v>
      </c>
      <c r="F301" t="s">
        <v>31</v>
      </c>
      <c r="G301">
        <v>21774.05</v>
      </c>
      <c r="H301">
        <v>6394.04</v>
      </c>
      <c r="I301">
        <v>5</v>
      </c>
      <c r="J301">
        <v>3</v>
      </c>
      <c r="K301" t="str">
        <f>TEXT(discount_impact_on_profit_2000_rows[[#This Row],[order date]],"mmmm")</f>
        <v>February</v>
      </c>
      <c r="L301">
        <f>YEAR(discount_impact_on_profit_2000_rows[[#This Row],[order date]])</f>
        <v>2025</v>
      </c>
      <c r="M301" t="str">
        <f>IF(discount_impact_on_profit_2000_rows[[#This Row],[Discount %]]=0,"Zero Discount",IF(discount_impact_on_profit_2000_rows[[#This Row],[Discount %]]&lt;=10,"Low Discount","High Discount"))</f>
        <v>Low Discount</v>
      </c>
      <c r="N301" t="str">
        <f t="shared" si="4"/>
        <v>0-10%</v>
      </c>
    </row>
    <row r="302" spans="1:14">
      <c r="A302" s="1">
        <v>45914</v>
      </c>
      <c r="B302" t="s">
        <v>364</v>
      </c>
      <c r="C302" t="s">
        <v>15</v>
      </c>
      <c r="D302" t="s">
        <v>16</v>
      </c>
      <c r="E302">
        <v>2200.71</v>
      </c>
      <c r="F302" t="s">
        <v>13</v>
      </c>
      <c r="G302">
        <v>3179.89</v>
      </c>
      <c r="H302">
        <v>979.18</v>
      </c>
      <c r="I302">
        <v>10</v>
      </c>
      <c r="J302">
        <v>1</v>
      </c>
      <c r="K302" t="str">
        <f>TEXT(discount_impact_on_profit_2000_rows[[#This Row],[order date]],"mmmm")</f>
        <v>September</v>
      </c>
      <c r="L302">
        <f>YEAR(discount_impact_on_profit_2000_rows[[#This Row],[order date]])</f>
        <v>2025</v>
      </c>
      <c r="M302" t="str">
        <f>IF(discount_impact_on_profit_2000_rows[[#This Row],[Discount %]]=0,"Zero Discount",IF(discount_impact_on_profit_2000_rows[[#This Row],[Discount %]]&lt;=10,"Low Discount","High Discount"))</f>
        <v>Low Discount</v>
      </c>
      <c r="N302" t="str">
        <f t="shared" si="4"/>
        <v>0-10%</v>
      </c>
    </row>
    <row r="303" spans="1:14">
      <c r="A303" s="1">
        <v>45959</v>
      </c>
      <c r="B303" t="s">
        <v>365</v>
      </c>
      <c r="C303" t="s">
        <v>33</v>
      </c>
      <c r="D303" t="s">
        <v>273</v>
      </c>
      <c r="E303">
        <v>33567.19</v>
      </c>
      <c r="F303" t="s">
        <v>31</v>
      </c>
      <c r="G303">
        <v>40865.879999999997</v>
      </c>
      <c r="H303">
        <v>7298.69</v>
      </c>
      <c r="I303">
        <v>5</v>
      </c>
      <c r="J303">
        <v>6</v>
      </c>
      <c r="K303" t="str">
        <f>TEXT(discount_impact_on_profit_2000_rows[[#This Row],[order date]],"mmmm")</f>
        <v>October</v>
      </c>
      <c r="L303">
        <f>YEAR(discount_impact_on_profit_2000_rows[[#This Row],[order date]])</f>
        <v>2025</v>
      </c>
      <c r="M303" t="str">
        <f>IF(discount_impact_on_profit_2000_rows[[#This Row],[Discount %]]=0,"Zero Discount",IF(discount_impact_on_profit_2000_rows[[#This Row],[Discount %]]&lt;=10,"Low Discount","High Discount"))</f>
        <v>Low Discount</v>
      </c>
      <c r="N303" t="str">
        <f t="shared" si="4"/>
        <v>0-10%</v>
      </c>
    </row>
    <row r="304" spans="1:14">
      <c r="A304" s="1">
        <v>46016</v>
      </c>
      <c r="B304" t="s">
        <v>366</v>
      </c>
      <c r="C304" t="s">
        <v>21</v>
      </c>
      <c r="D304" t="s">
        <v>109</v>
      </c>
      <c r="E304">
        <v>1538.07</v>
      </c>
      <c r="F304" t="s">
        <v>36</v>
      </c>
      <c r="G304">
        <v>1566.28</v>
      </c>
      <c r="H304">
        <v>28.21</v>
      </c>
      <c r="I304">
        <v>20</v>
      </c>
      <c r="J304">
        <v>1</v>
      </c>
      <c r="K304" t="str">
        <f>TEXT(discount_impact_on_profit_2000_rows[[#This Row],[order date]],"mmmm")</f>
        <v>December</v>
      </c>
      <c r="L304">
        <f>YEAR(discount_impact_on_profit_2000_rows[[#This Row],[order date]])</f>
        <v>2025</v>
      </c>
      <c r="M304" t="str">
        <f>IF(discount_impact_on_profit_2000_rows[[#This Row],[Discount %]]=0,"Zero Discount",IF(discount_impact_on_profit_2000_rows[[#This Row],[Discount %]]&lt;=10,"Low Discount","High Discount"))</f>
        <v>High Discount</v>
      </c>
      <c r="N304" t="str">
        <f t="shared" si="4"/>
        <v>10-20%</v>
      </c>
    </row>
    <row r="305" spans="1:14">
      <c r="A305" s="1">
        <v>45860</v>
      </c>
      <c r="B305" t="s">
        <v>367</v>
      </c>
      <c r="C305" t="s">
        <v>21</v>
      </c>
      <c r="D305" t="s">
        <v>154</v>
      </c>
      <c r="E305">
        <v>27234.17</v>
      </c>
      <c r="F305" t="s">
        <v>23</v>
      </c>
      <c r="G305">
        <v>36227.760000000002</v>
      </c>
      <c r="H305">
        <v>8993.59</v>
      </c>
      <c r="I305">
        <v>5</v>
      </c>
      <c r="J305">
        <v>6</v>
      </c>
      <c r="K305" t="str">
        <f>TEXT(discount_impact_on_profit_2000_rows[[#This Row],[order date]],"mmmm")</f>
        <v>July</v>
      </c>
      <c r="L305">
        <f>YEAR(discount_impact_on_profit_2000_rows[[#This Row],[order date]])</f>
        <v>2025</v>
      </c>
      <c r="M305" t="str">
        <f>IF(discount_impact_on_profit_2000_rows[[#This Row],[Discount %]]=0,"Zero Discount",IF(discount_impact_on_profit_2000_rows[[#This Row],[Discount %]]&lt;=10,"Low Discount","High Discount"))</f>
        <v>Low Discount</v>
      </c>
      <c r="N305" t="str">
        <f t="shared" si="4"/>
        <v>0-10%</v>
      </c>
    </row>
    <row r="306" spans="1:14">
      <c r="A306" s="1">
        <v>45444</v>
      </c>
      <c r="B306" t="s">
        <v>368</v>
      </c>
      <c r="C306" t="s">
        <v>18</v>
      </c>
      <c r="D306" t="s">
        <v>42</v>
      </c>
      <c r="E306">
        <v>284.36</v>
      </c>
      <c r="F306" t="s">
        <v>13</v>
      </c>
      <c r="G306">
        <v>348.06</v>
      </c>
      <c r="H306">
        <v>63.7</v>
      </c>
      <c r="I306">
        <v>25</v>
      </c>
      <c r="J306">
        <v>1</v>
      </c>
      <c r="K306" t="str">
        <f>TEXT(discount_impact_on_profit_2000_rows[[#This Row],[order date]],"mmmm")</f>
        <v>June</v>
      </c>
      <c r="L306">
        <f>YEAR(discount_impact_on_profit_2000_rows[[#This Row],[order date]])</f>
        <v>2024</v>
      </c>
      <c r="M306" t="str">
        <f>IF(discount_impact_on_profit_2000_rows[[#This Row],[Discount %]]=0,"Zero Discount",IF(discount_impact_on_profit_2000_rows[[#This Row],[Discount %]]&lt;=10,"Low Discount","High Discount"))</f>
        <v>High Discount</v>
      </c>
      <c r="N306" t="str">
        <f t="shared" si="4"/>
        <v>20-30%</v>
      </c>
    </row>
    <row r="307" spans="1:14">
      <c r="A307" s="1">
        <v>45745</v>
      </c>
      <c r="B307" t="s">
        <v>369</v>
      </c>
      <c r="C307" t="s">
        <v>11</v>
      </c>
      <c r="D307" t="s">
        <v>25</v>
      </c>
      <c r="E307">
        <v>727.55</v>
      </c>
      <c r="F307" t="s">
        <v>23</v>
      </c>
      <c r="G307">
        <v>1474.62</v>
      </c>
      <c r="H307">
        <v>747.07</v>
      </c>
      <c r="I307">
        <v>0</v>
      </c>
      <c r="J307">
        <v>4</v>
      </c>
      <c r="K307" t="str">
        <f>TEXT(discount_impact_on_profit_2000_rows[[#This Row],[order date]],"mmmm")</f>
        <v>March</v>
      </c>
      <c r="L307">
        <f>YEAR(discount_impact_on_profit_2000_rows[[#This Row],[order date]])</f>
        <v>2025</v>
      </c>
      <c r="M307" t="str">
        <f>IF(discount_impact_on_profit_2000_rows[[#This Row],[Discount %]]=0,"Zero Discount",IF(discount_impact_on_profit_2000_rows[[#This Row],[Discount %]]&lt;=10,"Low Discount","High Discount"))</f>
        <v>Zero Discount</v>
      </c>
      <c r="N307" t="str">
        <f t="shared" si="4"/>
        <v>0-10%</v>
      </c>
    </row>
    <row r="308" spans="1:14">
      <c r="A308" s="1">
        <v>45627</v>
      </c>
      <c r="B308" t="s">
        <v>370</v>
      </c>
      <c r="C308" t="s">
        <v>21</v>
      </c>
      <c r="D308" t="s">
        <v>57</v>
      </c>
      <c r="E308">
        <v>5314.01</v>
      </c>
      <c r="F308" t="s">
        <v>36</v>
      </c>
      <c r="G308">
        <v>5623.91</v>
      </c>
      <c r="H308">
        <v>309.89999999999998</v>
      </c>
      <c r="I308">
        <v>10</v>
      </c>
      <c r="J308">
        <v>1</v>
      </c>
      <c r="K308" t="str">
        <f>TEXT(discount_impact_on_profit_2000_rows[[#This Row],[order date]],"mmmm")</f>
        <v>December</v>
      </c>
      <c r="L308">
        <f>YEAR(discount_impact_on_profit_2000_rows[[#This Row],[order date]])</f>
        <v>2024</v>
      </c>
      <c r="M308" t="str">
        <f>IF(discount_impact_on_profit_2000_rows[[#This Row],[Discount %]]=0,"Zero Discount",IF(discount_impact_on_profit_2000_rows[[#This Row],[Discount %]]&lt;=10,"Low Discount","High Discount"))</f>
        <v>Low Discount</v>
      </c>
      <c r="N308" t="str">
        <f t="shared" si="4"/>
        <v>0-10%</v>
      </c>
    </row>
    <row r="309" spans="1:14">
      <c r="A309" s="1">
        <v>45687</v>
      </c>
      <c r="B309" t="s">
        <v>371</v>
      </c>
      <c r="C309" t="s">
        <v>18</v>
      </c>
      <c r="D309" t="s">
        <v>104</v>
      </c>
      <c r="E309">
        <v>6324.97</v>
      </c>
      <c r="F309" t="s">
        <v>31</v>
      </c>
      <c r="G309">
        <v>8901.26</v>
      </c>
      <c r="H309">
        <v>2576.29</v>
      </c>
      <c r="I309">
        <v>10</v>
      </c>
      <c r="J309">
        <v>6</v>
      </c>
      <c r="K309" t="str">
        <f>TEXT(discount_impact_on_profit_2000_rows[[#This Row],[order date]],"mmmm")</f>
        <v>January</v>
      </c>
      <c r="L309">
        <f>YEAR(discount_impact_on_profit_2000_rows[[#This Row],[order date]])</f>
        <v>2025</v>
      </c>
      <c r="M309" t="str">
        <f>IF(discount_impact_on_profit_2000_rows[[#This Row],[Discount %]]=0,"Zero Discount",IF(discount_impact_on_profit_2000_rows[[#This Row],[Discount %]]&lt;=10,"Low Discount","High Discount"))</f>
        <v>Low Discount</v>
      </c>
      <c r="N309" t="str">
        <f t="shared" si="4"/>
        <v>0-10%</v>
      </c>
    </row>
    <row r="310" spans="1:14">
      <c r="A310" s="1">
        <v>45242</v>
      </c>
      <c r="B310" t="s">
        <v>372</v>
      </c>
      <c r="C310" t="s">
        <v>53</v>
      </c>
      <c r="D310" t="s">
        <v>113</v>
      </c>
      <c r="E310">
        <v>5257.03</v>
      </c>
      <c r="F310" t="s">
        <v>13</v>
      </c>
      <c r="G310">
        <v>7762.03</v>
      </c>
      <c r="H310">
        <v>2505</v>
      </c>
      <c r="I310">
        <v>20</v>
      </c>
      <c r="J310">
        <v>3</v>
      </c>
      <c r="K310" t="str">
        <f>TEXT(discount_impact_on_profit_2000_rows[[#This Row],[order date]],"mmmm")</f>
        <v>November</v>
      </c>
      <c r="L310">
        <f>YEAR(discount_impact_on_profit_2000_rows[[#This Row],[order date]])</f>
        <v>2023</v>
      </c>
      <c r="M310" t="str">
        <f>IF(discount_impact_on_profit_2000_rows[[#This Row],[Discount %]]=0,"Zero Discount",IF(discount_impact_on_profit_2000_rows[[#This Row],[Discount %]]&lt;=10,"Low Discount","High Discount"))</f>
        <v>High Discount</v>
      </c>
      <c r="N310" t="str">
        <f t="shared" si="4"/>
        <v>10-20%</v>
      </c>
    </row>
    <row r="311" spans="1:14">
      <c r="A311" s="1">
        <v>45784</v>
      </c>
      <c r="B311" t="s">
        <v>373</v>
      </c>
      <c r="C311" t="s">
        <v>53</v>
      </c>
      <c r="D311" t="s">
        <v>70</v>
      </c>
      <c r="E311">
        <v>1247.81</v>
      </c>
      <c r="F311" t="s">
        <v>13</v>
      </c>
      <c r="G311">
        <v>2637.61</v>
      </c>
      <c r="H311">
        <v>1389.8</v>
      </c>
      <c r="I311">
        <v>15</v>
      </c>
      <c r="J311">
        <v>6</v>
      </c>
      <c r="K311" t="str">
        <f>TEXT(discount_impact_on_profit_2000_rows[[#This Row],[order date]],"mmmm")</f>
        <v>May</v>
      </c>
      <c r="L311">
        <f>YEAR(discount_impact_on_profit_2000_rows[[#This Row],[order date]])</f>
        <v>2025</v>
      </c>
      <c r="M311" t="str">
        <f>IF(discount_impact_on_profit_2000_rows[[#This Row],[Discount %]]=0,"Zero Discount",IF(discount_impact_on_profit_2000_rows[[#This Row],[Discount %]]&lt;=10,"Low Discount","High Discount"))</f>
        <v>High Discount</v>
      </c>
      <c r="N311" t="str">
        <f t="shared" si="4"/>
        <v>10-20%</v>
      </c>
    </row>
    <row r="312" spans="1:14">
      <c r="A312" s="1">
        <v>45058</v>
      </c>
      <c r="B312" t="s">
        <v>374</v>
      </c>
      <c r="C312" t="s">
        <v>53</v>
      </c>
      <c r="D312" t="s">
        <v>113</v>
      </c>
      <c r="E312">
        <v>1996.06</v>
      </c>
      <c r="F312" t="s">
        <v>31</v>
      </c>
      <c r="G312">
        <v>4210.55</v>
      </c>
      <c r="H312">
        <v>2214.4899999999998</v>
      </c>
      <c r="I312">
        <v>15</v>
      </c>
      <c r="J312">
        <v>1</v>
      </c>
      <c r="K312" t="str">
        <f>TEXT(discount_impact_on_profit_2000_rows[[#This Row],[order date]],"mmmm")</f>
        <v>May</v>
      </c>
      <c r="L312">
        <f>YEAR(discount_impact_on_profit_2000_rows[[#This Row],[order date]])</f>
        <v>2023</v>
      </c>
      <c r="M312" t="str">
        <f>IF(discount_impact_on_profit_2000_rows[[#This Row],[Discount %]]=0,"Zero Discount",IF(discount_impact_on_profit_2000_rows[[#This Row],[Discount %]]&lt;=10,"Low Discount","High Discount"))</f>
        <v>High Discount</v>
      </c>
      <c r="N312" t="str">
        <f t="shared" si="4"/>
        <v>10-20%</v>
      </c>
    </row>
    <row r="313" spans="1:14">
      <c r="A313" s="1">
        <v>45183</v>
      </c>
      <c r="B313" t="s">
        <v>375</v>
      </c>
      <c r="C313" t="s">
        <v>11</v>
      </c>
      <c r="D313" t="s">
        <v>64</v>
      </c>
      <c r="E313">
        <v>603.66999999999996</v>
      </c>
      <c r="F313" t="s">
        <v>31</v>
      </c>
      <c r="G313">
        <v>1179.79</v>
      </c>
      <c r="H313">
        <v>576.12</v>
      </c>
      <c r="I313">
        <v>15</v>
      </c>
      <c r="J313">
        <v>3</v>
      </c>
      <c r="K313" t="str">
        <f>TEXT(discount_impact_on_profit_2000_rows[[#This Row],[order date]],"mmmm")</f>
        <v>September</v>
      </c>
      <c r="L313">
        <f>YEAR(discount_impact_on_profit_2000_rows[[#This Row],[order date]])</f>
        <v>2023</v>
      </c>
      <c r="M313" t="str">
        <f>IF(discount_impact_on_profit_2000_rows[[#This Row],[Discount %]]=0,"Zero Discount",IF(discount_impact_on_profit_2000_rows[[#This Row],[Discount %]]&lt;=10,"Low Discount","High Discount"))</f>
        <v>High Discount</v>
      </c>
      <c r="N313" t="str">
        <f t="shared" si="4"/>
        <v>10-20%</v>
      </c>
    </row>
    <row r="314" spans="1:14">
      <c r="A314" s="1">
        <v>45311</v>
      </c>
      <c r="B314" t="s">
        <v>376</v>
      </c>
      <c r="C314" t="s">
        <v>18</v>
      </c>
      <c r="D314" t="s">
        <v>19</v>
      </c>
      <c r="E314">
        <v>1751.26</v>
      </c>
      <c r="F314" t="s">
        <v>26</v>
      </c>
      <c r="G314">
        <v>2850.11</v>
      </c>
      <c r="H314">
        <v>1098.8499999999999</v>
      </c>
      <c r="I314">
        <v>5</v>
      </c>
      <c r="J314">
        <v>3</v>
      </c>
      <c r="K314" t="str">
        <f>TEXT(discount_impact_on_profit_2000_rows[[#This Row],[order date]],"mmmm")</f>
        <v>January</v>
      </c>
      <c r="L314">
        <f>YEAR(discount_impact_on_profit_2000_rows[[#This Row],[order date]])</f>
        <v>2024</v>
      </c>
      <c r="M314" t="str">
        <f>IF(discount_impact_on_profit_2000_rows[[#This Row],[Discount %]]=0,"Zero Discount",IF(discount_impact_on_profit_2000_rows[[#This Row],[Discount %]]&lt;=10,"Low Discount","High Discount"))</f>
        <v>Low Discount</v>
      </c>
      <c r="N314" t="str">
        <f t="shared" si="4"/>
        <v>0-10%</v>
      </c>
    </row>
    <row r="315" spans="1:14">
      <c r="A315" s="1">
        <v>45880</v>
      </c>
      <c r="B315" t="s">
        <v>377</v>
      </c>
      <c r="C315" t="s">
        <v>18</v>
      </c>
      <c r="D315" t="s">
        <v>188</v>
      </c>
      <c r="E315">
        <v>989.73</v>
      </c>
      <c r="F315" t="s">
        <v>31</v>
      </c>
      <c r="G315">
        <v>1138.9100000000001</v>
      </c>
      <c r="H315">
        <v>149.18</v>
      </c>
      <c r="I315">
        <v>30</v>
      </c>
      <c r="J315">
        <v>6</v>
      </c>
      <c r="K315" t="str">
        <f>TEXT(discount_impact_on_profit_2000_rows[[#This Row],[order date]],"mmmm")</f>
        <v>August</v>
      </c>
      <c r="L315">
        <f>YEAR(discount_impact_on_profit_2000_rows[[#This Row],[order date]])</f>
        <v>2025</v>
      </c>
      <c r="M315" t="str">
        <f>IF(discount_impact_on_profit_2000_rows[[#This Row],[Discount %]]=0,"Zero Discount",IF(discount_impact_on_profit_2000_rows[[#This Row],[Discount %]]&lt;=10,"Low Discount","High Discount"))</f>
        <v>High Discount</v>
      </c>
      <c r="N315" t="str">
        <f t="shared" si="4"/>
        <v>20-30%</v>
      </c>
    </row>
    <row r="316" spans="1:14">
      <c r="A316" s="1">
        <v>45417</v>
      </c>
      <c r="B316" t="s">
        <v>378</v>
      </c>
      <c r="C316" t="s">
        <v>11</v>
      </c>
      <c r="D316" t="s">
        <v>30</v>
      </c>
      <c r="E316">
        <v>1321.07</v>
      </c>
      <c r="F316" t="s">
        <v>31</v>
      </c>
      <c r="G316">
        <v>1813.61</v>
      </c>
      <c r="H316">
        <v>492.54</v>
      </c>
      <c r="I316">
        <v>15</v>
      </c>
      <c r="J316">
        <v>2</v>
      </c>
      <c r="K316" t="str">
        <f>TEXT(discount_impact_on_profit_2000_rows[[#This Row],[order date]],"mmmm")</f>
        <v>May</v>
      </c>
      <c r="L316">
        <f>YEAR(discount_impact_on_profit_2000_rows[[#This Row],[order date]])</f>
        <v>2024</v>
      </c>
      <c r="M316" t="str">
        <f>IF(discount_impact_on_profit_2000_rows[[#This Row],[Discount %]]=0,"Zero Discount",IF(discount_impact_on_profit_2000_rows[[#This Row],[Discount %]]&lt;=10,"Low Discount","High Discount"))</f>
        <v>High Discount</v>
      </c>
      <c r="N316" t="str">
        <f t="shared" si="4"/>
        <v>10-20%</v>
      </c>
    </row>
    <row r="317" spans="1:14">
      <c r="A317" s="1">
        <v>45231</v>
      </c>
      <c r="B317" t="s">
        <v>379</v>
      </c>
      <c r="C317" t="s">
        <v>33</v>
      </c>
      <c r="D317" t="s">
        <v>197</v>
      </c>
      <c r="E317">
        <v>3464.89</v>
      </c>
      <c r="F317" t="s">
        <v>31</v>
      </c>
      <c r="G317">
        <v>3799.84</v>
      </c>
      <c r="H317">
        <v>334.95</v>
      </c>
      <c r="I317">
        <v>15</v>
      </c>
      <c r="J317">
        <v>1</v>
      </c>
      <c r="K317" t="str">
        <f>TEXT(discount_impact_on_profit_2000_rows[[#This Row],[order date]],"mmmm")</f>
        <v>November</v>
      </c>
      <c r="L317">
        <f>YEAR(discount_impact_on_profit_2000_rows[[#This Row],[order date]])</f>
        <v>2023</v>
      </c>
      <c r="M317" t="str">
        <f>IF(discount_impact_on_profit_2000_rows[[#This Row],[Discount %]]=0,"Zero Discount",IF(discount_impact_on_profit_2000_rows[[#This Row],[Discount %]]&lt;=10,"Low Discount","High Discount"))</f>
        <v>High Discount</v>
      </c>
      <c r="N317" t="str">
        <f t="shared" si="4"/>
        <v>10-20%</v>
      </c>
    </row>
    <row r="318" spans="1:14">
      <c r="A318" s="1">
        <v>45566</v>
      </c>
      <c r="B318" t="s">
        <v>380</v>
      </c>
      <c r="C318" t="s">
        <v>33</v>
      </c>
      <c r="D318" t="s">
        <v>92</v>
      </c>
      <c r="E318">
        <v>8734.69</v>
      </c>
      <c r="F318" t="s">
        <v>13</v>
      </c>
      <c r="G318">
        <v>11592.39</v>
      </c>
      <c r="H318">
        <v>2857.7</v>
      </c>
      <c r="I318">
        <v>10</v>
      </c>
      <c r="J318">
        <v>4</v>
      </c>
      <c r="K318" t="str">
        <f>TEXT(discount_impact_on_profit_2000_rows[[#This Row],[order date]],"mmmm")</f>
        <v>October</v>
      </c>
      <c r="L318">
        <f>YEAR(discount_impact_on_profit_2000_rows[[#This Row],[order date]])</f>
        <v>2024</v>
      </c>
      <c r="M318" t="str">
        <f>IF(discount_impact_on_profit_2000_rows[[#This Row],[Discount %]]=0,"Zero Discount",IF(discount_impact_on_profit_2000_rows[[#This Row],[Discount %]]&lt;=10,"Low Discount","High Discount"))</f>
        <v>Low Discount</v>
      </c>
      <c r="N318" t="str">
        <f t="shared" si="4"/>
        <v>0-10%</v>
      </c>
    </row>
    <row r="319" spans="1:14">
      <c r="A319" s="1">
        <v>44997</v>
      </c>
      <c r="B319" t="s">
        <v>381</v>
      </c>
      <c r="C319" t="s">
        <v>11</v>
      </c>
      <c r="D319" t="s">
        <v>207</v>
      </c>
      <c r="E319">
        <v>3214.59</v>
      </c>
      <c r="F319" t="s">
        <v>23</v>
      </c>
      <c r="G319">
        <v>5323.9</v>
      </c>
      <c r="H319">
        <v>2109.31</v>
      </c>
      <c r="I319">
        <v>10</v>
      </c>
      <c r="J319">
        <v>2</v>
      </c>
      <c r="K319" t="str">
        <f>TEXT(discount_impact_on_profit_2000_rows[[#This Row],[order date]],"mmmm")</f>
        <v>March</v>
      </c>
      <c r="L319">
        <f>YEAR(discount_impact_on_profit_2000_rows[[#This Row],[order date]])</f>
        <v>2023</v>
      </c>
      <c r="M319" t="str">
        <f>IF(discount_impact_on_profit_2000_rows[[#This Row],[Discount %]]=0,"Zero Discount",IF(discount_impact_on_profit_2000_rows[[#This Row],[Discount %]]&lt;=10,"Low Discount","High Discount"))</f>
        <v>Low Discount</v>
      </c>
      <c r="N319" t="str">
        <f t="shared" si="4"/>
        <v>0-10%</v>
      </c>
    </row>
    <row r="320" spans="1:14">
      <c r="A320" s="1">
        <v>46007</v>
      </c>
      <c r="B320" t="s">
        <v>382</v>
      </c>
      <c r="C320" t="s">
        <v>21</v>
      </c>
      <c r="D320" t="s">
        <v>123</v>
      </c>
      <c r="E320">
        <v>5757.01</v>
      </c>
      <c r="F320" t="s">
        <v>36</v>
      </c>
      <c r="G320">
        <v>8094.2</v>
      </c>
      <c r="H320">
        <v>2337.19</v>
      </c>
      <c r="I320">
        <v>0</v>
      </c>
      <c r="J320">
        <v>2</v>
      </c>
      <c r="K320" t="str">
        <f>TEXT(discount_impact_on_profit_2000_rows[[#This Row],[order date]],"mmmm")</f>
        <v>December</v>
      </c>
      <c r="L320">
        <f>YEAR(discount_impact_on_profit_2000_rows[[#This Row],[order date]])</f>
        <v>2025</v>
      </c>
      <c r="M320" t="str">
        <f>IF(discount_impact_on_profit_2000_rows[[#This Row],[Discount %]]=0,"Zero Discount",IF(discount_impact_on_profit_2000_rows[[#This Row],[Discount %]]&lt;=10,"Low Discount","High Discount"))</f>
        <v>Zero Discount</v>
      </c>
      <c r="N320" t="str">
        <f t="shared" si="4"/>
        <v>0-10%</v>
      </c>
    </row>
    <row r="321" spans="1:14">
      <c r="A321" s="1">
        <v>44980</v>
      </c>
      <c r="B321" t="s">
        <v>383</v>
      </c>
      <c r="C321" t="s">
        <v>11</v>
      </c>
      <c r="D321" t="s">
        <v>64</v>
      </c>
      <c r="E321">
        <v>175.44</v>
      </c>
      <c r="F321" t="s">
        <v>26</v>
      </c>
      <c r="G321">
        <v>331.09</v>
      </c>
      <c r="H321">
        <v>155.65</v>
      </c>
      <c r="I321">
        <v>25</v>
      </c>
      <c r="J321">
        <v>1</v>
      </c>
      <c r="K321" t="str">
        <f>TEXT(discount_impact_on_profit_2000_rows[[#This Row],[order date]],"mmmm")</f>
        <v>February</v>
      </c>
      <c r="L321">
        <f>YEAR(discount_impact_on_profit_2000_rows[[#This Row],[order date]])</f>
        <v>2023</v>
      </c>
      <c r="M321" t="str">
        <f>IF(discount_impact_on_profit_2000_rows[[#This Row],[Discount %]]=0,"Zero Discount",IF(discount_impact_on_profit_2000_rows[[#This Row],[Discount %]]&lt;=10,"Low Discount","High Discount"))</f>
        <v>High Discount</v>
      </c>
      <c r="N321" t="str">
        <f t="shared" si="4"/>
        <v>20-30%</v>
      </c>
    </row>
    <row r="322" spans="1:14">
      <c r="A322" s="1">
        <v>45449</v>
      </c>
      <c r="B322" t="s">
        <v>384</v>
      </c>
      <c r="C322" t="s">
        <v>11</v>
      </c>
      <c r="D322" t="s">
        <v>25</v>
      </c>
      <c r="E322">
        <v>147.68</v>
      </c>
      <c r="F322" t="s">
        <v>13</v>
      </c>
      <c r="G322">
        <v>283.37</v>
      </c>
      <c r="H322">
        <v>135.69</v>
      </c>
      <c r="I322">
        <v>15</v>
      </c>
      <c r="J322">
        <v>1</v>
      </c>
      <c r="K322" t="str">
        <f>TEXT(discount_impact_on_profit_2000_rows[[#This Row],[order date]],"mmmm")</f>
        <v>June</v>
      </c>
      <c r="L322">
        <f>YEAR(discount_impact_on_profit_2000_rows[[#This Row],[order date]])</f>
        <v>2024</v>
      </c>
      <c r="M322" t="str">
        <f>IF(discount_impact_on_profit_2000_rows[[#This Row],[Discount %]]=0,"Zero Discount",IF(discount_impact_on_profit_2000_rows[[#This Row],[Discount %]]&lt;=10,"Low Discount","High Discount"))</f>
        <v>High Discount</v>
      </c>
      <c r="N322" t="str">
        <f t="shared" ref="N322:N385" si="5">IF(I322&lt;=10,"0-10%",IF(I322&lt;=20,"10-20%",IF(I322&lt;=30,"20-30%","30%+")))</f>
        <v>10-20%</v>
      </c>
    </row>
    <row r="323" spans="1:14">
      <c r="A323" s="1">
        <v>45476</v>
      </c>
      <c r="B323" t="s">
        <v>385</v>
      </c>
      <c r="C323" t="s">
        <v>18</v>
      </c>
      <c r="D323" t="s">
        <v>19</v>
      </c>
      <c r="E323">
        <v>2798.53</v>
      </c>
      <c r="F323" t="s">
        <v>26</v>
      </c>
      <c r="G323">
        <v>3767.04</v>
      </c>
      <c r="H323">
        <v>968.51</v>
      </c>
      <c r="I323">
        <v>10</v>
      </c>
      <c r="J323">
        <v>8</v>
      </c>
      <c r="K323" t="str">
        <f>TEXT(discount_impact_on_profit_2000_rows[[#This Row],[order date]],"mmmm")</f>
        <v>July</v>
      </c>
      <c r="L323">
        <f>YEAR(discount_impact_on_profit_2000_rows[[#This Row],[order date]])</f>
        <v>2024</v>
      </c>
      <c r="M323" t="str">
        <f>IF(discount_impact_on_profit_2000_rows[[#This Row],[Discount %]]=0,"Zero Discount",IF(discount_impact_on_profit_2000_rows[[#This Row],[Discount %]]&lt;=10,"Low Discount","High Discount"))</f>
        <v>Low Discount</v>
      </c>
      <c r="N323" t="str">
        <f t="shared" si="5"/>
        <v>0-10%</v>
      </c>
    </row>
    <row r="324" spans="1:14">
      <c r="A324" s="1">
        <v>45959</v>
      </c>
      <c r="B324" t="s">
        <v>386</v>
      </c>
      <c r="C324" t="s">
        <v>11</v>
      </c>
      <c r="D324" t="s">
        <v>38</v>
      </c>
      <c r="E324">
        <v>9155.81</v>
      </c>
      <c r="F324" t="s">
        <v>36</v>
      </c>
      <c r="G324">
        <v>18157.79</v>
      </c>
      <c r="H324">
        <v>9001.98</v>
      </c>
      <c r="I324">
        <v>20</v>
      </c>
      <c r="J324">
        <v>5</v>
      </c>
      <c r="K324" t="str">
        <f>TEXT(discount_impact_on_profit_2000_rows[[#This Row],[order date]],"mmmm")</f>
        <v>October</v>
      </c>
      <c r="L324">
        <f>YEAR(discount_impact_on_profit_2000_rows[[#This Row],[order date]])</f>
        <v>2025</v>
      </c>
      <c r="M324" t="str">
        <f>IF(discount_impact_on_profit_2000_rows[[#This Row],[Discount %]]=0,"Zero Discount",IF(discount_impact_on_profit_2000_rows[[#This Row],[Discount %]]&lt;=10,"Low Discount","High Discount"))</f>
        <v>High Discount</v>
      </c>
      <c r="N324" t="str">
        <f t="shared" si="5"/>
        <v>10-20%</v>
      </c>
    </row>
    <row r="325" spans="1:14">
      <c r="A325" s="1">
        <v>45790</v>
      </c>
      <c r="B325" t="s">
        <v>387</v>
      </c>
      <c r="C325" t="s">
        <v>18</v>
      </c>
      <c r="D325" t="s">
        <v>104</v>
      </c>
      <c r="E325">
        <v>666.58</v>
      </c>
      <c r="F325" t="s">
        <v>13</v>
      </c>
      <c r="G325">
        <v>1058.1300000000001</v>
      </c>
      <c r="H325">
        <v>391.55</v>
      </c>
      <c r="I325">
        <v>20</v>
      </c>
      <c r="J325">
        <v>4</v>
      </c>
      <c r="K325" t="str">
        <f>TEXT(discount_impact_on_profit_2000_rows[[#This Row],[order date]],"mmmm")</f>
        <v>May</v>
      </c>
      <c r="L325">
        <f>YEAR(discount_impact_on_profit_2000_rows[[#This Row],[order date]])</f>
        <v>2025</v>
      </c>
      <c r="M325" t="str">
        <f>IF(discount_impact_on_profit_2000_rows[[#This Row],[Discount %]]=0,"Zero Discount",IF(discount_impact_on_profit_2000_rows[[#This Row],[Discount %]]&lt;=10,"Low Discount","High Discount"))</f>
        <v>High Discount</v>
      </c>
      <c r="N325" t="str">
        <f t="shared" si="5"/>
        <v>10-20%</v>
      </c>
    </row>
    <row r="326" spans="1:14">
      <c r="A326" s="1">
        <v>45408</v>
      </c>
      <c r="B326" t="s">
        <v>388</v>
      </c>
      <c r="C326" t="s">
        <v>21</v>
      </c>
      <c r="D326" t="s">
        <v>46</v>
      </c>
      <c r="E326">
        <v>2471.83</v>
      </c>
      <c r="F326" t="s">
        <v>36</v>
      </c>
      <c r="G326">
        <v>2835.5</v>
      </c>
      <c r="H326">
        <v>363.67</v>
      </c>
      <c r="I326">
        <v>5</v>
      </c>
      <c r="J326">
        <v>1</v>
      </c>
      <c r="K326" t="str">
        <f>TEXT(discount_impact_on_profit_2000_rows[[#This Row],[order date]],"mmmm")</f>
        <v>April</v>
      </c>
      <c r="L326">
        <f>YEAR(discount_impact_on_profit_2000_rows[[#This Row],[order date]])</f>
        <v>2024</v>
      </c>
      <c r="M326" t="str">
        <f>IF(discount_impact_on_profit_2000_rows[[#This Row],[Discount %]]=0,"Zero Discount",IF(discount_impact_on_profit_2000_rows[[#This Row],[Discount %]]&lt;=10,"Low Discount","High Discount"))</f>
        <v>Low Discount</v>
      </c>
      <c r="N326" t="str">
        <f t="shared" si="5"/>
        <v>0-10%</v>
      </c>
    </row>
    <row r="327" spans="1:14">
      <c r="A327" s="1">
        <v>45686</v>
      </c>
      <c r="B327" t="s">
        <v>389</v>
      </c>
      <c r="C327" t="s">
        <v>18</v>
      </c>
      <c r="D327" t="s">
        <v>188</v>
      </c>
      <c r="E327">
        <v>294.54000000000002</v>
      </c>
      <c r="F327" t="s">
        <v>13</v>
      </c>
      <c r="G327">
        <v>501.19</v>
      </c>
      <c r="H327">
        <v>206.65</v>
      </c>
      <c r="I327">
        <v>10</v>
      </c>
      <c r="J327">
        <v>3</v>
      </c>
      <c r="K327" t="str">
        <f>TEXT(discount_impact_on_profit_2000_rows[[#This Row],[order date]],"mmmm")</f>
        <v>January</v>
      </c>
      <c r="L327">
        <f>YEAR(discount_impact_on_profit_2000_rows[[#This Row],[order date]])</f>
        <v>2025</v>
      </c>
      <c r="M327" t="str">
        <f>IF(discount_impact_on_profit_2000_rows[[#This Row],[Discount %]]=0,"Zero Discount",IF(discount_impact_on_profit_2000_rows[[#This Row],[Discount %]]&lt;=10,"Low Discount","High Discount"))</f>
        <v>Low Discount</v>
      </c>
      <c r="N327" t="str">
        <f t="shared" si="5"/>
        <v>0-10%</v>
      </c>
    </row>
    <row r="328" spans="1:14">
      <c r="A328" s="1">
        <v>45770</v>
      </c>
      <c r="B328" t="s">
        <v>390</v>
      </c>
      <c r="C328" t="s">
        <v>18</v>
      </c>
      <c r="D328" t="s">
        <v>88</v>
      </c>
      <c r="E328">
        <v>1778.38</v>
      </c>
      <c r="F328" t="s">
        <v>26</v>
      </c>
      <c r="G328">
        <v>2285.16</v>
      </c>
      <c r="H328">
        <v>506.78</v>
      </c>
      <c r="I328">
        <v>15</v>
      </c>
      <c r="J328">
        <v>3</v>
      </c>
      <c r="K328" t="str">
        <f>TEXT(discount_impact_on_profit_2000_rows[[#This Row],[order date]],"mmmm")</f>
        <v>April</v>
      </c>
      <c r="L328">
        <f>YEAR(discount_impact_on_profit_2000_rows[[#This Row],[order date]])</f>
        <v>2025</v>
      </c>
      <c r="M328" t="str">
        <f>IF(discount_impact_on_profit_2000_rows[[#This Row],[Discount %]]=0,"Zero Discount",IF(discount_impact_on_profit_2000_rows[[#This Row],[Discount %]]&lt;=10,"Low Discount","High Discount"))</f>
        <v>High Discount</v>
      </c>
      <c r="N328" t="str">
        <f t="shared" si="5"/>
        <v>10-20%</v>
      </c>
    </row>
    <row r="329" spans="1:14">
      <c r="A329" s="1">
        <v>45838</v>
      </c>
      <c r="B329" t="s">
        <v>391</v>
      </c>
      <c r="C329" t="s">
        <v>21</v>
      </c>
      <c r="D329" t="s">
        <v>123</v>
      </c>
      <c r="E329">
        <v>7922.83</v>
      </c>
      <c r="F329" t="s">
        <v>36</v>
      </c>
      <c r="G329">
        <v>8165.55</v>
      </c>
      <c r="H329">
        <v>242.72</v>
      </c>
      <c r="I329">
        <v>15</v>
      </c>
      <c r="J329">
        <v>1</v>
      </c>
      <c r="K329" t="str">
        <f>TEXT(discount_impact_on_profit_2000_rows[[#This Row],[order date]],"mmmm")</f>
        <v>June</v>
      </c>
      <c r="L329">
        <f>YEAR(discount_impact_on_profit_2000_rows[[#This Row],[order date]])</f>
        <v>2025</v>
      </c>
      <c r="M329" t="str">
        <f>IF(discount_impact_on_profit_2000_rows[[#This Row],[Discount %]]=0,"Zero Discount",IF(discount_impact_on_profit_2000_rows[[#This Row],[Discount %]]&lt;=10,"Low Discount","High Discount"))</f>
        <v>High Discount</v>
      </c>
      <c r="N329" t="str">
        <f t="shared" si="5"/>
        <v>10-20%</v>
      </c>
    </row>
    <row r="330" spans="1:14">
      <c r="A330" s="1">
        <v>45546</v>
      </c>
      <c r="B330" t="s">
        <v>392</v>
      </c>
      <c r="C330" t="s">
        <v>21</v>
      </c>
      <c r="D330" t="s">
        <v>154</v>
      </c>
      <c r="E330">
        <v>3233.6</v>
      </c>
      <c r="F330" t="s">
        <v>36</v>
      </c>
      <c r="G330">
        <v>3920.1</v>
      </c>
      <c r="H330">
        <v>686.5</v>
      </c>
      <c r="I330">
        <v>15</v>
      </c>
      <c r="J330">
        <v>5</v>
      </c>
      <c r="K330" t="str">
        <f>TEXT(discount_impact_on_profit_2000_rows[[#This Row],[order date]],"mmmm")</f>
        <v>September</v>
      </c>
      <c r="L330">
        <f>YEAR(discount_impact_on_profit_2000_rows[[#This Row],[order date]])</f>
        <v>2024</v>
      </c>
      <c r="M330" t="str">
        <f>IF(discount_impact_on_profit_2000_rows[[#This Row],[Discount %]]=0,"Zero Discount",IF(discount_impact_on_profit_2000_rows[[#This Row],[Discount %]]&lt;=10,"Low Discount","High Discount"))</f>
        <v>High Discount</v>
      </c>
      <c r="N330" t="str">
        <f t="shared" si="5"/>
        <v>10-20%</v>
      </c>
    </row>
    <row r="331" spans="1:14">
      <c r="A331" s="1">
        <v>45951</v>
      </c>
      <c r="B331" t="s">
        <v>393</v>
      </c>
      <c r="C331" t="s">
        <v>18</v>
      </c>
      <c r="D331" t="s">
        <v>19</v>
      </c>
      <c r="E331">
        <v>4756.2</v>
      </c>
      <c r="F331" t="s">
        <v>36</v>
      </c>
      <c r="G331">
        <v>6522.81</v>
      </c>
      <c r="H331">
        <v>1766.61</v>
      </c>
      <c r="I331">
        <v>10</v>
      </c>
      <c r="J331">
        <v>6</v>
      </c>
      <c r="K331" t="str">
        <f>TEXT(discount_impact_on_profit_2000_rows[[#This Row],[order date]],"mmmm")</f>
        <v>October</v>
      </c>
      <c r="L331">
        <f>YEAR(discount_impact_on_profit_2000_rows[[#This Row],[order date]])</f>
        <v>2025</v>
      </c>
      <c r="M331" t="str">
        <f>IF(discount_impact_on_profit_2000_rows[[#This Row],[Discount %]]=0,"Zero Discount",IF(discount_impact_on_profit_2000_rows[[#This Row],[Discount %]]&lt;=10,"Low Discount","High Discount"))</f>
        <v>Low Discount</v>
      </c>
      <c r="N331" t="str">
        <f t="shared" si="5"/>
        <v>0-10%</v>
      </c>
    </row>
    <row r="332" spans="1:14">
      <c r="A332" s="1">
        <v>45093</v>
      </c>
      <c r="B332" t="s">
        <v>394</v>
      </c>
      <c r="C332" t="s">
        <v>53</v>
      </c>
      <c r="D332" t="s">
        <v>152</v>
      </c>
      <c r="E332">
        <v>3082.38</v>
      </c>
      <c r="F332" t="s">
        <v>31</v>
      </c>
      <c r="G332">
        <v>4623.2</v>
      </c>
      <c r="H332">
        <v>1540.82</v>
      </c>
      <c r="I332">
        <v>0</v>
      </c>
      <c r="J332">
        <v>1</v>
      </c>
      <c r="K332" t="str">
        <f>TEXT(discount_impact_on_profit_2000_rows[[#This Row],[order date]],"mmmm")</f>
        <v>June</v>
      </c>
      <c r="L332">
        <f>YEAR(discount_impact_on_profit_2000_rows[[#This Row],[order date]])</f>
        <v>2023</v>
      </c>
      <c r="M332" t="str">
        <f>IF(discount_impact_on_profit_2000_rows[[#This Row],[Discount %]]=0,"Zero Discount",IF(discount_impact_on_profit_2000_rows[[#This Row],[Discount %]]&lt;=10,"Low Discount","High Discount"))</f>
        <v>Zero Discount</v>
      </c>
      <c r="N332" t="str">
        <f t="shared" si="5"/>
        <v>0-10%</v>
      </c>
    </row>
    <row r="333" spans="1:14">
      <c r="A333" s="1">
        <v>45847</v>
      </c>
      <c r="B333" t="s">
        <v>395</v>
      </c>
      <c r="C333" t="s">
        <v>11</v>
      </c>
      <c r="D333" t="s">
        <v>64</v>
      </c>
      <c r="E333">
        <v>871.65</v>
      </c>
      <c r="F333" t="s">
        <v>26</v>
      </c>
      <c r="G333">
        <v>1515</v>
      </c>
      <c r="H333">
        <v>643.35</v>
      </c>
      <c r="I333">
        <v>10</v>
      </c>
      <c r="J333">
        <v>1</v>
      </c>
      <c r="K333" t="str">
        <f>TEXT(discount_impact_on_profit_2000_rows[[#This Row],[order date]],"mmmm")</f>
        <v>July</v>
      </c>
      <c r="L333">
        <f>YEAR(discount_impact_on_profit_2000_rows[[#This Row],[order date]])</f>
        <v>2025</v>
      </c>
      <c r="M333" t="str">
        <f>IF(discount_impact_on_profit_2000_rows[[#This Row],[Discount %]]=0,"Zero Discount",IF(discount_impact_on_profit_2000_rows[[#This Row],[Discount %]]&lt;=10,"Low Discount","High Discount"))</f>
        <v>Low Discount</v>
      </c>
      <c r="N333" t="str">
        <f t="shared" si="5"/>
        <v>0-10%</v>
      </c>
    </row>
    <row r="334" spans="1:14">
      <c r="A334" s="1">
        <v>45543</v>
      </c>
      <c r="B334" t="s">
        <v>396</v>
      </c>
      <c r="C334" t="s">
        <v>53</v>
      </c>
      <c r="D334" t="s">
        <v>95</v>
      </c>
      <c r="E334">
        <v>528.13</v>
      </c>
      <c r="F334" t="s">
        <v>13</v>
      </c>
      <c r="G334">
        <v>903.74</v>
      </c>
      <c r="H334">
        <v>375.61</v>
      </c>
      <c r="I334">
        <v>5</v>
      </c>
      <c r="J334">
        <v>2</v>
      </c>
      <c r="K334" t="str">
        <f>TEXT(discount_impact_on_profit_2000_rows[[#This Row],[order date]],"mmmm")</f>
        <v>September</v>
      </c>
      <c r="L334">
        <f>YEAR(discount_impact_on_profit_2000_rows[[#This Row],[order date]])</f>
        <v>2024</v>
      </c>
      <c r="M334" t="str">
        <f>IF(discount_impact_on_profit_2000_rows[[#This Row],[Discount %]]=0,"Zero Discount",IF(discount_impact_on_profit_2000_rows[[#This Row],[Discount %]]&lt;=10,"Low Discount","High Discount"))</f>
        <v>Low Discount</v>
      </c>
      <c r="N334" t="str">
        <f t="shared" si="5"/>
        <v>0-10%</v>
      </c>
    </row>
    <row r="335" spans="1:14">
      <c r="A335" s="1">
        <v>45111</v>
      </c>
      <c r="B335" t="s">
        <v>397</v>
      </c>
      <c r="C335" t="s">
        <v>21</v>
      </c>
      <c r="D335" t="s">
        <v>57</v>
      </c>
      <c r="E335">
        <v>2523.65</v>
      </c>
      <c r="F335" t="s">
        <v>31</v>
      </c>
      <c r="G335">
        <v>2599.36</v>
      </c>
      <c r="H335">
        <v>75.709999999999994</v>
      </c>
      <c r="I335">
        <v>23</v>
      </c>
      <c r="J335">
        <v>1</v>
      </c>
      <c r="K335" t="str">
        <f>TEXT(discount_impact_on_profit_2000_rows[[#This Row],[order date]],"mmmm")</f>
        <v>July</v>
      </c>
      <c r="L335">
        <f>YEAR(discount_impact_on_profit_2000_rows[[#This Row],[order date]])</f>
        <v>2023</v>
      </c>
      <c r="M335" t="str">
        <f>IF(discount_impact_on_profit_2000_rows[[#This Row],[Discount %]]=0,"Zero Discount",IF(discount_impact_on_profit_2000_rows[[#This Row],[Discount %]]&lt;=10,"Low Discount","High Discount"))</f>
        <v>High Discount</v>
      </c>
      <c r="N335" t="str">
        <f t="shared" si="5"/>
        <v>20-30%</v>
      </c>
    </row>
    <row r="336" spans="1:14">
      <c r="A336" s="1">
        <v>45298</v>
      </c>
      <c r="B336" t="s">
        <v>398</v>
      </c>
      <c r="C336" t="s">
        <v>53</v>
      </c>
      <c r="D336" t="s">
        <v>70</v>
      </c>
      <c r="E336">
        <v>2639.59</v>
      </c>
      <c r="F336" t="s">
        <v>26</v>
      </c>
      <c r="G336">
        <v>4524.9399999999996</v>
      </c>
      <c r="H336">
        <v>1885.35</v>
      </c>
      <c r="I336">
        <v>25</v>
      </c>
      <c r="J336">
        <v>3</v>
      </c>
      <c r="K336" t="str">
        <f>TEXT(discount_impact_on_profit_2000_rows[[#This Row],[order date]],"mmmm")</f>
        <v>January</v>
      </c>
      <c r="L336">
        <f>YEAR(discount_impact_on_profit_2000_rows[[#This Row],[order date]])</f>
        <v>2024</v>
      </c>
      <c r="M336" t="str">
        <f>IF(discount_impact_on_profit_2000_rows[[#This Row],[Discount %]]=0,"Zero Discount",IF(discount_impact_on_profit_2000_rows[[#This Row],[Discount %]]&lt;=10,"Low Discount","High Discount"))</f>
        <v>High Discount</v>
      </c>
      <c r="N336" t="str">
        <f t="shared" si="5"/>
        <v>20-30%</v>
      </c>
    </row>
    <row r="337" spans="1:14">
      <c r="A337" s="1">
        <v>45386</v>
      </c>
      <c r="B337" t="s">
        <v>399</v>
      </c>
      <c r="C337" t="s">
        <v>15</v>
      </c>
      <c r="D337" t="s">
        <v>76</v>
      </c>
      <c r="E337">
        <v>7996.47</v>
      </c>
      <c r="F337" t="s">
        <v>26</v>
      </c>
      <c r="G337">
        <v>9926.8799999999992</v>
      </c>
      <c r="H337">
        <v>1930.41</v>
      </c>
      <c r="I337">
        <v>20</v>
      </c>
      <c r="J337">
        <v>8</v>
      </c>
      <c r="K337" t="str">
        <f>TEXT(discount_impact_on_profit_2000_rows[[#This Row],[order date]],"mmmm")</f>
        <v>April</v>
      </c>
      <c r="L337">
        <f>YEAR(discount_impact_on_profit_2000_rows[[#This Row],[order date]])</f>
        <v>2024</v>
      </c>
      <c r="M337" t="str">
        <f>IF(discount_impact_on_profit_2000_rows[[#This Row],[Discount %]]=0,"Zero Discount",IF(discount_impact_on_profit_2000_rows[[#This Row],[Discount %]]&lt;=10,"Low Discount","High Discount"))</f>
        <v>High Discount</v>
      </c>
      <c r="N337" t="str">
        <f t="shared" si="5"/>
        <v>10-20%</v>
      </c>
    </row>
    <row r="338" spans="1:14">
      <c r="A338" s="1">
        <v>45945</v>
      </c>
      <c r="B338" t="s">
        <v>400</v>
      </c>
      <c r="C338" t="s">
        <v>15</v>
      </c>
      <c r="D338" t="s">
        <v>99</v>
      </c>
      <c r="E338">
        <v>6710.14</v>
      </c>
      <c r="F338" t="s">
        <v>31</v>
      </c>
      <c r="G338">
        <v>9911.84</v>
      </c>
      <c r="H338">
        <v>3201.7</v>
      </c>
      <c r="I338">
        <v>0</v>
      </c>
      <c r="J338">
        <v>1</v>
      </c>
      <c r="K338" t="str">
        <f>TEXT(discount_impact_on_profit_2000_rows[[#This Row],[order date]],"mmmm")</f>
        <v>October</v>
      </c>
      <c r="L338">
        <f>YEAR(discount_impact_on_profit_2000_rows[[#This Row],[order date]])</f>
        <v>2025</v>
      </c>
      <c r="M338" t="str">
        <f>IF(discount_impact_on_profit_2000_rows[[#This Row],[Discount %]]=0,"Zero Discount",IF(discount_impact_on_profit_2000_rows[[#This Row],[Discount %]]&lt;=10,"Low Discount","High Discount"))</f>
        <v>Zero Discount</v>
      </c>
      <c r="N338" t="str">
        <f t="shared" si="5"/>
        <v>0-10%</v>
      </c>
    </row>
    <row r="339" spans="1:14">
      <c r="A339" s="1">
        <v>45010</v>
      </c>
      <c r="B339" t="s">
        <v>401</v>
      </c>
      <c r="C339" t="s">
        <v>11</v>
      </c>
      <c r="D339" t="s">
        <v>80</v>
      </c>
      <c r="E339">
        <v>254.65</v>
      </c>
      <c r="F339" t="s">
        <v>26</v>
      </c>
      <c r="G339">
        <v>451.98</v>
      </c>
      <c r="H339">
        <v>197.33</v>
      </c>
      <c r="I339">
        <v>15</v>
      </c>
      <c r="J339">
        <v>2</v>
      </c>
      <c r="K339" t="str">
        <f>TEXT(discount_impact_on_profit_2000_rows[[#This Row],[order date]],"mmmm")</f>
        <v>March</v>
      </c>
      <c r="L339">
        <f>YEAR(discount_impact_on_profit_2000_rows[[#This Row],[order date]])</f>
        <v>2023</v>
      </c>
      <c r="M339" t="str">
        <f>IF(discount_impact_on_profit_2000_rows[[#This Row],[Discount %]]=0,"Zero Discount",IF(discount_impact_on_profit_2000_rows[[#This Row],[Discount %]]&lt;=10,"Low Discount","High Discount"))</f>
        <v>High Discount</v>
      </c>
      <c r="N339" t="str">
        <f t="shared" si="5"/>
        <v>10-20%</v>
      </c>
    </row>
    <row r="340" spans="1:14">
      <c r="A340" s="1">
        <v>45820</v>
      </c>
      <c r="B340" t="s">
        <v>402</v>
      </c>
      <c r="C340" t="s">
        <v>21</v>
      </c>
      <c r="D340" t="s">
        <v>154</v>
      </c>
      <c r="E340">
        <v>1290.47</v>
      </c>
      <c r="F340" t="s">
        <v>26</v>
      </c>
      <c r="G340">
        <v>1903.64</v>
      </c>
      <c r="H340">
        <v>613.16999999999996</v>
      </c>
      <c r="I340">
        <v>0</v>
      </c>
      <c r="J340">
        <v>1</v>
      </c>
      <c r="K340" t="str">
        <f>TEXT(discount_impact_on_profit_2000_rows[[#This Row],[order date]],"mmmm")</f>
        <v>June</v>
      </c>
      <c r="L340">
        <f>YEAR(discount_impact_on_profit_2000_rows[[#This Row],[order date]])</f>
        <v>2025</v>
      </c>
      <c r="M340" t="str">
        <f>IF(discount_impact_on_profit_2000_rows[[#This Row],[Discount %]]=0,"Zero Discount",IF(discount_impact_on_profit_2000_rows[[#This Row],[Discount %]]&lt;=10,"Low Discount","High Discount"))</f>
        <v>Zero Discount</v>
      </c>
      <c r="N340" t="str">
        <f t="shared" si="5"/>
        <v>0-10%</v>
      </c>
    </row>
    <row r="341" spans="1:14">
      <c r="A341" s="1">
        <v>46006</v>
      </c>
      <c r="B341" t="s">
        <v>403</v>
      </c>
      <c r="C341" t="s">
        <v>33</v>
      </c>
      <c r="D341" t="s">
        <v>203</v>
      </c>
      <c r="E341">
        <v>6097.6</v>
      </c>
      <c r="F341" t="s">
        <v>31</v>
      </c>
      <c r="G341">
        <v>9013.15</v>
      </c>
      <c r="H341">
        <v>2915.55</v>
      </c>
      <c r="I341">
        <v>0</v>
      </c>
      <c r="J341">
        <v>2</v>
      </c>
      <c r="K341" t="str">
        <f>TEXT(discount_impact_on_profit_2000_rows[[#This Row],[order date]],"mmmm")</f>
        <v>December</v>
      </c>
      <c r="L341">
        <f>YEAR(discount_impact_on_profit_2000_rows[[#This Row],[order date]])</f>
        <v>2025</v>
      </c>
      <c r="M341" t="str">
        <f>IF(discount_impact_on_profit_2000_rows[[#This Row],[Discount %]]=0,"Zero Discount",IF(discount_impact_on_profit_2000_rows[[#This Row],[Discount %]]&lt;=10,"Low Discount","High Discount"))</f>
        <v>Zero Discount</v>
      </c>
      <c r="N341" t="str">
        <f t="shared" si="5"/>
        <v>0-10%</v>
      </c>
    </row>
    <row r="342" spans="1:14">
      <c r="A342" s="1">
        <v>45289</v>
      </c>
      <c r="B342" t="s">
        <v>404</v>
      </c>
      <c r="C342" t="s">
        <v>53</v>
      </c>
      <c r="D342" t="s">
        <v>70</v>
      </c>
      <c r="E342">
        <v>640.09</v>
      </c>
      <c r="F342" t="s">
        <v>31</v>
      </c>
      <c r="G342">
        <v>1095.45</v>
      </c>
      <c r="H342">
        <v>455.36</v>
      </c>
      <c r="I342">
        <v>5</v>
      </c>
      <c r="J342">
        <v>2</v>
      </c>
      <c r="K342" t="str">
        <f>TEXT(discount_impact_on_profit_2000_rows[[#This Row],[order date]],"mmmm")</f>
        <v>December</v>
      </c>
      <c r="L342">
        <f>YEAR(discount_impact_on_profit_2000_rows[[#This Row],[order date]])</f>
        <v>2023</v>
      </c>
      <c r="M342" t="str">
        <f>IF(discount_impact_on_profit_2000_rows[[#This Row],[Discount %]]=0,"Zero Discount",IF(discount_impact_on_profit_2000_rows[[#This Row],[Discount %]]&lt;=10,"Low Discount","High Discount"))</f>
        <v>Low Discount</v>
      </c>
      <c r="N342" t="str">
        <f t="shared" si="5"/>
        <v>0-10%</v>
      </c>
    </row>
    <row r="343" spans="1:14">
      <c r="A343" s="1">
        <v>45572</v>
      </c>
      <c r="B343" t="s">
        <v>405</v>
      </c>
      <c r="C343" t="s">
        <v>21</v>
      </c>
      <c r="D343" t="s">
        <v>109</v>
      </c>
      <c r="E343">
        <v>6634.58</v>
      </c>
      <c r="F343" t="s">
        <v>36</v>
      </c>
      <c r="G343">
        <v>9454.86</v>
      </c>
      <c r="H343">
        <v>2820.28</v>
      </c>
      <c r="I343">
        <v>5</v>
      </c>
      <c r="J343">
        <v>4</v>
      </c>
      <c r="K343" t="str">
        <f>TEXT(discount_impact_on_profit_2000_rows[[#This Row],[order date]],"mmmm")</f>
        <v>October</v>
      </c>
      <c r="L343">
        <f>YEAR(discount_impact_on_profit_2000_rows[[#This Row],[order date]])</f>
        <v>2024</v>
      </c>
      <c r="M343" t="str">
        <f>IF(discount_impact_on_profit_2000_rows[[#This Row],[Discount %]]=0,"Zero Discount",IF(discount_impact_on_profit_2000_rows[[#This Row],[Discount %]]&lt;=10,"Low Discount","High Discount"))</f>
        <v>Low Discount</v>
      </c>
      <c r="N343" t="str">
        <f t="shared" si="5"/>
        <v>0-10%</v>
      </c>
    </row>
    <row r="344" spans="1:14">
      <c r="A344" s="1">
        <v>45128</v>
      </c>
      <c r="B344" t="s">
        <v>406</v>
      </c>
      <c r="C344" t="s">
        <v>21</v>
      </c>
      <c r="D344" t="s">
        <v>154</v>
      </c>
      <c r="E344">
        <v>3332.43</v>
      </c>
      <c r="F344" t="s">
        <v>26</v>
      </c>
      <c r="G344">
        <v>3432.4</v>
      </c>
      <c r="H344">
        <v>99.97</v>
      </c>
      <c r="I344">
        <v>20</v>
      </c>
      <c r="J344">
        <v>1</v>
      </c>
      <c r="K344" t="str">
        <f>TEXT(discount_impact_on_profit_2000_rows[[#This Row],[order date]],"mmmm")</f>
        <v>July</v>
      </c>
      <c r="L344">
        <f>YEAR(discount_impact_on_profit_2000_rows[[#This Row],[order date]])</f>
        <v>2023</v>
      </c>
      <c r="M344" t="str">
        <f>IF(discount_impact_on_profit_2000_rows[[#This Row],[Discount %]]=0,"Zero Discount",IF(discount_impact_on_profit_2000_rows[[#This Row],[Discount %]]&lt;=10,"Low Discount","High Discount"))</f>
        <v>High Discount</v>
      </c>
      <c r="N344" t="str">
        <f t="shared" si="5"/>
        <v>10-20%</v>
      </c>
    </row>
    <row r="345" spans="1:14">
      <c r="A345" s="1">
        <v>45770</v>
      </c>
      <c r="B345" t="s">
        <v>407</v>
      </c>
      <c r="C345" t="s">
        <v>21</v>
      </c>
      <c r="D345" t="s">
        <v>57</v>
      </c>
      <c r="E345">
        <v>28402.03</v>
      </c>
      <c r="F345" t="s">
        <v>26</v>
      </c>
      <c r="G345">
        <v>28432</v>
      </c>
      <c r="H345">
        <v>29.97</v>
      </c>
      <c r="I345">
        <v>15</v>
      </c>
      <c r="J345">
        <v>4</v>
      </c>
      <c r="K345" t="str">
        <f>TEXT(discount_impact_on_profit_2000_rows[[#This Row],[order date]],"mmmm")</f>
        <v>April</v>
      </c>
      <c r="L345">
        <f>YEAR(discount_impact_on_profit_2000_rows[[#This Row],[order date]])</f>
        <v>2025</v>
      </c>
      <c r="M345" t="str">
        <f>IF(discount_impact_on_profit_2000_rows[[#This Row],[Discount %]]=0,"Zero Discount",IF(discount_impact_on_profit_2000_rows[[#This Row],[Discount %]]&lt;=10,"Low Discount","High Discount"))</f>
        <v>High Discount</v>
      </c>
      <c r="N345" t="str">
        <f t="shared" si="5"/>
        <v>10-20%</v>
      </c>
    </row>
    <row r="346" spans="1:14">
      <c r="A346" s="1">
        <v>45208</v>
      </c>
      <c r="B346" t="s">
        <v>408</v>
      </c>
      <c r="C346" t="s">
        <v>53</v>
      </c>
      <c r="D346" t="s">
        <v>152</v>
      </c>
      <c r="E346">
        <v>360</v>
      </c>
      <c r="F346" t="s">
        <v>36</v>
      </c>
      <c r="G346">
        <v>596.08000000000004</v>
      </c>
      <c r="H346">
        <v>236.08</v>
      </c>
      <c r="I346">
        <v>0</v>
      </c>
      <c r="J346">
        <v>1</v>
      </c>
      <c r="K346" t="str">
        <f>TEXT(discount_impact_on_profit_2000_rows[[#This Row],[order date]],"mmmm")</f>
        <v>October</v>
      </c>
      <c r="L346">
        <f>YEAR(discount_impact_on_profit_2000_rows[[#This Row],[order date]])</f>
        <v>2023</v>
      </c>
      <c r="M346" t="str">
        <f>IF(discount_impact_on_profit_2000_rows[[#This Row],[Discount %]]=0,"Zero Discount",IF(discount_impact_on_profit_2000_rows[[#This Row],[Discount %]]&lt;=10,"Low Discount","High Discount"))</f>
        <v>Zero Discount</v>
      </c>
      <c r="N346" t="str">
        <f t="shared" si="5"/>
        <v>0-10%</v>
      </c>
    </row>
    <row r="347" spans="1:14">
      <c r="A347" s="1">
        <v>45753</v>
      </c>
      <c r="B347" t="s">
        <v>409</v>
      </c>
      <c r="C347" t="s">
        <v>33</v>
      </c>
      <c r="D347" t="s">
        <v>102</v>
      </c>
      <c r="E347">
        <v>6238.79</v>
      </c>
      <c r="F347" t="s">
        <v>36</v>
      </c>
      <c r="G347">
        <v>7065.45</v>
      </c>
      <c r="H347">
        <v>826.66</v>
      </c>
      <c r="I347">
        <v>15</v>
      </c>
      <c r="J347">
        <v>1</v>
      </c>
      <c r="K347" t="str">
        <f>TEXT(discount_impact_on_profit_2000_rows[[#This Row],[order date]],"mmmm")</f>
        <v>April</v>
      </c>
      <c r="L347">
        <f>YEAR(discount_impact_on_profit_2000_rows[[#This Row],[order date]])</f>
        <v>2025</v>
      </c>
      <c r="M347" t="str">
        <f>IF(discount_impact_on_profit_2000_rows[[#This Row],[Discount %]]=0,"Zero Discount",IF(discount_impact_on_profit_2000_rows[[#This Row],[Discount %]]&lt;=10,"Low Discount","High Discount"))</f>
        <v>High Discount</v>
      </c>
      <c r="N347" t="str">
        <f t="shared" si="5"/>
        <v>10-20%</v>
      </c>
    </row>
    <row r="348" spans="1:14">
      <c r="A348" s="1">
        <v>45686</v>
      </c>
      <c r="B348" t="s">
        <v>410</v>
      </c>
      <c r="C348" t="s">
        <v>33</v>
      </c>
      <c r="D348" t="s">
        <v>102</v>
      </c>
      <c r="E348">
        <v>8376.56</v>
      </c>
      <c r="F348" t="s">
        <v>26</v>
      </c>
      <c r="G348">
        <v>10205.76</v>
      </c>
      <c r="H348">
        <v>1829.2</v>
      </c>
      <c r="I348">
        <v>5</v>
      </c>
      <c r="J348">
        <v>5</v>
      </c>
      <c r="K348" t="str">
        <f>TEXT(discount_impact_on_profit_2000_rows[[#This Row],[order date]],"mmmm")</f>
        <v>January</v>
      </c>
      <c r="L348">
        <f>YEAR(discount_impact_on_profit_2000_rows[[#This Row],[order date]])</f>
        <v>2025</v>
      </c>
      <c r="M348" t="str">
        <f>IF(discount_impact_on_profit_2000_rows[[#This Row],[Discount %]]=0,"Zero Discount",IF(discount_impact_on_profit_2000_rows[[#This Row],[Discount %]]&lt;=10,"Low Discount","High Discount"))</f>
        <v>Low Discount</v>
      </c>
      <c r="N348" t="str">
        <f t="shared" si="5"/>
        <v>0-10%</v>
      </c>
    </row>
    <row r="349" spans="1:14">
      <c r="A349" s="1">
        <v>44949</v>
      </c>
      <c r="B349" t="s">
        <v>411</v>
      </c>
      <c r="C349" t="s">
        <v>15</v>
      </c>
      <c r="D349" t="s">
        <v>28</v>
      </c>
      <c r="E349">
        <v>4111.7</v>
      </c>
      <c r="F349" t="s">
        <v>36</v>
      </c>
      <c r="G349">
        <v>4681.75</v>
      </c>
      <c r="H349">
        <v>570.04999999999995</v>
      </c>
      <c r="I349">
        <v>10</v>
      </c>
      <c r="J349">
        <v>4</v>
      </c>
      <c r="K349" t="str">
        <f>TEXT(discount_impact_on_profit_2000_rows[[#This Row],[order date]],"mmmm")</f>
        <v>January</v>
      </c>
      <c r="L349">
        <f>YEAR(discount_impact_on_profit_2000_rows[[#This Row],[order date]])</f>
        <v>2023</v>
      </c>
      <c r="M349" t="str">
        <f>IF(discount_impact_on_profit_2000_rows[[#This Row],[Discount %]]=0,"Zero Discount",IF(discount_impact_on_profit_2000_rows[[#This Row],[Discount %]]&lt;=10,"Low Discount","High Discount"))</f>
        <v>Low Discount</v>
      </c>
      <c r="N349" t="str">
        <f t="shared" si="5"/>
        <v>0-10%</v>
      </c>
    </row>
    <row r="350" spans="1:14">
      <c r="A350" s="1">
        <v>45188</v>
      </c>
      <c r="B350" t="s">
        <v>412</v>
      </c>
      <c r="C350" t="s">
        <v>15</v>
      </c>
      <c r="D350" t="s">
        <v>99</v>
      </c>
      <c r="E350">
        <v>11388.21</v>
      </c>
      <c r="F350" t="s">
        <v>23</v>
      </c>
      <c r="G350">
        <v>15641.63</v>
      </c>
      <c r="H350">
        <v>4253.42</v>
      </c>
      <c r="I350">
        <v>10</v>
      </c>
      <c r="J350">
        <v>2</v>
      </c>
      <c r="K350" t="str">
        <f>TEXT(discount_impact_on_profit_2000_rows[[#This Row],[order date]],"mmmm")</f>
        <v>September</v>
      </c>
      <c r="L350">
        <f>YEAR(discount_impact_on_profit_2000_rows[[#This Row],[order date]])</f>
        <v>2023</v>
      </c>
      <c r="M350" t="str">
        <f>IF(discount_impact_on_profit_2000_rows[[#This Row],[Discount %]]=0,"Zero Discount",IF(discount_impact_on_profit_2000_rows[[#This Row],[Discount %]]&lt;=10,"Low Discount","High Discount"))</f>
        <v>Low Discount</v>
      </c>
      <c r="N350" t="str">
        <f t="shared" si="5"/>
        <v>0-10%</v>
      </c>
    </row>
    <row r="351" spans="1:14">
      <c r="A351" s="1">
        <v>46010</v>
      </c>
      <c r="B351" t="s">
        <v>413</v>
      </c>
      <c r="C351" t="s">
        <v>53</v>
      </c>
      <c r="D351" t="s">
        <v>152</v>
      </c>
      <c r="E351">
        <v>643.29</v>
      </c>
      <c r="F351" t="s">
        <v>36</v>
      </c>
      <c r="G351">
        <v>912.79</v>
      </c>
      <c r="H351">
        <v>269.5</v>
      </c>
      <c r="I351">
        <v>10</v>
      </c>
      <c r="J351">
        <v>1</v>
      </c>
      <c r="K351" t="str">
        <f>TEXT(discount_impact_on_profit_2000_rows[[#This Row],[order date]],"mmmm")</f>
        <v>December</v>
      </c>
      <c r="L351">
        <f>YEAR(discount_impact_on_profit_2000_rows[[#This Row],[order date]])</f>
        <v>2025</v>
      </c>
      <c r="M351" t="str">
        <f>IF(discount_impact_on_profit_2000_rows[[#This Row],[Discount %]]=0,"Zero Discount",IF(discount_impact_on_profit_2000_rows[[#This Row],[Discount %]]&lt;=10,"Low Discount","High Discount"))</f>
        <v>Low Discount</v>
      </c>
      <c r="N351" t="str">
        <f t="shared" si="5"/>
        <v>0-10%</v>
      </c>
    </row>
    <row r="352" spans="1:14">
      <c r="A352" s="1">
        <v>45815</v>
      </c>
      <c r="B352" t="s">
        <v>414</v>
      </c>
      <c r="C352" t="s">
        <v>11</v>
      </c>
      <c r="D352" t="s">
        <v>80</v>
      </c>
      <c r="E352">
        <v>3433.89</v>
      </c>
      <c r="F352" t="s">
        <v>36</v>
      </c>
      <c r="G352">
        <v>8277.9699999999993</v>
      </c>
      <c r="H352">
        <v>4844.08</v>
      </c>
      <c r="I352">
        <v>0</v>
      </c>
      <c r="J352">
        <v>5</v>
      </c>
      <c r="K352" t="str">
        <f>TEXT(discount_impact_on_profit_2000_rows[[#This Row],[order date]],"mmmm")</f>
        <v>June</v>
      </c>
      <c r="L352">
        <f>YEAR(discount_impact_on_profit_2000_rows[[#This Row],[order date]])</f>
        <v>2025</v>
      </c>
      <c r="M352" t="str">
        <f>IF(discount_impact_on_profit_2000_rows[[#This Row],[Discount %]]=0,"Zero Discount",IF(discount_impact_on_profit_2000_rows[[#This Row],[Discount %]]&lt;=10,"Low Discount","High Discount"))</f>
        <v>Zero Discount</v>
      </c>
      <c r="N352" t="str">
        <f t="shared" si="5"/>
        <v>0-10%</v>
      </c>
    </row>
    <row r="353" spans="1:14">
      <c r="A353" s="1">
        <v>45832</v>
      </c>
      <c r="B353" t="s">
        <v>415</v>
      </c>
      <c r="C353" t="s">
        <v>33</v>
      </c>
      <c r="D353" t="s">
        <v>102</v>
      </c>
      <c r="E353">
        <v>28467.79</v>
      </c>
      <c r="F353" t="s">
        <v>26</v>
      </c>
      <c r="G353">
        <v>37272.910000000003</v>
      </c>
      <c r="H353">
        <v>8805.1200000000008</v>
      </c>
      <c r="I353">
        <v>5</v>
      </c>
      <c r="J353">
        <v>6</v>
      </c>
      <c r="K353" t="str">
        <f>TEXT(discount_impact_on_profit_2000_rows[[#This Row],[order date]],"mmmm")</f>
        <v>June</v>
      </c>
      <c r="L353">
        <f>YEAR(discount_impact_on_profit_2000_rows[[#This Row],[order date]])</f>
        <v>2025</v>
      </c>
      <c r="M353" t="str">
        <f>IF(discount_impact_on_profit_2000_rows[[#This Row],[Discount %]]=0,"Zero Discount",IF(discount_impact_on_profit_2000_rows[[#This Row],[Discount %]]&lt;=10,"Low Discount","High Discount"))</f>
        <v>Low Discount</v>
      </c>
      <c r="N353" t="str">
        <f t="shared" si="5"/>
        <v>0-10%</v>
      </c>
    </row>
    <row r="354" spans="1:14">
      <c r="A354" s="1">
        <v>45677</v>
      </c>
      <c r="B354" t="s">
        <v>416</v>
      </c>
      <c r="C354" t="s">
        <v>33</v>
      </c>
      <c r="D354" t="s">
        <v>34</v>
      </c>
      <c r="E354">
        <v>9101.3799999999992</v>
      </c>
      <c r="F354" t="s">
        <v>13</v>
      </c>
      <c r="G354">
        <v>12218.92</v>
      </c>
      <c r="H354">
        <v>3117.54</v>
      </c>
      <c r="I354">
        <v>0</v>
      </c>
      <c r="J354">
        <v>5</v>
      </c>
      <c r="K354" t="str">
        <f>TEXT(discount_impact_on_profit_2000_rows[[#This Row],[order date]],"mmmm")</f>
        <v>January</v>
      </c>
      <c r="L354">
        <f>YEAR(discount_impact_on_profit_2000_rows[[#This Row],[order date]])</f>
        <v>2025</v>
      </c>
      <c r="M354" t="str">
        <f>IF(discount_impact_on_profit_2000_rows[[#This Row],[Discount %]]=0,"Zero Discount",IF(discount_impact_on_profit_2000_rows[[#This Row],[Discount %]]&lt;=10,"Low Discount","High Discount"))</f>
        <v>Zero Discount</v>
      </c>
      <c r="N354" t="str">
        <f t="shared" si="5"/>
        <v>0-10%</v>
      </c>
    </row>
    <row r="355" spans="1:14">
      <c r="A355" s="1">
        <v>45952</v>
      </c>
      <c r="B355" t="s">
        <v>417</v>
      </c>
      <c r="C355" t="s">
        <v>15</v>
      </c>
      <c r="D355" t="s">
        <v>86</v>
      </c>
      <c r="E355">
        <v>5752.68</v>
      </c>
      <c r="F355" t="s">
        <v>36</v>
      </c>
      <c r="G355">
        <v>5765.58</v>
      </c>
      <c r="H355">
        <v>12.9</v>
      </c>
      <c r="I355">
        <v>19</v>
      </c>
      <c r="J355">
        <v>2</v>
      </c>
      <c r="K355" t="str">
        <f>TEXT(discount_impact_on_profit_2000_rows[[#This Row],[order date]],"mmmm")</f>
        <v>October</v>
      </c>
      <c r="L355">
        <f>YEAR(discount_impact_on_profit_2000_rows[[#This Row],[order date]])</f>
        <v>2025</v>
      </c>
      <c r="M355" t="str">
        <f>IF(discount_impact_on_profit_2000_rows[[#This Row],[Discount %]]=0,"Zero Discount",IF(discount_impact_on_profit_2000_rows[[#This Row],[Discount %]]&lt;=10,"Low Discount","High Discount"))</f>
        <v>High Discount</v>
      </c>
      <c r="N355" t="str">
        <f t="shared" si="5"/>
        <v>10-20%</v>
      </c>
    </row>
    <row r="356" spans="1:14">
      <c r="A356" s="1">
        <v>45227</v>
      </c>
      <c r="B356" t="s">
        <v>418</v>
      </c>
      <c r="C356" t="s">
        <v>53</v>
      </c>
      <c r="D356" t="s">
        <v>70</v>
      </c>
      <c r="E356">
        <v>17156.05</v>
      </c>
      <c r="F356" t="s">
        <v>36</v>
      </c>
      <c r="G356">
        <v>20427.349999999999</v>
      </c>
      <c r="H356">
        <v>3271.3</v>
      </c>
      <c r="I356">
        <v>25</v>
      </c>
      <c r="J356">
        <v>6</v>
      </c>
      <c r="K356" t="str">
        <f>TEXT(discount_impact_on_profit_2000_rows[[#This Row],[order date]],"mmmm")</f>
        <v>October</v>
      </c>
      <c r="L356">
        <f>YEAR(discount_impact_on_profit_2000_rows[[#This Row],[order date]])</f>
        <v>2023</v>
      </c>
      <c r="M356" t="str">
        <f>IF(discount_impact_on_profit_2000_rows[[#This Row],[Discount %]]=0,"Zero Discount",IF(discount_impact_on_profit_2000_rows[[#This Row],[Discount %]]&lt;=10,"Low Discount","High Discount"))</f>
        <v>High Discount</v>
      </c>
      <c r="N356" t="str">
        <f t="shared" si="5"/>
        <v>20-30%</v>
      </c>
    </row>
    <row r="357" spans="1:14">
      <c r="A357" s="1">
        <v>45417</v>
      </c>
      <c r="B357" t="s">
        <v>419</v>
      </c>
      <c r="C357" t="s">
        <v>15</v>
      </c>
      <c r="D357" t="s">
        <v>76</v>
      </c>
      <c r="E357">
        <v>4745.3999999999996</v>
      </c>
      <c r="F357" t="s">
        <v>23</v>
      </c>
      <c r="G357">
        <v>5464.35</v>
      </c>
      <c r="H357">
        <v>718.95</v>
      </c>
      <c r="I357">
        <v>10</v>
      </c>
      <c r="J357">
        <v>3</v>
      </c>
      <c r="K357" t="str">
        <f>TEXT(discount_impact_on_profit_2000_rows[[#This Row],[order date]],"mmmm")</f>
        <v>May</v>
      </c>
      <c r="L357">
        <f>YEAR(discount_impact_on_profit_2000_rows[[#This Row],[order date]])</f>
        <v>2024</v>
      </c>
      <c r="M357" t="str">
        <f>IF(discount_impact_on_profit_2000_rows[[#This Row],[Discount %]]=0,"Zero Discount",IF(discount_impact_on_profit_2000_rows[[#This Row],[Discount %]]&lt;=10,"Low Discount","High Discount"))</f>
        <v>Low Discount</v>
      </c>
      <c r="N357" t="str">
        <f t="shared" si="5"/>
        <v>0-10%</v>
      </c>
    </row>
    <row r="358" spans="1:14">
      <c r="A358" s="1">
        <v>45295</v>
      </c>
      <c r="B358" t="s">
        <v>420</v>
      </c>
      <c r="C358" t="s">
        <v>33</v>
      </c>
      <c r="D358" t="s">
        <v>34</v>
      </c>
      <c r="E358">
        <v>14375.21</v>
      </c>
      <c r="F358" t="s">
        <v>36</v>
      </c>
      <c r="G358">
        <v>14376.28</v>
      </c>
      <c r="H358">
        <v>1.07</v>
      </c>
      <c r="I358">
        <v>24</v>
      </c>
      <c r="J358">
        <v>2</v>
      </c>
      <c r="K358" t="str">
        <f>TEXT(discount_impact_on_profit_2000_rows[[#This Row],[order date]],"mmmm")</f>
        <v>January</v>
      </c>
      <c r="L358">
        <f>YEAR(discount_impact_on_profit_2000_rows[[#This Row],[order date]])</f>
        <v>2024</v>
      </c>
      <c r="M358" t="str">
        <f>IF(discount_impact_on_profit_2000_rows[[#This Row],[Discount %]]=0,"Zero Discount",IF(discount_impact_on_profit_2000_rows[[#This Row],[Discount %]]&lt;=10,"Low Discount","High Discount"))</f>
        <v>High Discount</v>
      </c>
      <c r="N358" t="str">
        <f t="shared" si="5"/>
        <v>20-30%</v>
      </c>
    </row>
    <row r="359" spans="1:14">
      <c r="A359" s="1">
        <v>45064</v>
      </c>
      <c r="B359" t="s">
        <v>421</v>
      </c>
      <c r="C359" t="s">
        <v>15</v>
      </c>
      <c r="D359" t="s">
        <v>86</v>
      </c>
      <c r="E359">
        <v>9178.1</v>
      </c>
      <c r="F359" t="s">
        <v>31</v>
      </c>
      <c r="G359">
        <v>10061.99</v>
      </c>
      <c r="H359">
        <v>883.89</v>
      </c>
      <c r="I359">
        <v>15</v>
      </c>
      <c r="J359">
        <v>1</v>
      </c>
      <c r="K359" t="str">
        <f>TEXT(discount_impact_on_profit_2000_rows[[#This Row],[order date]],"mmmm")</f>
        <v>May</v>
      </c>
      <c r="L359">
        <f>YEAR(discount_impact_on_profit_2000_rows[[#This Row],[order date]])</f>
        <v>2023</v>
      </c>
      <c r="M359" t="str">
        <f>IF(discount_impact_on_profit_2000_rows[[#This Row],[Discount %]]=0,"Zero Discount",IF(discount_impact_on_profit_2000_rows[[#This Row],[Discount %]]&lt;=10,"Low Discount","High Discount"))</f>
        <v>High Discount</v>
      </c>
      <c r="N359" t="str">
        <f t="shared" si="5"/>
        <v>10-20%</v>
      </c>
    </row>
    <row r="360" spans="1:14">
      <c r="A360" s="1">
        <v>45910</v>
      </c>
      <c r="B360" t="s">
        <v>422</v>
      </c>
      <c r="C360" t="s">
        <v>11</v>
      </c>
      <c r="D360" t="s">
        <v>25</v>
      </c>
      <c r="E360">
        <v>908.67</v>
      </c>
      <c r="F360" t="s">
        <v>31</v>
      </c>
      <c r="G360">
        <v>2080.5</v>
      </c>
      <c r="H360">
        <v>1171.83</v>
      </c>
      <c r="I360">
        <v>0</v>
      </c>
      <c r="J360">
        <v>1</v>
      </c>
      <c r="K360" t="str">
        <f>TEXT(discount_impact_on_profit_2000_rows[[#This Row],[order date]],"mmmm")</f>
        <v>September</v>
      </c>
      <c r="L360">
        <f>YEAR(discount_impact_on_profit_2000_rows[[#This Row],[order date]])</f>
        <v>2025</v>
      </c>
      <c r="M360" t="str">
        <f>IF(discount_impact_on_profit_2000_rows[[#This Row],[Discount %]]=0,"Zero Discount",IF(discount_impact_on_profit_2000_rows[[#This Row],[Discount %]]&lt;=10,"Low Discount","High Discount"))</f>
        <v>Zero Discount</v>
      </c>
      <c r="N360" t="str">
        <f t="shared" si="5"/>
        <v>0-10%</v>
      </c>
    </row>
    <row r="361" spans="1:14">
      <c r="A361" s="1">
        <v>45052</v>
      </c>
      <c r="B361" t="s">
        <v>423</v>
      </c>
      <c r="C361" t="s">
        <v>53</v>
      </c>
      <c r="D361" t="s">
        <v>78</v>
      </c>
      <c r="E361">
        <v>6992.93</v>
      </c>
      <c r="F361" t="s">
        <v>23</v>
      </c>
      <c r="G361">
        <v>10549.49</v>
      </c>
      <c r="H361">
        <v>3556.56</v>
      </c>
      <c r="I361">
        <v>0</v>
      </c>
      <c r="J361">
        <v>3</v>
      </c>
      <c r="K361" t="str">
        <f>TEXT(discount_impact_on_profit_2000_rows[[#This Row],[order date]],"mmmm")</f>
        <v>May</v>
      </c>
      <c r="L361">
        <f>YEAR(discount_impact_on_profit_2000_rows[[#This Row],[order date]])</f>
        <v>2023</v>
      </c>
      <c r="M361" t="str">
        <f>IF(discount_impact_on_profit_2000_rows[[#This Row],[Discount %]]=0,"Zero Discount",IF(discount_impact_on_profit_2000_rows[[#This Row],[Discount %]]&lt;=10,"Low Discount","High Discount"))</f>
        <v>Zero Discount</v>
      </c>
      <c r="N361" t="str">
        <f t="shared" si="5"/>
        <v>0-10%</v>
      </c>
    </row>
    <row r="362" spans="1:14">
      <c r="A362" s="1">
        <v>45709</v>
      </c>
      <c r="B362" t="s">
        <v>424</v>
      </c>
      <c r="C362" t="s">
        <v>21</v>
      </c>
      <c r="D362" t="s">
        <v>57</v>
      </c>
      <c r="E362">
        <v>10116.81</v>
      </c>
      <c r="F362" t="s">
        <v>26</v>
      </c>
      <c r="G362">
        <v>11177.34</v>
      </c>
      <c r="H362">
        <v>1060.53</v>
      </c>
      <c r="I362">
        <v>25</v>
      </c>
      <c r="J362">
        <v>1</v>
      </c>
      <c r="K362" t="str">
        <f>TEXT(discount_impact_on_profit_2000_rows[[#This Row],[order date]],"mmmm")</f>
        <v>February</v>
      </c>
      <c r="L362">
        <f>YEAR(discount_impact_on_profit_2000_rows[[#This Row],[order date]])</f>
        <v>2025</v>
      </c>
      <c r="M362" t="str">
        <f>IF(discount_impact_on_profit_2000_rows[[#This Row],[Discount %]]=0,"Zero Discount",IF(discount_impact_on_profit_2000_rows[[#This Row],[Discount %]]&lt;=10,"Low Discount","High Discount"))</f>
        <v>High Discount</v>
      </c>
      <c r="N362" t="str">
        <f t="shared" si="5"/>
        <v>20-30%</v>
      </c>
    </row>
    <row r="363" spans="1:14">
      <c r="A363" s="1">
        <v>45014</v>
      </c>
      <c r="B363" t="s">
        <v>425</v>
      </c>
      <c r="C363" t="s">
        <v>15</v>
      </c>
      <c r="D363" t="s">
        <v>86</v>
      </c>
      <c r="E363">
        <v>21682.81</v>
      </c>
      <c r="F363" t="s">
        <v>31</v>
      </c>
      <c r="G363">
        <v>26552.59</v>
      </c>
      <c r="H363">
        <v>4869.78</v>
      </c>
      <c r="I363">
        <v>15</v>
      </c>
      <c r="J363">
        <v>4</v>
      </c>
      <c r="K363" t="str">
        <f>TEXT(discount_impact_on_profit_2000_rows[[#This Row],[order date]],"mmmm")</f>
        <v>March</v>
      </c>
      <c r="L363">
        <f>YEAR(discount_impact_on_profit_2000_rows[[#This Row],[order date]])</f>
        <v>2023</v>
      </c>
      <c r="M363" t="str">
        <f>IF(discount_impact_on_profit_2000_rows[[#This Row],[Discount %]]=0,"Zero Discount",IF(discount_impact_on_profit_2000_rows[[#This Row],[Discount %]]&lt;=10,"Low Discount","High Discount"))</f>
        <v>High Discount</v>
      </c>
      <c r="N363" t="str">
        <f t="shared" si="5"/>
        <v>10-20%</v>
      </c>
    </row>
    <row r="364" spans="1:14">
      <c r="A364" s="1">
        <v>45012</v>
      </c>
      <c r="B364" t="s">
        <v>426</v>
      </c>
      <c r="C364" t="s">
        <v>21</v>
      </c>
      <c r="D364" t="s">
        <v>154</v>
      </c>
      <c r="E364">
        <v>2508.9499999999998</v>
      </c>
      <c r="F364" t="s">
        <v>13</v>
      </c>
      <c r="G364">
        <v>2754.46</v>
      </c>
      <c r="H364">
        <v>245.51</v>
      </c>
      <c r="I364">
        <v>20</v>
      </c>
      <c r="J364">
        <v>2</v>
      </c>
      <c r="K364" t="str">
        <f>TEXT(discount_impact_on_profit_2000_rows[[#This Row],[order date]],"mmmm")</f>
        <v>March</v>
      </c>
      <c r="L364">
        <f>YEAR(discount_impact_on_profit_2000_rows[[#This Row],[order date]])</f>
        <v>2023</v>
      </c>
      <c r="M364" t="str">
        <f>IF(discount_impact_on_profit_2000_rows[[#This Row],[Discount %]]=0,"Zero Discount",IF(discount_impact_on_profit_2000_rows[[#This Row],[Discount %]]&lt;=10,"Low Discount","High Discount"))</f>
        <v>High Discount</v>
      </c>
      <c r="N364" t="str">
        <f t="shared" si="5"/>
        <v>10-20%</v>
      </c>
    </row>
    <row r="365" spans="1:14">
      <c r="A365" s="1">
        <v>45207</v>
      </c>
      <c r="B365" t="s">
        <v>427</v>
      </c>
      <c r="C365" t="s">
        <v>11</v>
      </c>
      <c r="D365" t="s">
        <v>207</v>
      </c>
      <c r="E365">
        <v>5525.01</v>
      </c>
      <c r="F365" t="s">
        <v>26</v>
      </c>
      <c r="G365">
        <v>10928.8</v>
      </c>
      <c r="H365">
        <v>5403.79</v>
      </c>
      <c r="I365">
        <v>0</v>
      </c>
      <c r="J365">
        <v>4</v>
      </c>
      <c r="K365" t="str">
        <f>TEXT(discount_impact_on_profit_2000_rows[[#This Row],[order date]],"mmmm")</f>
        <v>October</v>
      </c>
      <c r="L365">
        <f>YEAR(discount_impact_on_profit_2000_rows[[#This Row],[order date]])</f>
        <v>2023</v>
      </c>
      <c r="M365" t="str">
        <f>IF(discount_impact_on_profit_2000_rows[[#This Row],[Discount %]]=0,"Zero Discount",IF(discount_impact_on_profit_2000_rows[[#This Row],[Discount %]]&lt;=10,"Low Discount","High Discount"))</f>
        <v>Zero Discount</v>
      </c>
      <c r="N365" t="str">
        <f t="shared" si="5"/>
        <v>0-10%</v>
      </c>
    </row>
    <row r="366" spans="1:14">
      <c r="A366" s="1">
        <v>45945</v>
      </c>
      <c r="B366" t="s">
        <v>428</v>
      </c>
      <c r="C366" t="s">
        <v>18</v>
      </c>
      <c r="D366" t="s">
        <v>104</v>
      </c>
      <c r="E366">
        <v>1175.76</v>
      </c>
      <c r="F366" t="s">
        <v>26</v>
      </c>
      <c r="G366">
        <v>2088.17</v>
      </c>
      <c r="H366">
        <v>912.41</v>
      </c>
      <c r="I366">
        <v>10</v>
      </c>
      <c r="J366">
        <v>3</v>
      </c>
      <c r="K366" t="str">
        <f>TEXT(discount_impact_on_profit_2000_rows[[#This Row],[order date]],"mmmm")</f>
        <v>October</v>
      </c>
      <c r="L366">
        <f>YEAR(discount_impact_on_profit_2000_rows[[#This Row],[order date]])</f>
        <v>2025</v>
      </c>
      <c r="M366" t="str">
        <f>IF(discount_impact_on_profit_2000_rows[[#This Row],[Discount %]]=0,"Zero Discount",IF(discount_impact_on_profit_2000_rows[[#This Row],[Discount %]]&lt;=10,"Low Discount","High Discount"))</f>
        <v>Low Discount</v>
      </c>
      <c r="N366" t="str">
        <f t="shared" si="5"/>
        <v>0-10%</v>
      </c>
    </row>
    <row r="367" spans="1:14">
      <c r="A367" s="1">
        <v>45847</v>
      </c>
      <c r="B367" t="s">
        <v>429</v>
      </c>
      <c r="C367" t="s">
        <v>33</v>
      </c>
      <c r="D367" t="s">
        <v>92</v>
      </c>
      <c r="E367">
        <v>1717.12</v>
      </c>
      <c r="F367" t="s">
        <v>31</v>
      </c>
      <c r="G367">
        <v>2364.88</v>
      </c>
      <c r="H367">
        <v>647.76</v>
      </c>
      <c r="I367">
        <v>20</v>
      </c>
      <c r="J367">
        <v>1</v>
      </c>
      <c r="K367" t="str">
        <f>TEXT(discount_impact_on_profit_2000_rows[[#This Row],[order date]],"mmmm")</f>
        <v>July</v>
      </c>
      <c r="L367">
        <f>YEAR(discount_impact_on_profit_2000_rows[[#This Row],[order date]])</f>
        <v>2025</v>
      </c>
      <c r="M367" t="str">
        <f>IF(discount_impact_on_profit_2000_rows[[#This Row],[Discount %]]=0,"Zero Discount",IF(discount_impact_on_profit_2000_rows[[#This Row],[Discount %]]&lt;=10,"Low Discount","High Discount"))</f>
        <v>High Discount</v>
      </c>
      <c r="N367" t="str">
        <f t="shared" si="5"/>
        <v>10-20%</v>
      </c>
    </row>
    <row r="368" spans="1:14">
      <c r="A368" s="1">
        <v>45966</v>
      </c>
      <c r="B368" t="s">
        <v>430</v>
      </c>
      <c r="C368" t="s">
        <v>21</v>
      </c>
      <c r="D368" t="s">
        <v>46</v>
      </c>
      <c r="E368">
        <v>13722.47</v>
      </c>
      <c r="F368" t="s">
        <v>26</v>
      </c>
      <c r="G368">
        <v>17044.72</v>
      </c>
      <c r="H368">
        <v>3322.25</v>
      </c>
      <c r="I368">
        <v>10</v>
      </c>
      <c r="J368">
        <v>3</v>
      </c>
      <c r="K368" t="str">
        <f>TEXT(discount_impact_on_profit_2000_rows[[#This Row],[order date]],"mmmm")</f>
        <v>November</v>
      </c>
      <c r="L368">
        <f>YEAR(discount_impact_on_profit_2000_rows[[#This Row],[order date]])</f>
        <v>2025</v>
      </c>
      <c r="M368" t="str">
        <f>IF(discount_impact_on_profit_2000_rows[[#This Row],[Discount %]]=0,"Zero Discount",IF(discount_impact_on_profit_2000_rows[[#This Row],[Discount %]]&lt;=10,"Low Discount","High Discount"))</f>
        <v>Low Discount</v>
      </c>
      <c r="N368" t="str">
        <f t="shared" si="5"/>
        <v>0-10%</v>
      </c>
    </row>
    <row r="369" spans="1:14">
      <c r="A369" s="1">
        <v>45579</v>
      </c>
      <c r="B369" t="s">
        <v>431</v>
      </c>
      <c r="C369" t="s">
        <v>11</v>
      </c>
      <c r="D369" t="s">
        <v>80</v>
      </c>
      <c r="E369">
        <v>4586.04</v>
      </c>
      <c r="F369" t="s">
        <v>23</v>
      </c>
      <c r="G369">
        <v>5478.38</v>
      </c>
      <c r="H369">
        <v>892.34</v>
      </c>
      <c r="I369">
        <v>30</v>
      </c>
      <c r="J369">
        <v>2</v>
      </c>
      <c r="K369" t="str">
        <f>TEXT(discount_impact_on_profit_2000_rows[[#This Row],[order date]],"mmmm")</f>
        <v>October</v>
      </c>
      <c r="L369">
        <f>YEAR(discount_impact_on_profit_2000_rows[[#This Row],[order date]])</f>
        <v>2024</v>
      </c>
      <c r="M369" t="str">
        <f>IF(discount_impact_on_profit_2000_rows[[#This Row],[Discount %]]=0,"Zero Discount",IF(discount_impact_on_profit_2000_rows[[#This Row],[Discount %]]&lt;=10,"Low Discount","High Discount"))</f>
        <v>High Discount</v>
      </c>
      <c r="N369" t="str">
        <f t="shared" si="5"/>
        <v>20-30%</v>
      </c>
    </row>
    <row r="370" spans="1:14">
      <c r="A370" s="1">
        <v>45622</v>
      </c>
      <c r="B370" t="s">
        <v>432</v>
      </c>
      <c r="C370" t="s">
        <v>33</v>
      </c>
      <c r="D370" t="s">
        <v>92</v>
      </c>
      <c r="E370">
        <v>28181.040000000001</v>
      </c>
      <c r="F370" t="s">
        <v>31</v>
      </c>
      <c r="G370">
        <v>33550.050000000003</v>
      </c>
      <c r="H370">
        <v>5369.01</v>
      </c>
      <c r="I370">
        <v>10</v>
      </c>
      <c r="J370">
        <v>2</v>
      </c>
      <c r="K370" t="str">
        <f>TEXT(discount_impact_on_profit_2000_rows[[#This Row],[order date]],"mmmm")</f>
        <v>November</v>
      </c>
      <c r="L370">
        <f>YEAR(discount_impact_on_profit_2000_rows[[#This Row],[order date]])</f>
        <v>2024</v>
      </c>
      <c r="M370" t="str">
        <f>IF(discount_impact_on_profit_2000_rows[[#This Row],[Discount %]]=0,"Zero Discount",IF(discount_impact_on_profit_2000_rows[[#This Row],[Discount %]]&lt;=10,"Low Discount","High Discount"))</f>
        <v>Low Discount</v>
      </c>
      <c r="N370" t="str">
        <f t="shared" si="5"/>
        <v>0-10%</v>
      </c>
    </row>
    <row r="371" spans="1:14">
      <c r="A371" s="1">
        <v>45362</v>
      </c>
      <c r="B371" t="s">
        <v>433</v>
      </c>
      <c r="C371" t="s">
        <v>21</v>
      </c>
      <c r="D371" t="s">
        <v>57</v>
      </c>
      <c r="E371">
        <v>9249.49</v>
      </c>
      <c r="F371" t="s">
        <v>36</v>
      </c>
      <c r="G371">
        <v>9526.9699999999993</v>
      </c>
      <c r="H371">
        <v>277.48</v>
      </c>
      <c r="I371">
        <v>17</v>
      </c>
      <c r="J371">
        <v>2</v>
      </c>
      <c r="K371" t="str">
        <f>TEXT(discount_impact_on_profit_2000_rows[[#This Row],[order date]],"mmmm")</f>
        <v>March</v>
      </c>
      <c r="L371">
        <f>YEAR(discount_impact_on_profit_2000_rows[[#This Row],[order date]])</f>
        <v>2024</v>
      </c>
      <c r="M371" t="str">
        <f>IF(discount_impact_on_profit_2000_rows[[#This Row],[Discount %]]=0,"Zero Discount",IF(discount_impact_on_profit_2000_rows[[#This Row],[Discount %]]&lt;=10,"Low Discount","High Discount"))</f>
        <v>High Discount</v>
      </c>
      <c r="N371" t="str">
        <f t="shared" si="5"/>
        <v>10-20%</v>
      </c>
    </row>
    <row r="372" spans="1:14">
      <c r="A372" s="1">
        <v>45174</v>
      </c>
      <c r="B372" t="s">
        <v>434</v>
      </c>
      <c r="C372" t="s">
        <v>53</v>
      </c>
      <c r="D372" t="s">
        <v>113</v>
      </c>
      <c r="E372">
        <v>776.18</v>
      </c>
      <c r="F372" t="s">
        <v>31</v>
      </c>
      <c r="G372">
        <v>1802.19</v>
      </c>
      <c r="H372">
        <v>1026.01</v>
      </c>
      <c r="I372">
        <v>5</v>
      </c>
      <c r="J372">
        <v>2</v>
      </c>
      <c r="K372" t="str">
        <f>TEXT(discount_impact_on_profit_2000_rows[[#This Row],[order date]],"mmmm")</f>
        <v>September</v>
      </c>
      <c r="L372">
        <f>YEAR(discount_impact_on_profit_2000_rows[[#This Row],[order date]])</f>
        <v>2023</v>
      </c>
      <c r="M372" t="str">
        <f>IF(discount_impact_on_profit_2000_rows[[#This Row],[Discount %]]=0,"Zero Discount",IF(discount_impact_on_profit_2000_rows[[#This Row],[Discount %]]&lt;=10,"Low Discount","High Discount"))</f>
        <v>Low Discount</v>
      </c>
      <c r="N372" t="str">
        <f t="shared" si="5"/>
        <v>0-10%</v>
      </c>
    </row>
    <row r="373" spans="1:14">
      <c r="A373" s="1">
        <v>45532</v>
      </c>
      <c r="B373" t="s">
        <v>435</v>
      </c>
      <c r="C373" t="s">
        <v>33</v>
      </c>
      <c r="D373" t="s">
        <v>34</v>
      </c>
      <c r="E373">
        <v>21210.55</v>
      </c>
      <c r="F373" t="s">
        <v>13</v>
      </c>
      <c r="G373">
        <v>23230.080000000002</v>
      </c>
      <c r="H373">
        <v>2019.53</v>
      </c>
      <c r="I373">
        <v>15</v>
      </c>
      <c r="J373">
        <v>3</v>
      </c>
      <c r="K373" t="str">
        <f>TEXT(discount_impact_on_profit_2000_rows[[#This Row],[order date]],"mmmm")</f>
        <v>August</v>
      </c>
      <c r="L373">
        <f>YEAR(discount_impact_on_profit_2000_rows[[#This Row],[order date]])</f>
        <v>2024</v>
      </c>
      <c r="M373" t="str">
        <f>IF(discount_impact_on_profit_2000_rows[[#This Row],[Discount %]]=0,"Zero Discount",IF(discount_impact_on_profit_2000_rows[[#This Row],[Discount %]]&lt;=10,"Low Discount","High Discount"))</f>
        <v>High Discount</v>
      </c>
      <c r="N373" t="str">
        <f t="shared" si="5"/>
        <v>10-20%</v>
      </c>
    </row>
    <row r="374" spans="1:14">
      <c r="A374" s="1">
        <v>45953</v>
      </c>
      <c r="B374" t="s">
        <v>436</v>
      </c>
      <c r="C374" t="s">
        <v>15</v>
      </c>
      <c r="D374" t="s">
        <v>86</v>
      </c>
      <c r="E374">
        <v>2169.63</v>
      </c>
      <c r="F374" t="s">
        <v>26</v>
      </c>
      <c r="G374">
        <v>2234.7199999999998</v>
      </c>
      <c r="H374">
        <v>65.09</v>
      </c>
      <c r="I374">
        <v>21</v>
      </c>
      <c r="J374">
        <v>2</v>
      </c>
      <c r="K374" t="str">
        <f>TEXT(discount_impact_on_profit_2000_rows[[#This Row],[order date]],"mmmm")</f>
        <v>October</v>
      </c>
      <c r="L374">
        <f>YEAR(discount_impact_on_profit_2000_rows[[#This Row],[order date]])</f>
        <v>2025</v>
      </c>
      <c r="M374" t="str">
        <f>IF(discount_impact_on_profit_2000_rows[[#This Row],[Discount %]]=0,"Zero Discount",IF(discount_impact_on_profit_2000_rows[[#This Row],[Discount %]]&lt;=10,"Low Discount","High Discount"))</f>
        <v>High Discount</v>
      </c>
      <c r="N374" t="str">
        <f t="shared" si="5"/>
        <v>20-30%</v>
      </c>
    </row>
    <row r="375" spans="1:14">
      <c r="A375" s="1">
        <v>46012</v>
      </c>
      <c r="B375" t="s">
        <v>437</v>
      </c>
      <c r="C375" t="s">
        <v>18</v>
      </c>
      <c r="D375" t="s">
        <v>50</v>
      </c>
      <c r="E375">
        <v>124.68</v>
      </c>
      <c r="F375" t="s">
        <v>26</v>
      </c>
      <c r="G375">
        <v>189.48</v>
      </c>
      <c r="H375">
        <v>64.8</v>
      </c>
      <c r="I375">
        <v>0</v>
      </c>
      <c r="J375">
        <v>1</v>
      </c>
      <c r="K375" t="str">
        <f>TEXT(discount_impact_on_profit_2000_rows[[#This Row],[order date]],"mmmm")</f>
        <v>December</v>
      </c>
      <c r="L375">
        <f>YEAR(discount_impact_on_profit_2000_rows[[#This Row],[order date]])</f>
        <v>2025</v>
      </c>
      <c r="M375" t="str">
        <f>IF(discount_impact_on_profit_2000_rows[[#This Row],[Discount %]]=0,"Zero Discount",IF(discount_impact_on_profit_2000_rows[[#This Row],[Discount %]]&lt;=10,"Low Discount","High Discount"))</f>
        <v>Zero Discount</v>
      </c>
      <c r="N375" t="str">
        <f t="shared" si="5"/>
        <v>0-10%</v>
      </c>
    </row>
    <row r="376" spans="1:14">
      <c r="A376" s="1">
        <v>45517</v>
      </c>
      <c r="B376" t="s">
        <v>438</v>
      </c>
      <c r="C376" t="s">
        <v>33</v>
      </c>
      <c r="D376" t="s">
        <v>92</v>
      </c>
      <c r="E376">
        <v>19426.48</v>
      </c>
      <c r="F376" t="s">
        <v>31</v>
      </c>
      <c r="G376">
        <v>22782.23</v>
      </c>
      <c r="H376">
        <v>3355.75</v>
      </c>
      <c r="I376">
        <v>30</v>
      </c>
      <c r="J376">
        <v>2</v>
      </c>
      <c r="K376" t="str">
        <f>TEXT(discount_impact_on_profit_2000_rows[[#This Row],[order date]],"mmmm")</f>
        <v>August</v>
      </c>
      <c r="L376">
        <f>YEAR(discount_impact_on_profit_2000_rows[[#This Row],[order date]])</f>
        <v>2024</v>
      </c>
      <c r="M376" t="str">
        <f>IF(discount_impact_on_profit_2000_rows[[#This Row],[Discount %]]=0,"Zero Discount",IF(discount_impact_on_profit_2000_rows[[#This Row],[Discount %]]&lt;=10,"Low Discount","High Discount"))</f>
        <v>High Discount</v>
      </c>
      <c r="N376" t="str">
        <f t="shared" si="5"/>
        <v>20-30%</v>
      </c>
    </row>
    <row r="377" spans="1:14">
      <c r="A377" s="1">
        <v>45009</v>
      </c>
      <c r="B377" t="s">
        <v>439</v>
      </c>
      <c r="C377" t="s">
        <v>15</v>
      </c>
      <c r="D377" t="s">
        <v>99</v>
      </c>
      <c r="E377">
        <v>4694.25</v>
      </c>
      <c r="F377" t="s">
        <v>23</v>
      </c>
      <c r="G377">
        <v>5361.21</v>
      </c>
      <c r="H377">
        <v>666.96</v>
      </c>
      <c r="I377">
        <v>10</v>
      </c>
      <c r="J377">
        <v>2</v>
      </c>
      <c r="K377" t="str">
        <f>TEXT(discount_impact_on_profit_2000_rows[[#This Row],[order date]],"mmmm")</f>
        <v>March</v>
      </c>
      <c r="L377">
        <f>YEAR(discount_impact_on_profit_2000_rows[[#This Row],[order date]])</f>
        <v>2023</v>
      </c>
      <c r="M377" t="str">
        <f>IF(discount_impact_on_profit_2000_rows[[#This Row],[Discount %]]=0,"Zero Discount",IF(discount_impact_on_profit_2000_rows[[#This Row],[Discount %]]&lt;=10,"Low Discount","High Discount"))</f>
        <v>Low Discount</v>
      </c>
      <c r="N377" t="str">
        <f t="shared" si="5"/>
        <v>0-10%</v>
      </c>
    </row>
    <row r="378" spans="1:14">
      <c r="A378" s="1">
        <v>45373</v>
      </c>
      <c r="B378" t="s">
        <v>440</v>
      </c>
      <c r="C378" t="s">
        <v>18</v>
      </c>
      <c r="D378" t="s">
        <v>140</v>
      </c>
      <c r="E378">
        <v>134.06</v>
      </c>
      <c r="F378" t="s">
        <v>31</v>
      </c>
      <c r="G378">
        <v>164.36</v>
      </c>
      <c r="H378">
        <v>30.3</v>
      </c>
      <c r="I378">
        <v>15</v>
      </c>
      <c r="J378">
        <v>2</v>
      </c>
      <c r="K378" t="str">
        <f>TEXT(discount_impact_on_profit_2000_rows[[#This Row],[order date]],"mmmm")</f>
        <v>March</v>
      </c>
      <c r="L378">
        <f>YEAR(discount_impact_on_profit_2000_rows[[#This Row],[order date]])</f>
        <v>2024</v>
      </c>
      <c r="M378" t="str">
        <f>IF(discount_impact_on_profit_2000_rows[[#This Row],[Discount %]]=0,"Zero Discount",IF(discount_impact_on_profit_2000_rows[[#This Row],[Discount %]]&lt;=10,"Low Discount","High Discount"))</f>
        <v>High Discount</v>
      </c>
      <c r="N378" t="str">
        <f t="shared" si="5"/>
        <v>10-20%</v>
      </c>
    </row>
    <row r="379" spans="1:14">
      <c r="A379" s="1">
        <v>45928</v>
      </c>
      <c r="B379" t="s">
        <v>441</v>
      </c>
      <c r="C379" t="s">
        <v>33</v>
      </c>
      <c r="D379" t="s">
        <v>34</v>
      </c>
      <c r="E379">
        <v>2705.96</v>
      </c>
      <c r="F379" t="s">
        <v>26</v>
      </c>
      <c r="G379">
        <v>3582.95</v>
      </c>
      <c r="H379">
        <v>876.99</v>
      </c>
      <c r="I379">
        <v>20</v>
      </c>
      <c r="J379">
        <v>2</v>
      </c>
      <c r="K379" t="str">
        <f>TEXT(discount_impact_on_profit_2000_rows[[#This Row],[order date]],"mmmm")</f>
        <v>September</v>
      </c>
      <c r="L379">
        <f>YEAR(discount_impact_on_profit_2000_rows[[#This Row],[order date]])</f>
        <v>2025</v>
      </c>
      <c r="M379" t="str">
        <f>IF(discount_impact_on_profit_2000_rows[[#This Row],[Discount %]]=0,"Zero Discount",IF(discount_impact_on_profit_2000_rows[[#This Row],[Discount %]]&lt;=10,"Low Discount","High Discount"))</f>
        <v>High Discount</v>
      </c>
      <c r="N379" t="str">
        <f t="shared" si="5"/>
        <v>10-20%</v>
      </c>
    </row>
    <row r="380" spans="1:14">
      <c r="A380" s="1">
        <v>45975</v>
      </c>
      <c r="B380" t="s">
        <v>442</v>
      </c>
      <c r="C380" t="s">
        <v>33</v>
      </c>
      <c r="D380" t="s">
        <v>34</v>
      </c>
      <c r="E380">
        <v>16307.14</v>
      </c>
      <c r="F380" t="s">
        <v>31</v>
      </c>
      <c r="G380">
        <v>23436.1</v>
      </c>
      <c r="H380">
        <v>7128.96</v>
      </c>
      <c r="I380">
        <v>5</v>
      </c>
      <c r="J380">
        <v>8</v>
      </c>
      <c r="K380" t="str">
        <f>TEXT(discount_impact_on_profit_2000_rows[[#This Row],[order date]],"mmmm")</f>
        <v>November</v>
      </c>
      <c r="L380">
        <f>YEAR(discount_impact_on_profit_2000_rows[[#This Row],[order date]])</f>
        <v>2025</v>
      </c>
      <c r="M380" t="str">
        <f>IF(discount_impact_on_profit_2000_rows[[#This Row],[Discount %]]=0,"Zero Discount",IF(discount_impact_on_profit_2000_rows[[#This Row],[Discount %]]&lt;=10,"Low Discount","High Discount"))</f>
        <v>Low Discount</v>
      </c>
      <c r="N380" t="str">
        <f t="shared" si="5"/>
        <v>0-10%</v>
      </c>
    </row>
    <row r="381" spans="1:14">
      <c r="A381" s="1">
        <v>45040</v>
      </c>
      <c r="B381" t="s">
        <v>443</v>
      </c>
      <c r="C381" t="s">
        <v>11</v>
      </c>
      <c r="D381" t="s">
        <v>30</v>
      </c>
      <c r="E381">
        <v>537.6</v>
      </c>
      <c r="F381" t="s">
        <v>36</v>
      </c>
      <c r="G381">
        <v>1078.8599999999999</v>
      </c>
      <c r="H381">
        <v>541.26</v>
      </c>
      <c r="I381">
        <v>10</v>
      </c>
      <c r="J381">
        <v>2</v>
      </c>
      <c r="K381" t="str">
        <f>TEXT(discount_impact_on_profit_2000_rows[[#This Row],[order date]],"mmmm")</f>
        <v>April</v>
      </c>
      <c r="L381">
        <f>YEAR(discount_impact_on_profit_2000_rows[[#This Row],[order date]])</f>
        <v>2023</v>
      </c>
      <c r="M381" t="str">
        <f>IF(discount_impact_on_profit_2000_rows[[#This Row],[Discount %]]=0,"Zero Discount",IF(discount_impact_on_profit_2000_rows[[#This Row],[Discount %]]&lt;=10,"Low Discount","High Discount"))</f>
        <v>Low Discount</v>
      </c>
      <c r="N381" t="str">
        <f t="shared" si="5"/>
        <v>0-10%</v>
      </c>
    </row>
    <row r="382" spans="1:14">
      <c r="A382" s="1">
        <v>46003</v>
      </c>
      <c r="B382" t="s">
        <v>444</v>
      </c>
      <c r="C382" t="s">
        <v>21</v>
      </c>
      <c r="D382" t="s">
        <v>109</v>
      </c>
      <c r="E382">
        <v>7498.16</v>
      </c>
      <c r="F382" t="s">
        <v>23</v>
      </c>
      <c r="G382">
        <v>7723.1</v>
      </c>
      <c r="H382">
        <v>224.94</v>
      </c>
      <c r="I382">
        <v>15</v>
      </c>
      <c r="J382">
        <v>5</v>
      </c>
      <c r="K382" t="str">
        <f>TEXT(discount_impact_on_profit_2000_rows[[#This Row],[order date]],"mmmm")</f>
        <v>December</v>
      </c>
      <c r="L382">
        <f>YEAR(discount_impact_on_profit_2000_rows[[#This Row],[order date]])</f>
        <v>2025</v>
      </c>
      <c r="M382" t="str">
        <f>IF(discount_impact_on_profit_2000_rows[[#This Row],[Discount %]]=0,"Zero Discount",IF(discount_impact_on_profit_2000_rows[[#This Row],[Discount %]]&lt;=10,"Low Discount","High Discount"))</f>
        <v>High Discount</v>
      </c>
      <c r="N382" t="str">
        <f t="shared" si="5"/>
        <v>10-20%</v>
      </c>
    </row>
    <row r="383" spans="1:14">
      <c r="A383" s="1">
        <v>45255</v>
      </c>
      <c r="B383" t="s">
        <v>445</v>
      </c>
      <c r="C383" t="s">
        <v>21</v>
      </c>
      <c r="D383" t="s">
        <v>154</v>
      </c>
      <c r="E383">
        <v>861.01</v>
      </c>
      <c r="F383" t="s">
        <v>23</v>
      </c>
      <c r="G383">
        <v>1172.72</v>
      </c>
      <c r="H383">
        <v>311.70999999999998</v>
      </c>
      <c r="I383">
        <v>10</v>
      </c>
      <c r="J383">
        <v>1</v>
      </c>
      <c r="K383" t="str">
        <f>TEXT(discount_impact_on_profit_2000_rows[[#This Row],[order date]],"mmmm")</f>
        <v>November</v>
      </c>
      <c r="L383">
        <f>YEAR(discount_impact_on_profit_2000_rows[[#This Row],[order date]])</f>
        <v>2023</v>
      </c>
      <c r="M383" t="str">
        <f>IF(discount_impact_on_profit_2000_rows[[#This Row],[Discount %]]=0,"Zero Discount",IF(discount_impact_on_profit_2000_rows[[#This Row],[Discount %]]&lt;=10,"Low Discount","High Discount"))</f>
        <v>Low Discount</v>
      </c>
      <c r="N383" t="str">
        <f t="shared" si="5"/>
        <v>0-10%</v>
      </c>
    </row>
    <row r="384" spans="1:14">
      <c r="A384" s="1">
        <v>45720</v>
      </c>
      <c r="B384" t="s">
        <v>446</v>
      </c>
      <c r="C384" t="s">
        <v>18</v>
      </c>
      <c r="D384" t="s">
        <v>42</v>
      </c>
      <c r="E384">
        <v>640.99</v>
      </c>
      <c r="F384" t="s">
        <v>13</v>
      </c>
      <c r="G384">
        <v>875.61</v>
      </c>
      <c r="H384">
        <v>234.62</v>
      </c>
      <c r="I384">
        <v>5</v>
      </c>
      <c r="J384">
        <v>10</v>
      </c>
      <c r="K384" t="str">
        <f>TEXT(discount_impact_on_profit_2000_rows[[#This Row],[order date]],"mmmm")</f>
        <v>March</v>
      </c>
      <c r="L384">
        <f>YEAR(discount_impact_on_profit_2000_rows[[#This Row],[order date]])</f>
        <v>2025</v>
      </c>
      <c r="M384" t="str">
        <f>IF(discount_impact_on_profit_2000_rows[[#This Row],[Discount %]]=0,"Zero Discount",IF(discount_impact_on_profit_2000_rows[[#This Row],[Discount %]]&lt;=10,"Low Discount","High Discount"))</f>
        <v>Low Discount</v>
      </c>
      <c r="N384" t="str">
        <f t="shared" si="5"/>
        <v>0-10%</v>
      </c>
    </row>
    <row r="385" spans="1:14">
      <c r="A385" s="1">
        <v>45640</v>
      </c>
      <c r="B385" t="s">
        <v>447</v>
      </c>
      <c r="C385" t="s">
        <v>18</v>
      </c>
      <c r="D385" t="s">
        <v>104</v>
      </c>
      <c r="E385">
        <v>134.69999999999999</v>
      </c>
      <c r="F385" t="s">
        <v>36</v>
      </c>
      <c r="G385">
        <v>199.03</v>
      </c>
      <c r="H385">
        <v>64.33</v>
      </c>
      <c r="I385">
        <v>5</v>
      </c>
      <c r="J385">
        <v>2</v>
      </c>
      <c r="K385" t="str">
        <f>TEXT(discount_impact_on_profit_2000_rows[[#This Row],[order date]],"mmmm")</f>
        <v>December</v>
      </c>
      <c r="L385">
        <f>YEAR(discount_impact_on_profit_2000_rows[[#This Row],[order date]])</f>
        <v>2024</v>
      </c>
      <c r="M385" t="str">
        <f>IF(discount_impact_on_profit_2000_rows[[#This Row],[Discount %]]=0,"Zero Discount",IF(discount_impact_on_profit_2000_rows[[#This Row],[Discount %]]&lt;=10,"Low Discount","High Discount"))</f>
        <v>Low Discount</v>
      </c>
      <c r="N385" t="str">
        <f t="shared" si="5"/>
        <v>0-10%</v>
      </c>
    </row>
    <row r="386" spans="1:14">
      <c r="A386" s="1">
        <v>45282</v>
      </c>
      <c r="B386" t="s">
        <v>448</v>
      </c>
      <c r="C386" t="s">
        <v>21</v>
      </c>
      <c r="D386" t="s">
        <v>57</v>
      </c>
      <c r="E386">
        <v>9906.0499999999993</v>
      </c>
      <c r="F386" t="s">
        <v>26</v>
      </c>
      <c r="G386">
        <v>9947.4599999999991</v>
      </c>
      <c r="H386">
        <v>41.41</v>
      </c>
      <c r="I386">
        <v>15</v>
      </c>
      <c r="J386">
        <v>4</v>
      </c>
      <c r="K386" t="str">
        <f>TEXT(discount_impact_on_profit_2000_rows[[#This Row],[order date]],"mmmm")</f>
        <v>December</v>
      </c>
      <c r="L386">
        <f>YEAR(discount_impact_on_profit_2000_rows[[#This Row],[order date]])</f>
        <v>2023</v>
      </c>
      <c r="M386" t="str">
        <f>IF(discount_impact_on_profit_2000_rows[[#This Row],[Discount %]]=0,"Zero Discount",IF(discount_impact_on_profit_2000_rows[[#This Row],[Discount %]]&lt;=10,"Low Discount","High Discount"))</f>
        <v>High Discount</v>
      </c>
      <c r="N386" t="str">
        <f t="shared" ref="N386:N449" si="6">IF(I386&lt;=10,"0-10%",IF(I386&lt;=20,"10-20%",IF(I386&lt;=30,"20-30%","30%+")))</f>
        <v>10-20%</v>
      </c>
    </row>
    <row r="387" spans="1:14">
      <c r="A387" s="1">
        <v>44971</v>
      </c>
      <c r="B387" t="s">
        <v>449</v>
      </c>
      <c r="C387" t="s">
        <v>11</v>
      </c>
      <c r="D387" t="s">
        <v>207</v>
      </c>
      <c r="E387">
        <v>297.77999999999997</v>
      </c>
      <c r="F387" t="s">
        <v>26</v>
      </c>
      <c r="G387">
        <v>479.25</v>
      </c>
      <c r="H387">
        <v>181.47</v>
      </c>
      <c r="I387">
        <v>5</v>
      </c>
      <c r="J387">
        <v>1</v>
      </c>
      <c r="K387" t="str">
        <f>TEXT(discount_impact_on_profit_2000_rows[[#This Row],[order date]],"mmmm")</f>
        <v>February</v>
      </c>
      <c r="L387">
        <f>YEAR(discount_impact_on_profit_2000_rows[[#This Row],[order date]])</f>
        <v>2023</v>
      </c>
      <c r="M387" t="str">
        <f>IF(discount_impact_on_profit_2000_rows[[#This Row],[Discount %]]=0,"Zero Discount",IF(discount_impact_on_profit_2000_rows[[#This Row],[Discount %]]&lt;=10,"Low Discount","High Discount"))</f>
        <v>Low Discount</v>
      </c>
      <c r="N387" t="str">
        <f t="shared" si="6"/>
        <v>0-10%</v>
      </c>
    </row>
    <row r="388" spans="1:14">
      <c r="A388" s="1">
        <v>45285</v>
      </c>
      <c r="B388" t="s">
        <v>450</v>
      </c>
      <c r="C388" t="s">
        <v>11</v>
      </c>
      <c r="D388" t="s">
        <v>80</v>
      </c>
      <c r="E388">
        <v>677.98</v>
      </c>
      <c r="F388" t="s">
        <v>31</v>
      </c>
      <c r="G388">
        <v>1196.77</v>
      </c>
      <c r="H388">
        <v>518.79</v>
      </c>
      <c r="I388">
        <v>0</v>
      </c>
      <c r="J388">
        <v>4</v>
      </c>
      <c r="K388" t="str">
        <f>TEXT(discount_impact_on_profit_2000_rows[[#This Row],[order date]],"mmmm")</f>
        <v>December</v>
      </c>
      <c r="L388">
        <f>YEAR(discount_impact_on_profit_2000_rows[[#This Row],[order date]])</f>
        <v>2023</v>
      </c>
      <c r="M388" t="str">
        <f>IF(discount_impact_on_profit_2000_rows[[#This Row],[Discount %]]=0,"Zero Discount",IF(discount_impact_on_profit_2000_rows[[#This Row],[Discount %]]&lt;=10,"Low Discount","High Discount"))</f>
        <v>Zero Discount</v>
      </c>
      <c r="N388" t="str">
        <f t="shared" si="6"/>
        <v>0-10%</v>
      </c>
    </row>
    <row r="389" spans="1:14">
      <c r="A389" s="1">
        <v>45893</v>
      </c>
      <c r="B389" t="s">
        <v>451</v>
      </c>
      <c r="C389" t="s">
        <v>21</v>
      </c>
      <c r="D389" t="s">
        <v>123</v>
      </c>
      <c r="E389">
        <v>8121.9</v>
      </c>
      <c r="F389" t="s">
        <v>13</v>
      </c>
      <c r="G389">
        <v>8126.8</v>
      </c>
      <c r="H389">
        <v>4.9000000000000004</v>
      </c>
      <c r="I389">
        <v>23</v>
      </c>
      <c r="J389">
        <v>3</v>
      </c>
      <c r="K389" t="str">
        <f>TEXT(discount_impact_on_profit_2000_rows[[#This Row],[order date]],"mmmm")</f>
        <v>August</v>
      </c>
      <c r="L389">
        <f>YEAR(discount_impact_on_profit_2000_rows[[#This Row],[order date]])</f>
        <v>2025</v>
      </c>
      <c r="M389" t="str">
        <f>IF(discount_impact_on_profit_2000_rows[[#This Row],[Discount %]]=0,"Zero Discount",IF(discount_impact_on_profit_2000_rows[[#This Row],[Discount %]]&lt;=10,"Low Discount","High Discount"))</f>
        <v>High Discount</v>
      </c>
      <c r="N389" t="str">
        <f t="shared" si="6"/>
        <v>20-30%</v>
      </c>
    </row>
    <row r="390" spans="1:14">
      <c r="A390" s="1">
        <v>45548</v>
      </c>
      <c r="B390" t="s">
        <v>452</v>
      </c>
      <c r="C390" t="s">
        <v>21</v>
      </c>
      <c r="D390" t="s">
        <v>109</v>
      </c>
      <c r="E390">
        <v>45779.01</v>
      </c>
      <c r="F390" t="s">
        <v>26</v>
      </c>
      <c r="G390">
        <v>46601.919999999998</v>
      </c>
      <c r="H390">
        <v>822.91</v>
      </c>
      <c r="I390">
        <v>15</v>
      </c>
      <c r="J390">
        <v>3</v>
      </c>
      <c r="K390" t="str">
        <f>TEXT(discount_impact_on_profit_2000_rows[[#This Row],[order date]],"mmmm")</f>
        <v>September</v>
      </c>
      <c r="L390">
        <f>YEAR(discount_impact_on_profit_2000_rows[[#This Row],[order date]])</f>
        <v>2024</v>
      </c>
      <c r="M390" t="str">
        <f>IF(discount_impact_on_profit_2000_rows[[#This Row],[Discount %]]=0,"Zero Discount",IF(discount_impact_on_profit_2000_rows[[#This Row],[Discount %]]&lt;=10,"Low Discount","High Discount"))</f>
        <v>High Discount</v>
      </c>
      <c r="N390" t="str">
        <f t="shared" si="6"/>
        <v>10-20%</v>
      </c>
    </row>
    <row r="391" spans="1:14">
      <c r="A391" s="1">
        <v>45845</v>
      </c>
      <c r="B391" t="s">
        <v>453</v>
      </c>
      <c r="C391" t="s">
        <v>53</v>
      </c>
      <c r="D391" t="s">
        <v>54</v>
      </c>
      <c r="E391">
        <v>4076.69</v>
      </c>
      <c r="F391" t="s">
        <v>36</v>
      </c>
      <c r="G391">
        <v>6165.85</v>
      </c>
      <c r="H391">
        <v>2089.16</v>
      </c>
      <c r="I391">
        <v>15</v>
      </c>
      <c r="J391">
        <v>2</v>
      </c>
      <c r="K391" t="str">
        <f>TEXT(discount_impact_on_profit_2000_rows[[#This Row],[order date]],"mmmm")</f>
        <v>July</v>
      </c>
      <c r="L391">
        <f>YEAR(discount_impact_on_profit_2000_rows[[#This Row],[order date]])</f>
        <v>2025</v>
      </c>
      <c r="M391" t="str">
        <f>IF(discount_impact_on_profit_2000_rows[[#This Row],[Discount %]]=0,"Zero Discount",IF(discount_impact_on_profit_2000_rows[[#This Row],[Discount %]]&lt;=10,"Low Discount","High Discount"))</f>
        <v>High Discount</v>
      </c>
      <c r="N391" t="str">
        <f t="shared" si="6"/>
        <v>10-20%</v>
      </c>
    </row>
    <row r="392" spans="1:14">
      <c r="A392" s="1">
        <v>45482</v>
      </c>
      <c r="B392" t="s">
        <v>454</v>
      </c>
      <c r="C392" t="s">
        <v>15</v>
      </c>
      <c r="D392" t="s">
        <v>86</v>
      </c>
      <c r="E392">
        <v>4359.26</v>
      </c>
      <c r="F392" t="s">
        <v>31</v>
      </c>
      <c r="G392">
        <v>4428.4399999999996</v>
      </c>
      <c r="H392">
        <v>69.180000000000007</v>
      </c>
      <c r="I392">
        <v>25</v>
      </c>
      <c r="J392">
        <v>1</v>
      </c>
      <c r="K392" t="str">
        <f>TEXT(discount_impact_on_profit_2000_rows[[#This Row],[order date]],"mmmm")</f>
        <v>July</v>
      </c>
      <c r="L392">
        <f>YEAR(discount_impact_on_profit_2000_rows[[#This Row],[order date]])</f>
        <v>2024</v>
      </c>
      <c r="M392" t="str">
        <f>IF(discount_impact_on_profit_2000_rows[[#This Row],[Discount %]]=0,"Zero Discount",IF(discount_impact_on_profit_2000_rows[[#This Row],[Discount %]]&lt;=10,"Low Discount","High Discount"))</f>
        <v>High Discount</v>
      </c>
      <c r="N392" t="str">
        <f t="shared" si="6"/>
        <v>20-30%</v>
      </c>
    </row>
    <row r="393" spans="1:14">
      <c r="A393" s="1">
        <v>45293</v>
      </c>
      <c r="B393" t="s">
        <v>455</v>
      </c>
      <c r="C393" t="s">
        <v>33</v>
      </c>
      <c r="D393" t="s">
        <v>273</v>
      </c>
      <c r="E393">
        <v>12621.28</v>
      </c>
      <c r="F393" t="s">
        <v>26</v>
      </c>
      <c r="G393">
        <v>14880.87</v>
      </c>
      <c r="H393">
        <v>2259.59</v>
      </c>
      <c r="I393">
        <v>10</v>
      </c>
      <c r="J393">
        <v>6</v>
      </c>
      <c r="K393" t="str">
        <f>TEXT(discount_impact_on_profit_2000_rows[[#This Row],[order date]],"mmmm")</f>
        <v>January</v>
      </c>
      <c r="L393">
        <f>YEAR(discount_impact_on_profit_2000_rows[[#This Row],[order date]])</f>
        <v>2024</v>
      </c>
      <c r="M393" t="str">
        <f>IF(discount_impact_on_profit_2000_rows[[#This Row],[Discount %]]=0,"Zero Discount",IF(discount_impact_on_profit_2000_rows[[#This Row],[Discount %]]&lt;=10,"Low Discount","High Discount"))</f>
        <v>Low Discount</v>
      </c>
      <c r="N393" t="str">
        <f t="shared" si="6"/>
        <v>0-10%</v>
      </c>
    </row>
    <row r="394" spans="1:14">
      <c r="A394" s="1">
        <v>45084</v>
      </c>
      <c r="B394" t="s">
        <v>456</v>
      </c>
      <c r="C394" t="s">
        <v>53</v>
      </c>
      <c r="D394" t="s">
        <v>70</v>
      </c>
      <c r="E394">
        <v>4315.01</v>
      </c>
      <c r="F394" t="s">
        <v>13</v>
      </c>
      <c r="G394">
        <v>7731.84</v>
      </c>
      <c r="H394">
        <v>3416.83</v>
      </c>
      <c r="I394">
        <v>5</v>
      </c>
      <c r="J394">
        <v>2</v>
      </c>
      <c r="K394" t="str">
        <f>TEXT(discount_impact_on_profit_2000_rows[[#This Row],[order date]],"mmmm")</f>
        <v>June</v>
      </c>
      <c r="L394">
        <f>YEAR(discount_impact_on_profit_2000_rows[[#This Row],[order date]])</f>
        <v>2023</v>
      </c>
      <c r="M394" t="str">
        <f>IF(discount_impact_on_profit_2000_rows[[#This Row],[Discount %]]=0,"Zero Discount",IF(discount_impact_on_profit_2000_rows[[#This Row],[Discount %]]&lt;=10,"Low Discount","High Discount"))</f>
        <v>Low Discount</v>
      </c>
      <c r="N394" t="str">
        <f t="shared" si="6"/>
        <v>0-10%</v>
      </c>
    </row>
    <row r="395" spans="1:14">
      <c r="A395" s="1">
        <v>44972</v>
      </c>
      <c r="B395" t="s">
        <v>457</v>
      </c>
      <c r="C395" t="s">
        <v>21</v>
      </c>
      <c r="D395" t="s">
        <v>123</v>
      </c>
      <c r="E395">
        <v>12282.65</v>
      </c>
      <c r="F395" t="s">
        <v>13</v>
      </c>
      <c r="G395">
        <v>12322.48</v>
      </c>
      <c r="H395">
        <v>39.83</v>
      </c>
      <c r="I395">
        <v>16</v>
      </c>
      <c r="J395">
        <v>1</v>
      </c>
      <c r="K395" t="str">
        <f>TEXT(discount_impact_on_profit_2000_rows[[#This Row],[order date]],"mmmm")</f>
        <v>February</v>
      </c>
      <c r="L395">
        <f>YEAR(discount_impact_on_profit_2000_rows[[#This Row],[order date]])</f>
        <v>2023</v>
      </c>
      <c r="M395" t="str">
        <f>IF(discount_impact_on_profit_2000_rows[[#This Row],[Discount %]]=0,"Zero Discount",IF(discount_impact_on_profit_2000_rows[[#This Row],[Discount %]]&lt;=10,"Low Discount","High Discount"))</f>
        <v>High Discount</v>
      </c>
      <c r="N395" t="str">
        <f t="shared" si="6"/>
        <v>10-20%</v>
      </c>
    </row>
    <row r="396" spans="1:14">
      <c r="A396" s="1">
        <v>44961</v>
      </c>
      <c r="B396" t="s">
        <v>458</v>
      </c>
      <c r="C396" t="s">
        <v>18</v>
      </c>
      <c r="D396" t="s">
        <v>19</v>
      </c>
      <c r="E396">
        <v>386.88</v>
      </c>
      <c r="F396" t="s">
        <v>26</v>
      </c>
      <c r="G396">
        <v>631</v>
      </c>
      <c r="H396">
        <v>244.12</v>
      </c>
      <c r="I396">
        <v>10</v>
      </c>
      <c r="J396">
        <v>2</v>
      </c>
      <c r="K396" t="str">
        <f>TEXT(discount_impact_on_profit_2000_rows[[#This Row],[order date]],"mmmm")</f>
        <v>February</v>
      </c>
      <c r="L396">
        <f>YEAR(discount_impact_on_profit_2000_rows[[#This Row],[order date]])</f>
        <v>2023</v>
      </c>
      <c r="M396" t="str">
        <f>IF(discount_impact_on_profit_2000_rows[[#This Row],[Discount %]]=0,"Zero Discount",IF(discount_impact_on_profit_2000_rows[[#This Row],[Discount %]]&lt;=10,"Low Discount","High Discount"))</f>
        <v>Low Discount</v>
      </c>
      <c r="N396" t="str">
        <f t="shared" si="6"/>
        <v>0-10%</v>
      </c>
    </row>
    <row r="397" spans="1:14">
      <c r="A397" s="1">
        <v>46012</v>
      </c>
      <c r="B397" t="s">
        <v>459</v>
      </c>
      <c r="C397" t="s">
        <v>18</v>
      </c>
      <c r="D397" t="s">
        <v>104</v>
      </c>
      <c r="E397">
        <v>4638.1400000000003</v>
      </c>
      <c r="F397" t="s">
        <v>26</v>
      </c>
      <c r="G397">
        <v>4770.08</v>
      </c>
      <c r="H397">
        <v>131.94</v>
      </c>
      <c r="I397">
        <v>30</v>
      </c>
      <c r="J397">
        <v>6</v>
      </c>
      <c r="K397" t="str">
        <f>TEXT(discount_impact_on_profit_2000_rows[[#This Row],[order date]],"mmmm")</f>
        <v>December</v>
      </c>
      <c r="L397">
        <f>YEAR(discount_impact_on_profit_2000_rows[[#This Row],[order date]])</f>
        <v>2025</v>
      </c>
      <c r="M397" t="str">
        <f>IF(discount_impact_on_profit_2000_rows[[#This Row],[Discount %]]=0,"Zero Discount",IF(discount_impact_on_profit_2000_rows[[#This Row],[Discount %]]&lt;=10,"Low Discount","High Discount"))</f>
        <v>High Discount</v>
      </c>
      <c r="N397" t="str">
        <f t="shared" si="6"/>
        <v>20-30%</v>
      </c>
    </row>
    <row r="398" spans="1:14">
      <c r="A398" s="1">
        <v>45433</v>
      </c>
      <c r="B398" t="s">
        <v>460</v>
      </c>
      <c r="C398" t="s">
        <v>15</v>
      </c>
      <c r="D398" t="s">
        <v>99</v>
      </c>
      <c r="E398">
        <v>1043.51</v>
      </c>
      <c r="F398" t="s">
        <v>36</v>
      </c>
      <c r="G398">
        <v>1178.6600000000001</v>
      </c>
      <c r="H398">
        <v>135.15</v>
      </c>
      <c r="I398">
        <v>10</v>
      </c>
      <c r="J398">
        <v>1</v>
      </c>
      <c r="K398" t="str">
        <f>TEXT(discount_impact_on_profit_2000_rows[[#This Row],[order date]],"mmmm")</f>
        <v>May</v>
      </c>
      <c r="L398">
        <f>YEAR(discount_impact_on_profit_2000_rows[[#This Row],[order date]])</f>
        <v>2024</v>
      </c>
      <c r="M398" t="str">
        <f>IF(discount_impact_on_profit_2000_rows[[#This Row],[Discount %]]=0,"Zero Discount",IF(discount_impact_on_profit_2000_rows[[#This Row],[Discount %]]&lt;=10,"Low Discount","High Discount"))</f>
        <v>Low Discount</v>
      </c>
      <c r="N398" t="str">
        <f t="shared" si="6"/>
        <v>0-10%</v>
      </c>
    </row>
    <row r="399" spans="1:14">
      <c r="A399" s="1">
        <v>45296</v>
      </c>
      <c r="B399" t="s">
        <v>461</v>
      </c>
      <c r="C399" t="s">
        <v>21</v>
      </c>
      <c r="D399" t="s">
        <v>46</v>
      </c>
      <c r="E399">
        <v>17853.939999999999</v>
      </c>
      <c r="F399" t="s">
        <v>26</v>
      </c>
      <c r="G399">
        <v>21957.8</v>
      </c>
      <c r="H399">
        <v>4103.8599999999997</v>
      </c>
      <c r="I399">
        <v>5</v>
      </c>
      <c r="J399">
        <v>1</v>
      </c>
      <c r="K399" t="str">
        <f>TEXT(discount_impact_on_profit_2000_rows[[#This Row],[order date]],"mmmm")</f>
        <v>January</v>
      </c>
      <c r="L399">
        <f>YEAR(discount_impact_on_profit_2000_rows[[#This Row],[order date]])</f>
        <v>2024</v>
      </c>
      <c r="M399" t="str">
        <f>IF(discount_impact_on_profit_2000_rows[[#This Row],[Discount %]]=0,"Zero Discount",IF(discount_impact_on_profit_2000_rows[[#This Row],[Discount %]]&lt;=10,"Low Discount","High Discount"))</f>
        <v>Low Discount</v>
      </c>
      <c r="N399" t="str">
        <f t="shared" si="6"/>
        <v>0-10%</v>
      </c>
    </row>
    <row r="400" spans="1:14">
      <c r="A400" s="1">
        <v>45041</v>
      </c>
      <c r="B400" t="s">
        <v>462</v>
      </c>
      <c r="C400" t="s">
        <v>15</v>
      </c>
      <c r="D400" t="s">
        <v>40</v>
      </c>
      <c r="E400">
        <v>38390.519999999997</v>
      </c>
      <c r="F400" t="s">
        <v>23</v>
      </c>
      <c r="G400">
        <v>47512.24</v>
      </c>
      <c r="H400">
        <v>9121.7199999999993</v>
      </c>
      <c r="I400">
        <v>0</v>
      </c>
      <c r="J400">
        <v>8</v>
      </c>
      <c r="K400" t="str">
        <f>TEXT(discount_impact_on_profit_2000_rows[[#This Row],[order date]],"mmmm")</f>
        <v>April</v>
      </c>
      <c r="L400">
        <f>YEAR(discount_impact_on_profit_2000_rows[[#This Row],[order date]])</f>
        <v>2023</v>
      </c>
      <c r="M400" t="str">
        <f>IF(discount_impact_on_profit_2000_rows[[#This Row],[Discount %]]=0,"Zero Discount",IF(discount_impact_on_profit_2000_rows[[#This Row],[Discount %]]&lt;=10,"Low Discount","High Discount"))</f>
        <v>Zero Discount</v>
      </c>
      <c r="N400" t="str">
        <f t="shared" si="6"/>
        <v>0-10%</v>
      </c>
    </row>
    <row r="401" spans="1:14">
      <c r="A401" s="1">
        <v>44949</v>
      </c>
      <c r="B401" t="s">
        <v>463</v>
      </c>
      <c r="C401" t="s">
        <v>33</v>
      </c>
      <c r="D401" t="s">
        <v>92</v>
      </c>
      <c r="E401">
        <v>59918.58</v>
      </c>
      <c r="F401" t="s">
        <v>31</v>
      </c>
      <c r="G401">
        <v>84695.78</v>
      </c>
      <c r="H401">
        <v>24777.200000000001</v>
      </c>
      <c r="I401">
        <v>5</v>
      </c>
      <c r="J401">
        <v>6</v>
      </c>
      <c r="K401" t="str">
        <f>TEXT(discount_impact_on_profit_2000_rows[[#This Row],[order date]],"mmmm")</f>
        <v>January</v>
      </c>
      <c r="L401">
        <f>YEAR(discount_impact_on_profit_2000_rows[[#This Row],[order date]])</f>
        <v>2023</v>
      </c>
      <c r="M401" t="str">
        <f>IF(discount_impact_on_profit_2000_rows[[#This Row],[Discount %]]=0,"Zero Discount",IF(discount_impact_on_profit_2000_rows[[#This Row],[Discount %]]&lt;=10,"Low Discount","High Discount"))</f>
        <v>Low Discount</v>
      </c>
      <c r="N401" t="str">
        <f t="shared" si="6"/>
        <v>0-10%</v>
      </c>
    </row>
    <row r="402" spans="1:14">
      <c r="A402" s="1">
        <v>45652</v>
      </c>
      <c r="B402" t="s">
        <v>464</v>
      </c>
      <c r="C402" t="s">
        <v>18</v>
      </c>
      <c r="D402" t="s">
        <v>42</v>
      </c>
      <c r="E402">
        <v>2021.77</v>
      </c>
      <c r="F402" t="s">
        <v>31</v>
      </c>
      <c r="G402">
        <v>3784.56</v>
      </c>
      <c r="H402">
        <v>1762.79</v>
      </c>
      <c r="I402">
        <v>0</v>
      </c>
      <c r="J402">
        <v>3</v>
      </c>
      <c r="K402" t="str">
        <f>TEXT(discount_impact_on_profit_2000_rows[[#This Row],[order date]],"mmmm")</f>
        <v>December</v>
      </c>
      <c r="L402">
        <f>YEAR(discount_impact_on_profit_2000_rows[[#This Row],[order date]])</f>
        <v>2024</v>
      </c>
      <c r="M402" t="str">
        <f>IF(discount_impact_on_profit_2000_rows[[#This Row],[Discount %]]=0,"Zero Discount",IF(discount_impact_on_profit_2000_rows[[#This Row],[Discount %]]&lt;=10,"Low Discount","High Discount"))</f>
        <v>Zero Discount</v>
      </c>
      <c r="N402" t="str">
        <f t="shared" si="6"/>
        <v>0-10%</v>
      </c>
    </row>
    <row r="403" spans="1:14">
      <c r="A403" s="1">
        <v>45744</v>
      </c>
      <c r="B403" t="s">
        <v>465</v>
      </c>
      <c r="C403" t="s">
        <v>18</v>
      </c>
      <c r="D403" t="s">
        <v>188</v>
      </c>
      <c r="E403">
        <v>1253.32</v>
      </c>
      <c r="F403" t="s">
        <v>36</v>
      </c>
      <c r="G403">
        <v>2441.33</v>
      </c>
      <c r="H403">
        <v>1188.01</v>
      </c>
      <c r="I403">
        <v>10</v>
      </c>
      <c r="J403">
        <v>8</v>
      </c>
      <c r="K403" t="str">
        <f>TEXT(discount_impact_on_profit_2000_rows[[#This Row],[order date]],"mmmm")</f>
        <v>March</v>
      </c>
      <c r="L403">
        <f>YEAR(discount_impact_on_profit_2000_rows[[#This Row],[order date]])</f>
        <v>2025</v>
      </c>
      <c r="M403" t="str">
        <f>IF(discount_impact_on_profit_2000_rows[[#This Row],[Discount %]]=0,"Zero Discount",IF(discount_impact_on_profit_2000_rows[[#This Row],[Discount %]]&lt;=10,"Low Discount","High Discount"))</f>
        <v>Low Discount</v>
      </c>
      <c r="N403" t="str">
        <f t="shared" si="6"/>
        <v>0-10%</v>
      </c>
    </row>
    <row r="404" spans="1:14">
      <c r="A404" s="1">
        <v>45326</v>
      </c>
      <c r="B404" t="s">
        <v>466</v>
      </c>
      <c r="C404" t="s">
        <v>53</v>
      </c>
      <c r="D404" t="s">
        <v>78</v>
      </c>
      <c r="E404">
        <v>541.13</v>
      </c>
      <c r="F404" t="s">
        <v>26</v>
      </c>
      <c r="G404">
        <v>1070.22</v>
      </c>
      <c r="H404">
        <v>529.09</v>
      </c>
      <c r="I404">
        <v>10</v>
      </c>
      <c r="J404">
        <v>2</v>
      </c>
      <c r="K404" t="str">
        <f>TEXT(discount_impact_on_profit_2000_rows[[#This Row],[order date]],"mmmm")</f>
        <v>February</v>
      </c>
      <c r="L404">
        <f>YEAR(discount_impact_on_profit_2000_rows[[#This Row],[order date]])</f>
        <v>2024</v>
      </c>
      <c r="M404" t="str">
        <f>IF(discount_impact_on_profit_2000_rows[[#This Row],[Discount %]]=0,"Zero Discount",IF(discount_impact_on_profit_2000_rows[[#This Row],[Discount %]]&lt;=10,"Low Discount","High Discount"))</f>
        <v>Low Discount</v>
      </c>
      <c r="N404" t="str">
        <f t="shared" si="6"/>
        <v>0-10%</v>
      </c>
    </row>
    <row r="405" spans="1:14">
      <c r="A405" s="1">
        <v>45546</v>
      </c>
      <c r="B405" t="s">
        <v>467</v>
      </c>
      <c r="C405" t="s">
        <v>21</v>
      </c>
      <c r="D405" t="s">
        <v>97</v>
      </c>
      <c r="E405">
        <v>1999.24</v>
      </c>
      <c r="F405" t="s">
        <v>31</v>
      </c>
      <c r="G405">
        <v>2623.33</v>
      </c>
      <c r="H405">
        <v>624.09</v>
      </c>
      <c r="I405">
        <v>10</v>
      </c>
      <c r="J405">
        <v>1</v>
      </c>
      <c r="K405" t="str">
        <f>TEXT(discount_impact_on_profit_2000_rows[[#This Row],[order date]],"mmmm")</f>
        <v>September</v>
      </c>
      <c r="L405">
        <f>YEAR(discount_impact_on_profit_2000_rows[[#This Row],[order date]])</f>
        <v>2024</v>
      </c>
      <c r="M405" t="str">
        <f>IF(discount_impact_on_profit_2000_rows[[#This Row],[Discount %]]=0,"Zero Discount",IF(discount_impact_on_profit_2000_rows[[#This Row],[Discount %]]&lt;=10,"Low Discount","High Discount"))</f>
        <v>Low Discount</v>
      </c>
      <c r="N405" t="str">
        <f t="shared" si="6"/>
        <v>0-10%</v>
      </c>
    </row>
    <row r="406" spans="1:14">
      <c r="A406" s="1">
        <v>45382</v>
      </c>
      <c r="B406" t="s">
        <v>468</v>
      </c>
      <c r="C406" t="s">
        <v>18</v>
      </c>
      <c r="D406" t="s">
        <v>104</v>
      </c>
      <c r="E406">
        <v>1638.72</v>
      </c>
      <c r="F406" t="s">
        <v>26</v>
      </c>
      <c r="G406">
        <v>3268.55</v>
      </c>
      <c r="H406">
        <v>1629.83</v>
      </c>
      <c r="I406">
        <v>0</v>
      </c>
      <c r="J406">
        <v>2</v>
      </c>
      <c r="K406" t="str">
        <f>TEXT(discount_impact_on_profit_2000_rows[[#This Row],[order date]],"mmmm")</f>
        <v>March</v>
      </c>
      <c r="L406">
        <f>YEAR(discount_impact_on_profit_2000_rows[[#This Row],[order date]])</f>
        <v>2024</v>
      </c>
      <c r="M406" t="str">
        <f>IF(discount_impact_on_profit_2000_rows[[#This Row],[Discount %]]=0,"Zero Discount",IF(discount_impact_on_profit_2000_rows[[#This Row],[Discount %]]&lt;=10,"Low Discount","High Discount"))</f>
        <v>Zero Discount</v>
      </c>
      <c r="N406" t="str">
        <f t="shared" si="6"/>
        <v>0-10%</v>
      </c>
    </row>
    <row r="407" spans="1:14">
      <c r="A407" s="1">
        <v>45008</v>
      </c>
      <c r="B407" t="s">
        <v>469</v>
      </c>
      <c r="C407" t="s">
        <v>11</v>
      </c>
      <c r="D407" t="s">
        <v>25</v>
      </c>
      <c r="E407">
        <v>858.29</v>
      </c>
      <c r="F407" t="s">
        <v>36</v>
      </c>
      <c r="G407">
        <v>1882.59</v>
      </c>
      <c r="H407">
        <v>1024.3</v>
      </c>
      <c r="I407">
        <v>10</v>
      </c>
      <c r="J407">
        <v>1</v>
      </c>
      <c r="K407" t="str">
        <f>TEXT(discount_impact_on_profit_2000_rows[[#This Row],[order date]],"mmmm")</f>
        <v>March</v>
      </c>
      <c r="L407">
        <f>YEAR(discount_impact_on_profit_2000_rows[[#This Row],[order date]])</f>
        <v>2023</v>
      </c>
      <c r="M407" t="str">
        <f>IF(discount_impact_on_profit_2000_rows[[#This Row],[Discount %]]=0,"Zero Discount",IF(discount_impact_on_profit_2000_rows[[#This Row],[Discount %]]&lt;=10,"Low Discount","High Discount"))</f>
        <v>Low Discount</v>
      </c>
      <c r="N407" t="str">
        <f t="shared" si="6"/>
        <v>0-10%</v>
      </c>
    </row>
    <row r="408" spans="1:14">
      <c r="A408" s="1">
        <v>45663</v>
      </c>
      <c r="B408" t="s">
        <v>470</v>
      </c>
      <c r="C408" t="s">
        <v>18</v>
      </c>
      <c r="D408" t="s">
        <v>104</v>
      </c>
      <c r="E408">
        <v>59.22</v>
      </c>
      <c r="F408" t="s">
        <v>26</v>
      </c>
      <c r="G408">
        <v>78.62</v>
      </c>
      <c r="H408">
        <v>19.399999999999999</v>
      </c>
      <c r="I408">
        <v>20</v>
      </c>
      <c r="J408">
        <v>1</v>
      </c>
      <c r="K408" t="str">
        <f>TEXT(discount_impact_on_profit_2000_rows[[#This Row],[order date]],"mmmm")</f>
        <v>January</v>
      </c>
      <c r="L408">
        <f>YEAR(discount_impact_on_profit_2000_rows[[#This Row],[order date]])</f>
        <v>2025</v>
      </c>
      <c r="M408" t="str">
        <f>IF(discount_impact_on_profit_2000_rows[[#This Row],[Discount %]]=0,"Zero Discount",IF(discount_impact_on_profit_2000_rows[[#This Row],[Discount %]]&lt;=10,"Low Discount","High Discount"))</f>
        <v>High Discount</v>
      </c>
      <c r="N408" t="str">
        <f t="shared" si="6"/>
        <v>10-20%</v>
      </c>
    </row>
    <row r="409" spans="1:14">
      <c r="A409" s="1">
        <v>45011</v>
      </c>
      <c r="B409" t="s">
        <v>471</v>
      </c>
      <c r="C409" t="s">
        <v>11</v>
      </c>
      <c r="D409" t="s">
        <v>207</v>
      </c>
      <c r="E409">
        <v>13190.54</v>
      </c>
      <c r="F409" t="s">
        <v>23</v>
      </c>
      <c r="G409">
        <v>33469.35</v>
      </c>
      <c r="H409">
        <v>20278.810000000001</v>
      </c>
      <c r="I409">
        <v>0</v>
      </c>
      <c r="J409">
        <v>10</v>
      </c>
      <c r="K409" t="str">
        <f>TEXT(discount_impact_on_profit_2000_rows[[#This Row],[order date]],"mmmm")</f>
        <v>March</v>
      </c>
      <c r="L409">
        <f>YEAR(discount_impact_on_profit_2000_rows[[#This Row],[order date]])</f>
        <v>2023</v>
      </c>
      <c r="M409" t="str">
        <f>IF(discount_impact_on_profit_2000_rows[[#This Row],[Discount %]]=0,"Zero Discount",IF(discount_impact_on_profit_2000_rows[[#This Row],[Discount %]]&lt;=10,"Low Discount","High Discount"))</f>
        <v>Zero Discount</v>
      </c>
      <c r="N409" t="str">
        <f t="shared" si="6"/>
        <v>0-10%</v>
      </c>
    </row>
    <row r="410" spans="1:14">
      <c r="A410" s="1">
        <v>45320</v>
      </c>
      <c r="B410" t="s">
        <v>472</v>
      </c>
      <c r="C410" t="s">
        <v>11</v>
      </c>
      <c r="D410" t="s">
        <v>207</v>
      </c>
      <c r="E410">
        <v>408.71</v>
      </c>
      <c r="F410" t="s">
        <v>31</v>
      </c>
      <c r="G410">
        <v>899.18</v>
      </c>
      <c r="H410">
        <v>490.47</v>
      </c>
      <c r="I410">
        <v>10</v>
      </c>
      <c r="J410">
        <v>1</v>
      </c>
      <c r="K410" t="str">
        <f>TEXT(discount_impact_on_profit_2000_rows[[#This Row],[order date]],"mmmm")</f>
        <v>January</v>
      </c>
      <c r="L410">
        <f>YEAR(discount_impact_on_profit_2000_rows[[#This Row],[order date]])</f>
        <v>2024</v>
      </c>
      <c r="M410" t="str">
        <f>IF(discount_impact_on_profit_2000_rows[[#This Row],[Discount %]]=0,"Zero Discount",IF(discount_impact_on_profit_2000_rows[[#This Row],[Discount %]]&lt;=10,"Low Discount","High Discount"))</f>
        <v>Low Discount</v>
      </c>
      <c r="N410" t="str">
        <f t="shared" si="6"/>
        <v>0-10%</v>
      </c>
    </row>
    <row r="411" spans="1:14">
      <c r="A411" s="1">
        <v>45470</v>
      </c>
      <c r="B411" t="s">
        <v>473</v>
      </c>
      <c r="C411" t="s">
        <v>15</v>
      </c>
      <c r="D411" t="s">
        <v>84</v>
      </c>
      <c r="E411">
        <v>3663.07</v>
      </c>
      <c r="F411" t="s">
        <v>31</v>
      </c>
      <c r="G411">
        <v>4726.9399999999996</v>
      </c>
      <c r="H411">
        <v>1063.8699999999999</v>
      </c>
      <c r="I411">
        <v>10</v>
      </c>
      <c r="J411">
        <v>1</v>
      </c>
      <c r="K411" t="str">
        <f>TEXT(discount_impact_on_profit_2000_rows[[#This Row],[order date]],"mmmm")</f>
        <v>June</v>
      </c>
      <c r="L411">
        <f>YEAR(discount_impact_on_profit_2000_rows[[#This Row],[order date]])</f>
        <v>2024</v>
      </c>
      <c r="M411" t="str">
        <f>IF(discount_impact_on_profit_2000_rows[[#This Row],[Discount %]]=0,"Zero Discount",IF(discount_impact_on_profit_2000_rows[[#This Row],[Discount %]]&lt;=10,"Low Discount","High Discount"))</f>
        <v>Low Discount</v>
      </c>
      <c r="N411" t="str">
        <f t="shared" si="6"/>
        <v>0-10%</v>
      </c>
    </row>
    <row r="412" spans="1:14">
      <c r="A412" s="1">
        <v>45406</v>
      </c>
      <c r="B412" t="s">
        <v>474</v>
      </c>
      <c r="C412" t="s">
        <v>11</v>
      </c>
      <c r="D412" t="s">
        <v>25</v>
      </c>
      <c r="E412">
        <v>1779.86</v>
      </c>
      <c r="F412" t="s">
        <v>36</v>
      </c>
      <c r="G412">
        <v>3078.91</v>
      </c>
      <c r="H412">
        <v>1299.05</v>
      </c>
      <c r="I412">
        <v>10</v>
      </c>
      <c r="J412">
        <v>1</v>
      </c>
      <c r="K412" t="str">
        <f>TEXT(discount_impact_on_profit_2000_rows[[#This Row],[order date]],"mmmm")</f>
        <v>April</v>
      </c>
      <c r="L412">
        <f>YEAR(discount_impact_on_profit_2000_rows[[#This Row],[order date]])</f>
        <v>2024</v>
      </c>
      <c r="M412" t="str">
        <f>IF(discount_impact_on_profit_2000_rows[[#This Row],[Discount %]]=0,"Zero Discount",IF(discount_impact_on_profit_2000_rows[[#This Row],[Discount %]]&lt;=10,"Low Discount","High Discount"))</f>
        <v>Low Discount</v>
      </c>
      <c r="N412" t="str">
        <f t="shared" si="6"/>
        <v>0-10%</v>
      </c>
    </row>
    <row r="413" spans="1:14">
      <c r="A413" s="1">
        <v>45489</v>
      </c>
      <c r="B413" t="s">
        <v>475</v>
      </c>
      <c r="C413" t="s">
        <v>53</v>
      </c>
      <c r="D413" t="s">
        <v>54</v>
      </c>
      <c r="E413">
        <v>6239.28</v>
      </c>
      <c r="F413" t="s">
        <v>23</v>
      </c>
      <c r="G413">
        <v>9771.4699999999993</v>
      </c>
      <c r="H413">
        <v>3532.19</v>
      </c>
      <c r="I413">
        <v>15</v>
      </c>
      <c r="J413">
        <v>10</v>
      </c>
      <c r="K413" t="str">
        <f>TEXT(discount_impact_on_profit_2000_rows[[#This Row],[order date]],"mmmm")</f>
        <v>July</v>
      </c>
      <c r="L413">
        <f>YEAR(discount_impact_on_profit_2000_rows[[#This Row],[order date]])</f>
        <v>2024</v>
      </c>
      <c r="M413" t="str">
        <f>IF(discount_impact_on_profit_2000_rows[[#This Row],[Discount %]]=0,"Zero Discount",IF(discount_impact_on_profit_2000_rows[[#This Row],[Discount %]]&lt;=10,"Low Discount","High Discount"))</f>
        <v>High Discount</v>
      </c>
      <c r="N413" t="str">
        <f t="shared" si="6"/>
        <v>10-20%</v>
      </c>
    </row>
    <row r="414" spans="1:14">
      <c r="A414" s="1">
        <v>45884</v>
      </c>
      <c r="B414" t="s">
        <v>476</v>
      </c>
      <c r="C414" t="s">
        <v>11</v>
      </c>
      <c r="D414" t="s">
        <v>12</v>
      </c>
      <c r="E414">
        <v>1594.54</v>
      </c>
      <c r="F414" t="s">
        <v>26</v>
      </c>
      <c r="G414">
        <v>2693.47</v>
      </c>
      <c r="H414">
        <v>1098.93</v>
      </c>
      <c r="I414">
        <v>5</v>
      </c>
      <c r="J414">
        <v>1</v>
      </c>
      <c r="K414" t="str">
        <f>TEXT(discount_impact_on_profit_2000_rows[[#This Row],[order date]],"mmmm")</f>
        <v>August</v>
      </c>
      <c r="L414">
        <f>YEAR(discount_impact_on_profit_2000_rows[[#This Row],[order date]])</f>
        <v>2025</v>
      </c>
      <c r="M414" t="str">
        <f>IF(discount_impact_on_profit_2000_rows[[#This Row],[Discount %]]=0,"Zero Discount",IF(discount_impact_on_profit_2000_rows[[#This Row],[Discount %]]&lt;=10,"Low Discount","High Discount"))</f>
        <v>Low Discount</v>
      </c>
      <c r="N414" t="str">
        <f t="shared" si="6"/>
        <v>0-10%</v>
      </c>
    </row>
    <row r="415" spans="1:14">
      <c r="A415" s="1">
        <v>45918</v>
      </c>
      <c r="B415" t="s">
        <v>477</v>
      </c>
      <c r="C415" t="s">
        <v>21</v>
      </c>
      <c r="D415" t="s">
        <v>82</v>
      </c>
      <c r="E415">
        <v>16243.4</v>
      </c>
      <c r="F415" t="s">
        <v>26</v>
      </c>
      <c r="G415">
        <v>19036.939999999999</v>
      </c>
      <c r="H415">
        <v>2793.54</v>
      </c>
      <c r="I415">
        <v>0</v>
      </c>
      <c r="J415">
        <v>4</v>
      </c>
      <c r="K415" t="str">
        <f>TEXT(discount_impact_on_profit_2000_rows[[#This Row],[order date]],"mmmm")</f>
        <v>September</v>
      </c>
      <c r="L415">
        <f>YEAR(discount_impact_on_profit_2000_rows[[#This Row],[order date]])</f>
        <v>2025</v>
      </c>
      <c r="M415" t="str">
        <f>IF(discount_impact_on_profit_2000_rows[[#This Row],[Discount %]]=0,"Zero Discount",IF(discount_impact_on_profit_2000_rows[[#This Row],[Discount %]]&lt;=10,"Low Discount","High Discount"))</f>
        <v>Zero Discount</v>
      </c>
      <c r="N415" t="str">
        <f t="shared" si="6"/>
        <v>0-10%</v>
      </c>
    </row>
    <row r="416" spans="1:14">
      <c r="A416" s="1">
        <v>45835</v>
      </c>
      <c r="B416" t="s">
        <v>478</v>
      </c>
      <c r="C416" t="s">
        <v>21</v>
      </c>
      <c r="D416" t="s">
        <v>57</v>
      </c>
      <c r="E416">
        <v>2028.87</v>
      </c>
      <c r="F416" t="s">
        <v>13</v>
      </c>
      <c r="G416">
        <v>2648.08</v>
      </c>
      <c r="H416">
        <v>619.21</v>
      </c>
      <c r="I416">
        <v>0</v>
      </c>
      <c r="J416">
        <v>2</v>
      </c>
      <c r="K416" t="str">
        <f>TEXT(discount_impact_on_profit_2000_rows[[#This Row],[order date]],"mmmm")</f>
        <v>June</v>
      </c>
      <c r="L416">
        <f>YEAR(discount_impact_on_profit_2000_rows[[#This Row],[order date]])</f>
        <v>2025</v>
      </c>
      <c r="M416" t="str">
        <f>IF(discount_impact_on_profit_2000_rows[[#This Row],[Discount %]]=0,"Zero Discount",IF(discount_impact_on_profit_2000_rows[[#This Row],[Discount %]]&lt;=10,"Low Discount","High Discount"))</f>
        <v>Zero Discount</v>
      </c>
      <c r="N416" t="str">
        <f t="shared" si="6"/>
        <v>0-10%</v>
      </c>
    </row>
    <row r="417" spans="1:14">
      <c r="A417" s="1">
        <v>45583</v>
      </c>
      <c r="B417" t="s">
        <v>479</v>
      </c>
      <c r="C417" t="s">
        <v>15</v>
      </c>
      <c r="D417" t="s">
        <v>76</v>
      </c>
      <c r="E417">
        <v>7172.94</v>
      </c>
      <c r="F417" t="s">
        <v>31</v>
      </c>
      <c r="G417">
        <v>8941.17</v>
      </c>
      <c r="H417">
        <v>1768.23</v>
      </c>
      <c r="I417">
        <v>0</v>
      </c>
      <c r="J417">
        <v>1</v>
      </c>
      <c r="K417" t="str">
        <f>TEXT(discount_impact_on_profit_2000_rows[[#This Row],[order date]],"mmmm")</f>
        <v>October</v>
      </c>
      <c r="L417">
        <f>YEAR(discount_impact_on_profit_2000_rows[[#This Row],[order date]])</f>
        <v>2024</v>
      </c>
      <c r="M417" t="str">
        <f>IF(discount_impact_on_profit_2000_rows[[#This Row],[Discount %]]=0,"Zero Discount",IF(discount_impact_on_profit_2000_rows[[#This Row],[Discount %]]&lt;=10,"Low Discount","High Discount"))</f>
        <v>Zero Discount</v>
      </c>
      <c r="N417" t="str">
        <f t="shared" si="6"/>
        <v>0-10%</v>
      </c>
    </row>
    <row r="418" spans="1:14">
      <c r="A418" s="1">
        <v>45054</v>
      </c>
      <c r="B418" t="s">
        <v>480</v>
      </c>
      <c r="C418" t="s">
        <v>18</v>
      </c>
      <c r="D418" t="s">
        <v>140</v>
      </c>
      <c r="E418">
        <v>935.94</v>
      </c>
      <c r="F418" t="s">
        <v>23</v>
      </c>
      <c r="G418">
        <v>1374.81</v>
      </c>
      <c r="H418">
        <v>438.87</v>
      </c>
      <c r="I418">
        <v>5</v>
      </c>
      <c r="J418">
        <v>1</v>
      </c>
      <c r="K418" t="str">
        <f>TEXT(discount_impact_on_profit_2000_rows[[#This Row],[order date]],"mmmm")</f>
        <v>May</v>
      </c>
      <c r="L418">
        <f>YEAR(discount_impact_on_profit_2000_rows[[#This Row],[order date]])</f>
        <v>2023</v>
      </c>
      <c r="M418" t="str">
        <f>IF(discount_impact_on_profit_2000_rows[[#This Row],[Discount %]]=0,"Zero Discount",IF(discount_impact_on_profit_2000_rows[[#This Row],[Discount %]]&lt;=10,"Low Discount","High Discount"))</f>
        <v>Low Discount</v>
      </c>
      <c r="N418" t="str">
        <f t="shared" si="6"/>
        <v>0-10%</v>
      </c>
    </row>
    <row r="419" spans="1:14">
      <c r="A419" s="1">
        <v>45521</v>
      </c>
      <c r="B419" t="s">
        <v>481</v>
      </c>
      <c r="C419" t="s">
        <v>11</v>
      </c>
      <c r="D419" t="s">
        <v>25</v>
      </c>
      <c r="E419">
        <v>434.56</v>
      </c>
      <c r="F419" t="s">
        <v>36</v>
      </c>
      <c r="G419">
        <v>597.52</v>
      </c>
      <c r="H419">
        <v>162.96</v>
      </c>
      <c r="I419">
        <v>15</v>
      </c>
      <c r="J419">
        <v>1</v>
      </c>
      <c r="K419" t="str">
        <f>TEXT(discount_impact_on_profit_2000_rows[[#This Row],[order date]],"mmmm")</f>
        <v>August</v>
      </c>
      <c r="L419">
        <f>YEAR(discount_impact_on_profit_2000_rows[[#This Row],[order date]])</f>
        <v>2024</v>
      </c>
      <c r="M419" t="str">
        <f>IF(discount_impact_on_profit_2000_rows[[#This Row],[Discount %]]=0,"Zero Discount",IF(discount_impact_on_profit_2000_rows[[#This Row],[Discount %]]&lt;=10,"Low Discount","High Discount"))</f>
        <v>High Discount</v>
      </c>
      <c r="N419" t="str">
        <f t="shared" si="6"/>
        <v>10-20%</v>
      </c>
    </row>
    <row r="420" spans="1:14">
      <c r="A420" s="1">
        <v>45482</v>
      </c>
      <c r="B420" t="s">
        <v>482</v>
      </c>
      <c r="C420" t="s">
        <v>33</v>
      </c>
      <c r="D420" t="s">
        <v>102</v>
      </c>
      <c r="E420">
        <v>12885.54</v>
      </c>
      <c r="F420" t="s">
        <v>36</v>
      </c>
      <c r="G420">
        <v>18488.72</v>
      </c>
      <c r="H420">
        <v>5603.18</v>
      </c>
      <c r="I420">
        <v>10</v>
      </c>
      <c r="J420">
        <v>3</v>
      </c>
      <c r="K420" t="str">
        <f>TEXT(discount_impact_on_profit_2000_rows[[#This Row],[order date]],"mmmm")</f>
        <v>July</v>
      </c>
      <c r="L420">
        <f>YEAR(discount_impact_on_profit_2000_rows[[#This Row],[order date]])</f>
        <v>2024</v>
      </c>
      <c r="M420" t="str">
        <f>IF(discount_impact_on_profit_2000_rows[[#This Row],[Discount %]]=0,"Zero Discount",IF(discount_impact_on_profit_2000_rows[[#This Row],[Discount %]]&lt;=10,"Low Discount","High Discount"))</f>
        <v>Low Discount</v>
      </c>
      <c r="N420" t="str">
        <f t="shared" si="6"/>
        <v>0-10%</v>
      </c>
    </row>
    <row r="421" spans="1:14">
      <c r="A421" s="1">
        <v>45614</v>
      </c>
      <c r="B421" t="s">
        <v>483</v>
      </c>
      <c r="C421" t="s">
        <v>15</v>
      </c>
      <c r="D421" t="s">
        <v>84</v>
      </c>
      <c r="E421">
        <v>5612.45</v>
      </c>
      <c r="F421" t="s">
        <v>36</v>
      </c>
      <c r="G421">
        <v>6557.02</v>
      </c>
      <c r="H421">
        <v>944.57</v>
      </c>
      <c r="I421">
        <v>20</v>
      </c>
      <c r="J421">
        <v>1</v>
      </c>
      <c r="K421" t="str">
        <f>TEXT(discount_impact_on_profit_2000_rows[[#This Row],[order date]],"mmmm")</f>
        <v>November</v>
      </c>
      <c r="L421">
        <f>YEAR(discount_impact_on_profit_2000_rows[[#This Row],[order date]])</f>
        <v>2024</v>
      </c>
      <c r="M421" t="str">
        <f>IF(discount_impact_on_profit_2000_rows[[#This Row],[Discount %]]=0,"Zero Discount",IF(discount_impact_on_profit_2000_rows[[#This Row],[Discount %]]&lt;=10,"Low Discount","High Discount"))</f>
        <v>High Discount</v>
      </c>
      <c r="N421" t="str">
        <f t="shared" si="6"/>
        <v>10-20%</v>
      </c>
    </row>
    <row r="422" spans="1:14">
      <c r="A422" s="1">
        <v>45860</v>
      </c>
      <c r="B422" t="s">
        <v>484</v>
      </c>
      <c r="C422" t="s">
        <v>18</v>
      </c>
      <c r="D422" t="s">
        <v>42</v>
      </c>
      <c r="E422">
        <v>1512.83</v>
      </c>
      <c r="F422" t="s">
        <v>26</v>
      </c>
      <c r="G422">
        <v>3346.88</v>
      </c>
      <c r="H422">
        <v>1834.05</v>
      </c>
      <c r="I422">
        <v>5</v>
      </c>
      <c r="J422">
        <v>2</v>
      </c>
      <c r="K422" t="str">
        <f>TEXT(discount_impact_on_profit_2000_rows[[#This Row],[order date]],"mmmm")</f>
        <v>July</v>
      </c>
      <c r="L422">
        <f>YEAR(discount_impact_on_profit_2000_rows[[#This Row],[order date]])</f>
        <v>2025</v>
      </c>
      <c r="M422" t="str">
        <f>IF(discount_impact_on_profit_2000_rows[[#This Row],[Discount %]]=0,"Zero Discount",IF(discount_impact_on_profit_2000_rows[[#This Row],[Discount %]]&lt;=10,"Low Discount","High Discount"))</f>
        <v>Low Discount</v>
      </c>
      <c r="N422" t="str">
        <f t="shared" si="6"/>
        <v>0-10%</v>
      </c>
    </row>
    <row r="423" spans="1:14">
      <c r="A423" s="1">
        <v>45786</v>
      </c>
      <c r="B423" t="s">
        <v>485</v>
      </c>
      <c r="C423" t="s">
        <v>21</v>
      </c>
      <c r="D423" t="s">
        <v>22</v>
      </c>
      <c r="E423">
        <v>21108.54</v>
      </c>
      <c r="F423" t="s">
        <v>31</v>
      </c>
      <c r="G423">
        <v>23466.63</v>
      </c>
      <c r="H423">
        <v>2358.09</v>
      </c>
      <c r="I423">
        <v>20</v>
      </c>
      <c r="J423">
        <v>5</v>
      </c>
      <c r="K423" t="str">
        <f>TEXT(discount_impact_on_profit_2000_rows[[#This Row],[order date]],"mmmm")</f>
        <v>May</v>
      </c>
      <c r="L423">
        <f>YEAR(discount_impact_on_profit_2000_rows[[#This Row],[order date]])</f>
        <v>2025</v>
      </c>
      <c r="M423" t="str">
        <f>IF(discount_impact_on_profit_2000_rows[[#This Row],[Discount %]]=0,"Zero Discount",IF(discount_impact_on_profit_2000_rows[[#This Row],[Discount %]]&lt;=10,"Low Discount","High Discount"))</f>
        <v>High Discount</v>
      </c>
      <c r="N423" t="str">
        <f t="shared" si="6"/>
        <v>10-20%</v>
      </c>
    </row>
    <row r="424" spans="1:14">
      <c r="A424" s="1">
        <v>45910</v>
      </c>
      <c r="B424" t="s">
        <v>486</v>
      </c>
      <c r="C424" t="s">
        <v>33</v>
      </c>
      <c r="D424" t="s">
        <v>273</v>
      </c>
      <c r="E424">
        <v>4591.7299999999996</v>
      </c>
      <c r="F424" t="s">
        <v>23</v>
      </c>
      <c r="G424">
        <v>5676.39</v>
      </c>
      <c r="H424">
        <v>1084.6600000000001</v>
      </c>
      <c r="I424">
        <v>5</v>
      </c>
      <c r="J424">
        <v>1</v>
      </c>
      <c r="K424" t="str">
        <f>TEXT(discount_impact_on_profit_2000_rows[[#This Row],[order date]],"mmmm")</f>
        <v>September</v>
      </c>
      <c r="L424">
        <f>YEAR(discount_impact_on_profit_2000_rows[[#This Row],[order date]])</f>
        <v>2025</v>
      </c>
      <c r="M424" t="str">
        <f>IF(discount_impact_on_profit_2000_rows[[#This Row],[Discount %]]=0,"Zero Discount",IF(discount_impact_on_profit_2000_rows[[#This Row],[Discount %]]&lt;=10,"Low Discount","High Discount"))</f>
        <v>Low Discount</v>
      </c>
      <c r="N424" t="str">
        <f t="shared" si="6"/>
        <v>0-10%</v>
      </c>
    </row>
    <row r="425" spans="1:14">
      <c r="A425" s="1">
        <v>45768</v>
      </c>
      <c r="B425" t="s">
        <v>487</v>
      </c>
      <c r="C425" t="s">
        <v>15</v>
      </c>
      <c r="D425" t="s">
        <v>40</v>
      </c>
      <c r="E425">
        <v>4930.93</v>
      </c>
      <c r="F425" t="s">
        <v>26</v>
      </c>
      <c r="G425">
        <v>5342.77</v>
      </c>
      <c r="H425">
        <v>411.84</v>
      </c>
      <c r="I425">
        <v>20</v>
      </c>
      <c r="J425">
        <v>5</v>
      </c>
      <c r="K425" t="str">
        <f>TEXT(discount_impact_on_profit_2000_rows[[#This Row],[order date]],"mmmm")</f>
        <v>April</v>
      </c>
      <c r="L425">
        <f>YEAR(discount_impact_on_profit_2000_rows[[#This Row],[order date]])</f>
        <v>2025</v>
      </c>
      <c r="M425" t="str">
        <f>IF(discount_impact_on_profit_2000_rows[[#This Row],[Discount %]]=0,"Zero Discount",IF(discount_impact_on_profit_2000_rows[[#This Row],[Discount %]]&lt;=10,"Low Discount","High Discount"))</f>
        <v>High Discount</v>
      </c>
      <c r="N425" t="str">
        <f t="shared" si="6"/>
        <v>10-20%</v>
      </c>
    </row>
    <row r="426" spans="1:14">
      <c r="A426" s="1">
        <v>45002</v>
      </c>
      <c r="B426" t="s">
        <v>488</v>
      </c>
      <c r="C426" t="s">
        <v>15</v>
      </c>
      <c r="D426" t="s">
        <v>86</v>
      </c>
      <c r="E426">
        <v>47062.6</v>
      </c>
      <c r="F426" t="s">
        <v>26</v>
      </c>
      <c r="G426">
        <v>58091.18</v>
      </c>
      <c r="H426">
        <v>11028.58</v>
      </c>
      <c r="I426">
        <v>10</v>
      </c>
      <c r="J426">
        <v>4</v>
      </c>
      <c r="K426" t="str">
        <f>TEXT(discount_impact_on_profit_2000_rows[[#This Row],[order date]],"mmmm")</f>
        <v>March</v>
      </c>
      <c r="L426">
        <f>YEAR(discount_impact_on_profit_2000_rows[[#This Row],[order date]])</f>
        <v>2023</v>
      </c>
      <c r="M426" t="str">
        <f>IF(discount_impact_on_profit_2000_rows[[#This Row],[Discount %]]=0,"Zero Discount",IF(discount_impact_on_profit_2000_rows[[#This Row],[Discount %]]&lt;=10,"Low Discount","High Discount"))</f>
        <v>Low Discount</v>
      </c>
      <c r="N426" t="str">
        <f t="shared" si="6"/>
        <v>0-10%</v>
      </c>
    </row>
    <row r="427" spans="1:14">
      <c r="A427" s="1">
        <v>45253</v>
      </c>
      <c r="B427" t="s">
        <v>489</v>
      </c>
      <c r="C427" t="s">
        <v>21</v>
      </c>
      <c r="D427" t="s">
        <v>57</v>
      </c>
      <c r="E427">
        <v>150983.82999999999</v>
      </c>
      <c r="F427" t="s">
        <v>31</v>
      </c>
      <c r="G427">
        <v>151504.29999999999</v>
      </c>
      <c r="H427">
        <v>520.47</v>
      </c>
      <c r="I427">
        <v>15</v>
      </c>
      <c r="J427">
        <v>6</v>
      </c>
      <c r="K427" t="str">
        <f>TEXT(discount_impact_on_profit_2000_rows[[#This Row],[order date]],"mmmm")</f>
        <v>November</v>
      </c>
      <c r="L427">
        <f>YEAR(discount_impact_on_profit_2000_rows[[#This Row],[order date]])</f>
        <v>2023</v>
      </c>
      <c r="M427" t="str">
        <f>IF(discount_impact_on_profit_2000_rows[[#This Row],[Discount %]]=0,"Zero Discount",IF(discount_impact_on_profit_2000_rows[[#This Row],[Discount %]]&lt;=10,"Low Discount","High Discount"))</f>
        <v>High Discount</v>
      </c>
      <c r="N427" t="str">
        <f t="shared" si="6"/>
        <v>10-20%</v>
      </c>
    </row>
    <row r="428" spans="1:14">
      <c r="A428" s="1">
        <v>45689</v>
      </c>
      <c r="B428" t="s">
        <v>490</v>
      </c>
      <c r="C428" t="s">
        <v>21</v>
      </c>
      <c r="D428" t="s">
        <v>97</v>
      </c>
      <c r="E428">
        <v>3214.66</v>
      </c>
      <c r="F428" t="s">
        <v>31</v>
      </c>
      <c r="G428">
        <v>3704.34</v>
      </c>
      <c r="H428">
        <v>489.68</v>
      </c>
      <c r="I428">
        <v>10</v>
      </c>
      <c r="J428">
        <v>3</v>
      </c>
      <c r="K428" t="str">
        <f>TEXT(discount_impact_on_profit_2000_rows[[#This Row],[order date]],"mmmm")</f>
        <v>February</v>
      </c>
      <c r="L428">
        <f>YEAR(discount_impact_on_profit_2000_rows[[#This Row],[order date]])</f>
        <v>2025</v>
      </c>
      <c r="M428" t="str">
        <f>IF(discount_impact_on_profit_2000_rows[[#This Row],[Discount %]]=0,"Zero Discount",IF(discount_impact_on_profit_2000_rows[[#This Row],[Discount %]]&lt;=10,"Low Discount","High Discount"))</f>
        <v>Low Discount</v>
      </c>
      <c r="N428" t="str">
        <f t="shared" si="6"/>
        <v>0-10%</v>
      </c>
    </row>
    <row r="429" spans="1:14">
      <c r="A429" s="1">
        <v>45963</v>
      </c>
      <c r="B429" t="s">
        <v>491</v>
      </c>
      <c r="C429" t="s">
        <v>33</v>
      </c>
      <c r="D429" t="s">
        <v>102</v>
      </c>
      <c r="E429">
        <v>7416.82</v>
      </c>
      <c r="F429" t="s">
        <v>13</v>
      </c>
      <c r="G429">
        <v>9615.33</v>
      </c>
      <c r="H429">
        <v>2198.5100000000002</v>
      </c>
      <c r="I429">
        <v>15</v>
      </c>
      <c r="J429">
        <v>3</v>
      </c>
      <c r="K429" t="str">
        <f>TEXT(discount_impact_on_profit_2000_rows[[#This Row],[order date]],"mmmm")</f>
        <v>November</v>
      </c>
      <c r="L429">
        <f>YEAR(discount_impact_on_profit_2000_rows[[#This Row],[order date]])</f>
        <v>2025</v>
      </c>
      <c r="M429" t="str">
        <f>IF(discount_impact_on_profit_2000_rows[[#This Row],[Discount %]]=0,"Zero Discount",IF(discount_impact_on_profit_2000_rows[[#This Row],[Discount %]]&lt;=10,"Low Discount","High Discount"))</f>
        <v>High Discount</v>
      </c>
      <c r="N429" t="str">
        <f t="shared" si="6"/>
        <v>10-20%</v>
      </c>
    </row>
    <row r="430" spans="1:14">
      <c r="A430" s="1">
        <v>45651</v>
      </c>
      <c r="B430" t="s">
        <v>492</v>
      </c>
      <c r="C430" t="s">
        <v>18</v>
      </c>
      <c r="D430" t="s">
        <v>50</v>
      </c>
      <c r="E430">
        <v>499.11</v>
      </c>
      <c r="F430" t="s">
        <v>36</v>
      </c>
      <c r="G430">
        <v>832.99</v>
      </c>
      <c r="H430">
        <v>333.88</v>
      </c>
      <c r="I430">
        <v>5</v>
      </c>
      <c r="J430">
        <v>2</v>
      </c>
      <c r="K430" t="str">
        <f>TEXT(discount_impact_on_profit_2000_rows[[#This Row],[order date]],"mmmm")</f>
        <v>December</v>
      </c>
      <c r="L430">
        <f>YEAR(discount_impact_on_profit_2000_rows[[#This Row],[order date]])</f>
        <v>2024</v>
      </c>
      <c r="M430" t="str">
        <f>IF(discount_impact_on_profit_2000_rows[[#This Row],[Discount %]]=0,"Zero Discount",IF(discount_impact_on_profit_2000_rows[[#This Row],[Discount %]]&lt;=10,"Low Discount","High Discount"))</f>
        <v>Low Discount</v>
      </c>
      <c r="N430" t="str">
        <f t="shared" si="6"/>
        <v>0-10%</v>
      </c>
    </row>
    <row r="431" spans="1:14">
      <c r="A431" s="1">
        <v>45511</v>
      </c>
      <c r="B431" t="s">
        <v>493</v>
      </c>
      <c r="C431" t="s">
        <v>18</v>
      </c>
      <c r="D431" t="s">
        <v>88</v>
      </c>
      <c r="E431">
        <v>695.43</v>
      </c>
      <c r="F431" t="s">
        <v>13</v>
      </c>
      <c r="G431">
        <v>938.12</v>
      </c>
      <c r="H431">
        <v>242.69</v>
      </c>
      <c r="I431">
        <v>15</v>
      </c>
      <c r="J431">
        <v>1</v>
      </c>
      <c r="K431" t="str">
        <f>TEXT(discount_impact_on_profit_2000_rows[[#This Row],[order date]],"mmmm")</f>
        <v>August</v>
      </c>
      <c r="L431">
        <f>YEAR(discount_impact_on_profit_2000_rows[[#This Row],[order date]])</f>
        <v>2024</v>
      </c>
      <c r="M431" t="str">
        <f>IF(discount_impact_on_profit_2000_rows[[#This Row],[Discount %]]=0,"Zero Discount",IF(discount_impact_on_profit_2000_rows[[#This Row],[Discount %]]&lt;=10,"Low Discount","High Discount"))</f>
        <v>High Discount</v>
      </c>
      <c r="N431" t="str">
        <f t="shared" si="6"/>
        <v>10-20%</v>
      </c>
    </row>
    <row r="432" spans="1:14">
      <c r="A432" s="1">
        <v>45853</v>
      </c>
      <c r="B432" t="s">
        <v>494</v>
      </c>
      <c r="C432" t="s">
        <v>15</v>
      </c>
      <c r="D432" t="s">
        <v>16</v>
      </c>
      <c r="E432">
        <v>11956.89</v>
      </c>
      <c r="F432" t="s">
        <v>26</v>
      </c>
      <c r="G432">
        <v>19199.68</v>
      </c>
      <c r="H432">
        <v>7242.79</v>
      </c>
      <c r="I432">
        <v>0</v>
      </c>
      <c r="J432">
        <v>5</v>
      </c>
      <c r="K432" t="str">
        <f>TEXT(discount_impact_on_profit_2000_rows[[#This Row],[order date]],"mmmm")</f>
        <v>July</v>
      </c>
      <c r="L432">
        <f>YEAR(discount_impact_on_profit_2000_rows[[#This Row],[order date]])</f>
        <v>2025</v>
      </c>
      <c r="M432" t="str">
        <f>IF(discount_impact_on_profit_2000_rows[[#This Row],[Discount %]]=0,"Zero Discount",IF(discount_impact_on_profit_2000_rows[[#This Row],[Discount %]]&lt;=10,"Low Discount","High Discount"))</f>
        <v>Zero Discount</v>
      </c>
      <c r="N432" t="str">
        <f t="shared" si="6"/>
        <v>0-10%</v>
      </c>
    </row>
    <row r="433" spans="1:14">
      <c r="A433" s="1">
        <v>45678</v>
      </c>
      <c r="B433" t="s">
        <v>495</v>
      </c>
      <c r="C433" t="s">
        <v>33</v>
      </c>
      <c r="D433" t="s">
        <v>273</v>
      </c>
      <c r="E433">
        <v>8277.75</v>
      </c>
      <c r="F433" t="s">
        <v>23</v>
      </c>
      <c r="G433">
        <v>10842.68</v>
      </c>
      <c r="H433">
        <v>2564.9299999999998</v>
      </c>
      <c r="I433">
        <v>15</v>
      </c>
      <c r="J433">
        <v>1</v>
      </c>
      <c r="K433" t="str">
        <f>TEXT(discount_impact_on_profit_2000_rows[[#This Row],[order date]],"mmmm")</f>
        <v>January</v>
      </c>
      <c r="L433">
        <f>YEAR(discount_impact_on_profit_2000_rows[[#This Row],[order date]])</f>
        <v>2025</v>
      </c>
      <c r="M433" t="str">
        <f>IF(discount_impact_on_profit_2000_rows[[#This Row],[Discount %]]=0,"Zero Discount",IF(discount_impact_on_profit_2000_rows[[#This Row],[Discount %]]&lt;=10,"Low Discount","High Discount"))</f>
        <v>High Discount</v>
      </c>
      <c r="N433" t="str">
        <f t="shared" si="6"/>
        <v>10-20%</v>
      </c>
    </row>
    <row r="434" spans="1:14">
      <c r="A434" s="1">
        <v>45905</v>
      </c>
      <c r="B434" t="s">
        <v>496</v>
      </c>
      <c r="C434" t="s">
        <v>53</v>
      </c>
      <c r="D434" t="s">
        <v>59</v>
      </c>
      <c r="E434">
        <v>253.16</v>
      </c>
      <c r="F434" t="s">
        <v>36</v>
      </c>
      <c r="G434">
        <v>451.05</v>
      </c>
      <c r="H434">
        <v>197.89</v>
      </c>
      <c r="I434">
        <v>0</v>
      </c>
      <c r="J434">
        <v>1</v>
      </c>
      <c r="K434" t="str">
        <f>TEXT(discount_impact_on_profit_2000_rows[[#This Row],[order date]],"mmmm")</f>
        <v>September</v>
      </c>
      <c r="L434">
        <f>YEAR(discount_impact_on_profit_2000_rows[[#This Row],[order date]])</f>
        <v>2025</v>
      </c>
      <c r="M434" t="str">
        <f>IF(discount_impact_on_profit_2000_rows[[#This Row],[Discount %]]=0,"Zero Discount",IF(discount_impact_on_profit_2000_rows[[#This Row],[Discount %]]&lt;=10,"Low Discount","High Discount"))</f>
        <v>Zero Discount</v>
      </c>
      <c r="N434" t="str">
        <f t="shared" si="6"/>
        <v>0-10%</v>
      </c>
    </row>
    <row r="435" spans="1:14">
      <c r="A435" s="1">
        <v>45751</v>
      </c>
      <c r="B435" t="s">
        <v>497</v>
      </c>
      <c r="C435" t="s">
        <v>15</v>
      </c>
      <c r="D435" t="s">
        <v>40</v>
      </c>
      <c r="E435">
        <v>51070.48</v>
      </c>
      <c r="F435" t="s">
        <v>26</v>
      </c>
      <c r="G435">
        <v>82935.16</v>
      </c>
      <c r="H435">
        <v>31864.68</v>
      </c>
      <c r="I435">
        <v>0</v>
      </c>
      <c r="J435">
        <v>6</v>
      </c>
      <c r="K435" t="str">
        <f>TEXT(discount_impact_on_profit_2000_rows[[#This Row],[order date]],"mmmm")</f>
        <v>April</v>
      </c>
      <c r="L435">
        <f>YEAR(discount_impact_on_profit_2000_rows[[#This Row],[order date]])</f>
        <v>2025</v>
      </c>
      <c r="M435" t="str">
        <f>IF(discount_impact_on_profit_2000_rows[[#This Row],[Discount %]]=0,"Zero Discount",IF(discount_impact_on_profit_2000_rows[[#This Row],[Discount %]]&lt;=10,"Low Discount","High Discount"))</f>
        <v>Zero Discount</v>
      </c>
      <c r="N435" t="str">
        <f t="shared" si="6"/>
        <v>0-10%</v>
      </c>
    </row>
    <row r="436" spans="1:14">
      <c r="A436" s="1">
        <v>45227</v>
      </c>
      <c r="B436" t="s">
        <v>498</v>
      </c>
      <c r="C436" t="s">
        <v>33</v>
      </c>
      <c r="D436" t="s">
        <v>44</v>
      </c>
      <c r="E436">
        <v>19133.900000000001</v>
      </c>
      <c r="F436" t="s">
        <v>36</v>
      </c>
      <c r="G436">
        <v>19609.71</v>
      </c>
      <c r="H436">
        <v>475.81</v>
      </c>
      <c r="I436">
        <v>25</v>
      </c>
      <c r="J436">
        <v>1</v>
      </c>
      <c r="K436" t="str">
        <f>TEXT(discount_impact_on_profit_2000_rows[[#This Row],[order date]],"mmmm")</f>
        <v>October</v>
      </c>
      <c r="L436">
        <f>YEAR(discount_impact_on_profit_2000_rows[[#This Row],[order date]])</f>
        <v>2023</v>
      </c>
      <c r="M436" t="str">
        <f>IF(discount_impact_on_profit_2000_rows[[#This Row],[Discount %]]=0,"Zero Discount",IF(discount_impact_on_profit_2000_rows[[#This Row],[Discount %]]&lt;=10,"Low Discount","High Discount"))</f>
        <v>High Discount</v>
      </c>
      <c r="N436" t="str">
        <f t="shared" si="6"/>
        <v>20-30%</v>
      </c>
    </row>
    <row r="437" spans="1:14">
      <c r="A437" s="1">
        <v>45460</v>
      </c>
      <c r="B437" t="s">
        <v>499</v>
      </c>
      <c r="C437" t="s">
        <v>15</v>
      </c>
      <c r="D437" t="s">
        <v>99</v>
      </c>
      <c r="E437">
        <v>28408.04</v>
      </c>
      <c r="F437" t="s">
        <v>26</v>
      </c>
      <c r="G437">
        <v>34618.67</v>
      </c>
      <c r="H437">
        <v>6210.63</v>
      </c>
      <c r="I437">
        <v>10</v>
      </c>
      <c r="J437">
        <v>4</v>
      </c>
      <c r="K437" t="str">
        <f>TEXT(discount_impact_on_profit_2000_rows[[#This Row],[order date]],"mmmm")</f>
        <v>June</v>
      </c>
      <c r="L437">
        <f>YEAR(discount_impact_on_profit_2000_rows[[#This Row],[order date]])</f>
        <v>2024</v>
      </c>
      <c r="M437" t="str">
        <f>IF(discount_impact_on_profit_2000_rows[[#This Row],[Discount %]]=0,"Zero Discount",IF(discount_impact_on_profit_2000_rows[[#This Row],[Discount %]]&lt;=10,"Low Discount","High Discount"))</f>
        <v>Low Discount</v>
      </c>
      <c r="N437" t="str">
        <f t="shared" si="6"/>
        <v>0-10%</v>
      </c>
    </row>
    <row r="438" spans="1:14">
      <c r="A438" s="1">
        <v>45516</v>
      </c>
      <c r="B438" t="s">
        <v>500</v>
      </c>
      <c r="C438" t="s">
        <v>21</v>
      </c>
      <c r="D438" t="s">
        <v>123</v>
      </c>
      <c r="E438">
        <v>27097.47</v>
      </c>
      <c r="F438" t="s">
        <v>26</v>
      </c>
      <c r="G438">
        <v>30021.439999999999</v>
      </c>
      <c r="H438">
        <v>2923.97</v>
      </c>
      <c r="I438">
        <v>5</v>
      </c>
      <c r="J438">
        <v>2</v>
      </c>
      <c r="K438" t="str">
        <f>TEXT(discount_impact_on_profit_2000_rows[[#This Row],[order date]],"mmmm")</f>
        <v>August</v>
      </c>
      <c r="L438">
        <f>YEAR(discount_impact_on_profit_2000_rows[[#This Row],[order date]])</f>
        <v>2024</v>
      </c>
      <c r="M438" t="str">
        <f>IF(discount_impact_on_profit_2000_rows[[#This Row],[Discount %]]=0,"Zero Discount",IF(discount_impact_on_profit_2000_rows[[#This Row],[Discount %]]&lt;=10,"Low Discount","High Discount"))</f>
        <v>Low Discount</v>
      </c>
      <c r="N438" t="str">
        <f t="shared" si="6"/>
        <v>0-10%</v>
      </c>
    </row>
    <row r="439" spans="1:14">
      <c r="A439" s="1">
        <v>45567</v>
      </c>
      <c r="B439" t="s">
        <v>501</v>
      </c>
      <c r="C439" t="s">
        <v>18</v>
      </c>
      <c r="D439" t="s">
        <v>88</v>
      </c>
      <c r="E439">
        <v>2669.75</v>
      </c>
      <c r="F439" t="s">
        <v>31</v>
      </c>
      <c r="G439">
        <v>4104.67</v>
      </c>
      <c r="H439">
        <v>1434.92</v>
      </c>
      <c r="I439">
        <v>10</v>
      </c>
      <c r="J439">
        <v>6</v>
      </c>
      <c r="K439" t="str">
        <f>TEXT(discount_impact_on_profit_2000_rows[[#This Row],[order date]],"mmmm")</f>
        <v>October</v>
      </c>
      <c r="L439">
        <f>YEAR(discount_impact_on_profit_2000_rows[[#This Row],[order date]])</f>
        <v>2024</v>
      </c>
      <c r="M439" t="str">
        <f>IF(discount_impact_on_profit_2000_rows[[#This Row],[Discount %]]=0,"Zero Discount",IF(discount_impact_on_profit_2000_rows[[#This Row],[Discount %]]&lt;=10,"Low Discount","High Discount"))</f>
        <v>Low Discount</v>
      </c>
      <c r="N439" t="str">
        <f t="shared" si="6"/>
        <v>0-10%</v>
      </c>
    </row>
    <row r="440" spans="1:14">
      <c r="A440" s="1">
        <v>45579</v>
      </c>
      <c r="B440" t="s">
        <v>502</v>
      </c>
      <c r="C440" t="s">
        <v>21</v>
      </c>
      <c r="D440" t="s">
        <v>123</v>
      </c>
      <c r="E440">
        <v>13479.38</v>
      </c>
      <c r="F440" t="s">
        <v>23</v>
      </c>
      <c r="G440">
        <v>13883.76</v>
      </c>
      <c r="H440">
        <v>404.38</v>
      </c>
      <c r="I440">
        <v>22</v>
      </c>
      <c r="J440">
        <v>3</v>
      </c>
      <c r="K440" t="str">
        <f>TEXT(discount_impact_on_profit_2000_rows[[#This Row],[order date]],"mmmm")</f>
        <v>October</v>
      </c>
      <c r="L440">
        <f>YEAR(discount_impact_on_profit_2000_rows[[#This Row],[order date]])</f>
        <v>2024</v>
      </c>
      <c r="M440" t="str">
        <f>IF(discount_impact_on_profit_2000_rows[[#This Row],[Discount %]]=0,"Zero Discount",IF(discount_impact_on_profit_2000_rows[[#This Row],[Discount %]]&lt;=10,"Low Discount","High Discount"))</f>
        <v>High Discount</v>
      </c>
      <c r="N440" t="str">
        <f t="shared" si="6"/>
        <v>20-30%</v>
      </c>
    </row>
    <row r="441" spans="1:14">
      <c r="A441" s="1">
        <v>45295</v>
      </c>
      <c r="B441" t="s">
        <v>503</v>
      </c>
      <c r="C441" t="s">
        <v>15</v>
      </c>
      <c r="D441" t="s">
        <v>86</v>
      </c>
      <c r="E441">
        <v>17400.759999999998</v>
      </c>
      <c r="F441" t="s">
        <v>31</v>
      </c>
      <c r="G441">
        <v>18750.86</v>
      </c>
      <c r="H441">
        <v>1350.1</v>
      </c>
      <c r="I441">
        <v>20</v>
      </c>
      <c r="J441">
        <v>2</v>
      </c>
      <c r="K441" t="str">
        <f>TEXT(discount_impact_on_profit_2000_rows[[#This Row],[order date]],"mmmm")</f>
        <v>January</v>
      </c>
      <c r="L441">
        <f>YEAR(discount_impact_on_profit_2000_rows[[#This Row],[order date]])</f>
        <v>2024</v>
      </c>
      <c r="M441" t="str">
        <f>IF(discount_impact_on_profit_2000_rows[[#This Row],[Discount %]]=0,"Zero Discount",IF(discount_impact_on_profit_2000_rows[[#This Row],[Discount %]]&lt;=10,"Low Discount","High Discount"))</f>
        <v>High Discount</v>
      </c>
      <c r="N441" t="str">
        <f t="shared" si="6"/>
        <v>10-20%</v>
      </c>
    </row>
    <row r="442" spans="1:14">
      <c r="A442" s="1">
        <v>45282</v>
      </c>
      <c r="B442" t="s">
        <v>504</v>
      </c>
      <c r="C442" t="s">
        <v>21</v>
      </c>
      <c r="D442" t="s">
        <v>22</v>
      </c>
      <c r="E442">
        <v>8363.9500000000007</v>
      </c>
      <c r="F442" t="s">
        <v>26</v>
      </c>
      <c r="G442">
        <v>11081.92</v>
      </c>
      <c r="H442">
        <v>2717.97</v>
      </c>
      <c r="I442">
        <v>5</v>
      </c>
      <c r="J442">
        <v>1</v>
      </c>
      <c r="K442" t="str">
        <f>TEXT(discount_impact_on_profit_2000_rows[[#This Row],[order date]],"mmmm")</f>
        <v>December</v>
      </c>
      <c r="L442">
        <f>YEAR(discount_impact_on_profit_2000_rows[[#This Row],[order date]])</f>
        <v>2023</v>
      </c>
      <c r="M442" t="str">
        <f>IF(discount_impact_on_profit_2000_rows[[#This Row],[Discount %]]=0,"Zero Discount",IF(discount_impact_on_profit_2000_rows[[#This Row],[Discount %]]&lt;=10,"Low Discount","High Discount"))</f>
        <v>Low Discount</v>
      </c>
      <c r="N442" t="str">
        <f t="shared" si="6"/>
        <v>0-10%</v>
      </c>
    </row>
    <row r="443" spans="1:14">
      <c r="A443" s="1">
        <v>44956</v>
      </c>
      <c r="B443" t="s">
        <v>505</v>
      </c>
      <c r="C443" t="s">
        <v>11</v>
      </c>
      <c r="D443" t="s">
        <v>25</v>
      </c>
      <c r="E443">
        <v>1757</v>
      </c>
      <c r="F443" t="s">
        <v>36</v>
      </c>
      <c r="G443">
        <v>3348.99</v>
      </c>
      <c r="H443">
        <v>1591.99</v>
      </c>
      <c r="I443">
        <v>5</v>
      </c>
      <c r="J443">
        <v>4</v>
      </c>
      <c r="K443" t="str">
        <f>TEXT(discount_impact_on_profit_2000_rows[[#This Row],[order date]],"mmmm")</f>
        <v>January</v>
      </c>
      <c r="L443">
        <f>YEAR(discount_impact_on_profit_2000_rows[[#This Row],[order date]])</f>
        <v>2023</v>
      </c>
      <c r="M443" t="str">
        <f>IF(discount_impact_on_profit_2000_rows[[#This Row],[Discount %]]=0,"Zero Discount",IF(discount_impact_on_profit_2000_rows[[#This Row],[Discount %]]&lt;=10,"Low Discount","High Discount"))</f>
        <v>Low Discount</v>
      </c>
      <c r="N443" t="str">
        <f t="shared" si="6"/>
        <v>0-10%</v>
      </c>
    </row>
    <row r="444" spans="1:14">
      <c r="A444" s="1">
        <v>45119</v>
      </c>
      <c r="B444" t="s">
        <v>506</v>
      </c>
      <c r="C444" t="s">
        <v>18</v>
      </c>
      <c r="D444" t="s">
        <v>42</v>
      </c>
      <c r="E444">
        <v>832.41</v>
      </c>
      <c r="F444" t="s">
        <v>26</v>
      </c>
      <c r="G444">
        <v>1265.78</v>
      </c>
      <c r="H444">
        <v>433.37</v>
      </c>
      <c r="I444">
        <v>25</v>
      </c>
      <c r="J444">
        <v>2</v>
      </c>
      <c r="K444" t="str">
        <f>TEXT(discount_impact_on_profit_2000_rows[[#This Row],[order date]],"mmmm")</f>
        <v>July</v>
      </c>
      <c r="L444">
        <f>YEAR(discount_impact_on_profit_2000_rows[[#This Row],[order date]])</f>
        <v>2023</v>
      </c>
      <c r="M444" t="str">
        <f>IF(discount_impact_on_profit_2000_rows[[#This Row],[Discount %]]=0,"Zero Discount",IF(discount_impact_on_profit_2000_rows[[#This Row],[Discount %]]&lt;=10,"Low Discount","High Discount"))</f>
        <v>High Discount</v>
      </c>
      <c r="N444" t="str">
        <f t="shared" si="6"/>
        <v>20-30%</v>
      </c>
    </row>
    <row r="445" spans="1:14">
      <c r="A445" s="1">
        <v>45925</v>
      </c>
      <c r="B445" t="s">
        <v>507</v>
      </c>
      <c r="C445" t="s">
        <v>33</v>
      </c>
      <c r="D445" t="s">
        <v>273</v>
      </c>
      <c r="E445">
        <v>16723.490000000002</v>
      </c>
      <c r="F445" t="s">
        <v>26</v>
      </c>
      <c r="G445">
        <v>18514.41</v>
      </c>
      <c r="H445">
        <v>1790.92</v>
      </c>
      <c r="I445">
        <v>15</v>
      </c>
      <c r="J445">
        <v>5</v>
      </c>
      <c r="K445" t="str">
        <f>TEXT(discount_impact_on_profit_2000_rows[[#This Row],[order date]],"mmmm")</f>
        <v>September</v>
      </c>
      <c r="L445">
        <f>YEAR(discount_impact_on_profit_2000_rows[[#This Row],[order date]])</f>
        <v>2025</v>
      </c>
      <c r="M445" t="str">
        <f>IF(discount_impact_on_profit_2000_rows[[#This Row],[Discount %]]=0,"Zero Discount",IF(discount_impact_on_profit_2000_rows[[#This Row],[Discount %]]&lt;=10,"Low Discount","High Discount"))</f>
        <v>High Discount</v>
      </c>
      <c r="N445" t="str">
        <f t="shared" si="6"/>
        <v>10-20%</v>
      </c>
    </row>
    <row r="446" spans="1:14">
      <c r="A446" s="1">
        <v>45323</v>
      </c>
      <c r="B446" t="s">
        <v>508</v>
      </c>
      <c r="C446" t="s">
        <v>18</v>
      </c>
      <c r="D446" t="s">
        <v>42</v>
      </c>
      <c r="E446">
        <v>78.260000000000005</v>
      </c>
      <c r="F446" t="s">
        <v>31</v>
      </c>
      <c r="G446">
        <v>118.04</v>
      </c>
      <c r="H446">
        <v>39.78</v>
      </c>
      <c r="I446">
        <v>20</v>
      </c>
      <c r="J446">
        <v>1</v>
      </c>
      <c r="K446" t="str">
        <f>TEXT(discount_impact_on_profit_2000_rows[[#This Row],[order date]],"mmmm")</f>
        <v>February</v>
      </c>
      <c r="L446">
        <f>YEAR(discount_impact_on_profit_2000_rows[[#This Row],[order date]])</f>
        <v>2024</v>
      </c>
      <c r="M446" t="str">
        <f>IF(discount_impact_on_profit_2000_rows[[#This Row],[Discount %]]=0,"Zero Discount",IF(discount_impact_on_profit_2000_rows[[#This Row],[Discount %]]&lt;=10,"Low Discount","High Discount"))</f>
        <v>High Discount</v>
      </c>
      <c r="N446" t="str">
        <f t="shared" si="6"/>
        <v>10-20%</v>
      </c>
    </row>
    <row r="447" spans="1:14">
      <c r="A447" s="1">
        <v>45031</v>
      </c>
      <c r="B447" t="s">
        <v>509</v>
      </c>
      <c r="C447" t="s">
        <v>15</v>
      </c>
      <c r="D447" t="s">
        <v>84</v>
      </c>
      <c r="E447">
        <v>7188.27</v>
      </c>
      <c r="F447" t="s">
        <v>13</v>
      </c>
      <c r="G447">
        <v>8304.2999999999993</v>
      </c>
      <c r="H447">
        <v>1116.03</v>
      </c>
      <c r="I447">
        <v>10</v>
      </c>
      <c r="J447">
        <v>3</v>
      </c>
      <c r="K447" t="str">
        <f>TEXT(discount_impact_on_profit_2000_rows[[#This Row],[order date]],"mmmm")</f>
        <v>April</v>
      </c>
      <c r="L447">
        <f>YEAR(discount_impact_on_profit_2000_rows[[#This Row],[order date]])</f>
        <v>2023</v>
      </c>
      <c r="M447" t="str">
        <f>IF(discount_impact_on_profit_2000_rows[[#This Row],[Discount %]]=0,"Zero Discount",IF(discount_impact_on_profit_2000_rows[[#This Row],[Discount %]]&lt;=10,"Low Discount","High Discount"))</f>
        <v>Low Discount</v>
      </c>
      <c r="N447" t="str">
        <f t="shared" si="6"/>
        <v>0-10%</v>
      </c>
    </row>
    <row r="448" spans="1:14">
      <c r="A448" s="1">
        <v>45163</v>
      </c>
      <c r="B448" t="s">
        <v>510</v>
      </c>
      <c r="C448" t="s">
        <v>18</v>
      </c>
      <c r="D448" t="s">
        <v>50</v>
      </c>
      <c r="E448">
        <v>439.32</v>
      </c>
      <c r="F448" t="s">
        <v>13</v>
      </c>
      <c r="G448">
        <v>630.45000000000005</v>
      </c>
      <c r="H448">
        <v>191.13</v>
      </c>
      <c r="I448">
        <v>10</v>
      </c>
      <c r="J448">
        <v>3</v>
      </c>
      <c r="K448" t="str">
        <f>TEXT(discount_impact_on_profit_2000_rows[[#This Row],[order date]],"mmmm")</f>
        <v>August</v>
      </c>
      <c r="L448">
        <f>YEAR(discount_impact_on_profit_2000_rows[[#This Row],[order date]])</f>
        <v>2023</v>
      </c>
      <c r="M448" t="str">
        <f>IF(discount_impact_on_profit_2000_rows[[#This Row],[Discount %]]=0,"Zero Discount",IF(discount_impact_on_profit_2000_rows[[#This Row],[Discount %]]&lt;=10,"Low Discount","High Discount"))</f>
        <v>Low Discount</v>
      </c>
      <c r="N448" t="str">
        <f t="shared" si="6"/>
        <v>0-10%</v>
      </c>
    </row>
    <row r="449" spans="1:14">
      <c r="A449" s="1">
        <v>45253</v>
      </c>
      <c r="B449" t="s">
        <v>511</v>
      </c>
      <c r="C449" t="s">
        <v>11</v>
      </c>
      <c r="D449" t="s">
        <v>38</v>
      </c>
      <c r="E449">
        <v>782.97</v>
      </c>
      <c r="F449" t="s">
        <v>26</v>
      </c>
      <c r="G449">
        <v>1557.95</v>
      </c>
      <c r="H449">
        <v>774.98</v>
      </c>
      <c r="I449">
        <v>10</v>
      </c>
      <c r="J449">
        <v>1</v>
      </c>
      <c r="K449" t="str">
        <f>TEXT(discount_impact_on_profit_2000_rows[[#This Row],[order date]],"mmmm")</f>
        <v>November</v>
      </c>
      <c r="L449">
        <f>YEAR(discount_impact_on_profit_2000_rows[[#This Row],[order date]])</f>
        <v>2023</v>
      </c>
      <c r="M449" t="str">
        <f>IF(discount_impact_on_profit_2000_rows[[#This Row],[Discount %]]=0,"Zero Discount",IF(discount_impact_on_profit_2000_rows[[#This Row],[Discount %]]&lt;=10,"Low Discount","High Discount"))</f>
        <v>Low Discount</v>
      </c>
      <c r="N449" t="str">
        <f t="shared" si="6"/>
        <v>0-10%</v>
      </c>
    </row>
    <row r="450" spans="1:14">
      <c r="A450" s="1">
        <v>45425</v>
      </c>
      <c r="B450" t="s">
        <v>512</v>
      </c>
      <c r="C450" t="s">
        <v>18</v>
      </c>
      <c r="D450" t="s">
        <v>140</v>
      </c>
      <c r="E450">
        <v>1217.6099999999999</v>
      </c>
      <c r="F450" t="s">
        <v>36</v>
      </c>
      <c r="G450">
        <v>1588.28</v>
      </c>
      <c r="H450">
        <v>370.67</v>
      </c>
      <c r="I450">
        <v>10</v>
      </c>
      <c r="J450">
        <v>1</v>
      </c>
      <c r="K450" t="str">
        <f>TEXT(discount_impact_on_profit_2000_rows[[#This Row],[order date]],"mmmm")</f>
        <v>May</v>
      </c>
      <c r="L450">
        <f>YEAR(discount_impact_on_profit_2000_rows[[#This Row],[order date]])</f>
        <v>2024</v>
      </c>
      <c r="M450" t="str">
        <f>IF(discount_impact_on_profit_2000_rows[[#This Row],[Discount %]]=0,"Zero Discount",IF(discount_impact_on_profit_2000_rows[[#This Row],[Discount %]]&lt;=10,"Low Discount","High Discount"))</f>
        <v>Low Discount</v>
      </c>
      <c r="N450" t="str">
        <f t="shared" ref="N450:N513" si="7">IF(I450&lt;=10,"0-10%",IF(I450&lt;=20,"10-20%",IF(I450&lt;=30,"20-30%","30%+")))</f>
        <v>0-10%</v>
      </c>
    </row>
    <row r="451" spans="1:14">
      <c r="A451" s="1">
        <v>45893</v>
      </c>
      <c r="B451" t="s">
        <v>513</v>
      </c>
      <c r="C451" t="s">
        <v>33</v>
      </c>
      <c r="D451" t="s">
        <v>44</v>
      </c>
      <c r="E451">
        <v>3043.79</v>
      </c>
      <c r="F451" t="s">
        <v>23</v>
      </c>
      <c r="G451">
        <v>4026.92</v>
      </c>
      <c r="H451">
        <v>983.13</v>
      </c>
      <c r="I451">
        <v>10</v>
      </c>
      <c r="J451">
        <v>1</v>
      </c>
      <c r="K451" t="str">
        <f>TEXT(discount_impact_on_profit_2000_rows[[#This Row],[order date]],"mmmm")</f>
        <v>August</v>
      </c>
      <c r="L451">
        <f>YEAR(discount_impact_on_profit_2000_rows[[#This Row],[order date]])</f>
        <v>2025</v>
      </c>
      <c r="M451" t="str">
        <f>IF(discount_impact_on_profit_2000_rows[[#This Row],[Discount %]]=0,"Zero Discount",IF(discount_impact_on_profit_2000_rows[[#This Row],[Discount %]]&lt;=10,"Low Discount","High Discount"))</f>
        <v>Low Discount</v>
      </c>
      <c r="N451" t="str">
        <f t="shared" si="7"/>
        <v>0-10%</v>
      </c>
    </row>
    <row r="452" spans="1:14">
      <c r="A452" s="1">
        <v>45043</v>
      </c>
      <c r="B452" t="s">
        <v>514</v>
      </c>
      <c r="C452" t="s">
        <v>11</v>
      </c>
      <c r="D452" t="s">
        <v>207</v>
      </c>
      <c r="E452">
        <v>879.63</v>
      </c>
      <c r="F452" t="s">
        <v>31</v>
      </c>
      <c r="G452">
        <v>1887.7</v>
      </c>
      <c r="H452">
        <v>1008.07</v>
      </c>
      <c r="I452">
        <v>10</v>
      </c>
      <c r="J452">
        <v>5</v>
      </c>
      <c r="K452" t="str">
        <f>TEXT(discount_impact_on_profit_2000_rows[[#This Row],[order date]],"mmmm")</f>
        <v>April</v>
      </c>
      <c r="L452">
        <f>YEAR(discount_impact_on_profit_2000_rows[[#This Row],[order date]])</f>
        <v>2023</v>
      </c>
      <c r="M452" t="str">
        <f>IF(discount_impact_on_profit_2000_rows[[#This Row],[Discount %]]=0,"Zero Discount",IF(discount_impact_on_profit_2000_rows[[#This Row],[Discount %]]&lt;=10,"Low Discount","High Discount"))</f>
        <v>Low Discount</v>
      </c>
      <c r="N452" t="str">
        <f t="shared" si="7"/>
        <v>0-10%</v>
      </c>
    </row>
    <row r="453" spans="1:14">
      <c r="A453" s="1">
        <v>45594</v>
      </c>
      <c r="B453" t="s">
        <v>515</v>
      </c>
      <c r="C453" t="s">
        <v>15</v>
      </c>
      <c r="D453" t="s">
        <v>76</v>
      </c>
      <c r="E453">
        <v>1976.96</v>
      </c>
      <c r="F453" t="s">
        <v>36</v>
      </c>
      <c r="G453">
        <v>2307.7399999999998</v>
      </c>
      <c r="H453">
        <v>330.78</v>
      </c>
      <c r="I453">
        <v>15</v>
      </c>
      <c r="J453">
        <v>1</v>
      </c>
      <c r="K453" t="str">
        <f>TEXT(discount_impact_on_profit_2000_rows[[#This Row],[order date]],"mmmm")</f>
        <v>October</v>
      </c>
      <c r="L453">
        <f>YEAR(discount_impact_on_profit_2000_rows[[#This Row],[order date]])</f>
        <v>2024</v>
      </c>
      <c r="M453" t="str">
        <f>IF(discount_impact_on_profit_2000_rows[[#This Row],[Discount %]]=0,"Zero Discount",IF(discount_impact_on_profit_2000_rows[[#This Row],[Discount %]]&lt;=10,"Low Discount","High Discount"))</f>
        <v>High Discount</v>
      </c>
      <c r="N453" t="str">
        <f t="shared" si="7"/>
        <v>10-20%</v>
      </c>
    </row>
    <row r="454" spans="1:14">
      <c r="A454" s="1">
        <v>45005</v>
      </c>
      <c r="B454" t="s">
        <v>516</v>
      </c>
      <c r="C454" t="s">
        <v>21</v>
      </c>
      <c r="D454" t="s">
        <v>123</v>
      </c>
      <c r="E454">
        <v>126486.35</v>
      </c>
      <c r="F454" t="s">
        <v>36</v>
      </c>
      <c r="G454">
        <v>166761.72</v>
      </c>
      <c r="H454">
        <v>40275.370000000003</v>
      </c>
      <c r="I454">
        <v>5</v>
      </c>
      <c r="J454">
        <v>8</v>
      </c>
      <c r="K454" t="str">
        <f>TEXT(discount_impact_on_profit_2000_rows[[#This Row],[order date]],"mmmm")</f>
        <v>March</v>
      </c>
      <c r="L454">
        <f>YEAR(discount_impact_on_profit_2000_rows[[#This Row],[order date]])</f>
        <v>2023</v>
      </c>
      <c r="M454" t="str">
        <f>IF(discount_impact_on_profit_2000_rows[[#This Row],[Discount %]]=0,"Zero Discount",IF(discount_impact_on_profit_2000_rows[[#This Row],[Discount %]]&lt;=10,"Low Discount","High Discount"))</f>
        <v>Low Discount</v>
      </c>
      <c r="N454" t="str">
        <f t="shared" si="7"/>
        <v>0-10%</v>
      </c>
    </row>
    <row r="455" spans="1:14">
      <c r="A455" s="1">
        <v>45083</v>
      </c>
      <c r="B455" t="s">
        <v>517</v>
      </c>
      <c r="C455" t="s">
        <v>53</v>
      </c>
      <c r="D455" t="s">
        <v>95</v>
      </c>
      <c r="E455">
        <v>6602.16</v>
      </c>
      <c r="F455" t="s">
        <v>36</v>
      </c>
      <c r="G455">
        <v>11086.68</v>
      </c>
      <c r="H455">
        <v>4484.5200000000004</v>
      </c>
      <c r="I455">
        <v>10</v>
      </c>
      <c r="J455">
        <v>4</v>
      </c>
      <c r="K455" t="str">
        <f>TEXT(discount_impact_on_profit_2000_rows[[#This Row],[order date]],"mmmm")</f>
        <v>June</v>
      </c>
      <c r="L455">
        <f>YEAR(discount_impact_on_profit_2000_rows[[#This Row],[order date]])</f>
        <v>2023</v>
      </c>
      <c r="M455" t="str">
        <f>IF(discount_impact_on_profit_2000_rows[[#This Row],[Discount %]]=0,"Zero Discount",IF(discount_impact_on_profit_2000_rows[[#This Row],[Discount %]]&lt;=10,"Low Discount","High Discount"))</f>
        <v>Low Discount</v>
      </c>
      <c r="N455" t="str">
        <f t="shared" si="7"/>
        <v>0-10%</v>
      </c>
    </row>
    <row r="456" spans="1:14">
      <c r="A456" s="1">
        <v>45691</v>
      </c>
      <c r="B456" t="s">
        <v>518</v>
      </c>
      <c r="C456" t="s">
        <v>21</v>
      </c>
      <c r="D456" t="s">
        <v>22</v>
      </c>
      <c r="E456">
        <v>6455.8</v>
      </c>
      <c r="F456" t="s">
        <v>13</v>
      </c>
      <c r="G456">
        <v>6560.08</v>
      </c>
      <c r="H456">
        <v>104.28</v>
      </c>
      <c r="I456">
        <v>15</v>
      </c>
      <c r="J456">
        <v>1</v>
      </c>
      <c r="K456" t="str">
        <f>TEXT(discount_impact_on_profit_2000_rows[[#This Row],[order date]],"mmmm")</f>
        <v>February</v>
      </c>
      <c r="L456">
        <f>YEAR(discount_impact_on_profit_2000_rows[[#This Row],[order date]])</f>
        <v>2025</v>
      </c>
      <c r="M456" t="str">
        <f>IF(discount_impact_on_profit_2000_rows[[#This Row],[Discount %]]=0,"Zero Discount",IF(discount_impact_on_profit_2000_rows[[#This Row],[Discount %]]&lt;=10,"Low Discount","High Discount"))</f>
        <v>High Discount</v>
      </c>
      <c r="N456" t="str">
        <f t="shared" si="7"/>
        <v>10-20%</v>
      </c>
    </row>
    <row r="457" spans="1:14">
      <c r="A457" s="1">
        <v>45223</v>
      </c>
      <c r="B457" t="s">
        <v>519</v>
      </c>
      <c r="C457" t="s">
        <v>33</v>
      </c>
      <c r="D457" t="s">
        <v>197</v>
      </c>
      <c r="E457">
        <v>28790.48</v>
      </c>
      <c r="F457" t="s">
        <v>13</v>
      </c>
      <c r="G457">
        <v>45265.77</v>
      </c>
      <c r="H457">
        <v>16475.29</v>
      </c>
      <c r="I457">
        <v>0</v>
      </c>
      <c r="J457">
        <v>4</v>
      </c>
      <c r="K457" t="str">
        <f>TEXT(discount_impact_on_profit_2000_rows[[#This Row],[order date]],"mmmm")</f>
        <v>October</v>
      </c>
      <c r="L457">
        <f>YEAR(discount_impact_on_profit_2000_rows[[#This Row],[order date]])</f>
        <v>2023</v>
      </c>
      <c r="M457" t="str">
        <f>IF(discount_impact_on_profit_2000_rows[[#This Row],[Discount %]]=0,"Zero Discount",IF(discount_impact_on_profit_2000_rows[[#This Row],[Discount %]]&lt;=10,"Low Discount","High Discount"))</f>
        <v>Zero Discount</v>
      </c>
      <c r="N457" t="str">
        <f t="shared" si="7"/>
        <v>0-10%</v>
      </c>
    </row>
    <row r="458" spans="1:14">
      <c r="A458" s="1">
        <v>45449</v>
      </c>
      <c r="B458" t="s">
        <v>520</v>
      </c>
      <c r="C458" t="s">
        <v>11</v>
      </c>
      <c r="D458" t="s">
        <v>12</v>
      </c>
      <c r="E458">
        <v>3482.42</v>
      </c>
      <c r="F458" t="s">
        <v>13</v>
      </c>
      <c r="G458">
        <v>4383.1499999999996</v>
      </c>
      <c r="H458">
        <v>900.73</v>
      </c>
      <c r="I458">
        <v>30</v>
      </c>
      <c r="J458">
        <v>2</v>
      </c>
      <c r="K458" t="str">
        <f>TEXT(discount_impact_on_profit_2000_rows[[#This Row],[order date]],"mmmm")</f>
        <v>June</v>
      </c>
      <c r="L458">
        <f>YEAR(discount_impact_on_profit_2000_rows[[#This Row],[order date]])</f>
        <v>2024</v>
      </c>
      <c r="M458" t="str">
        <f>IF(discount_impact_on_profit_2000_rows[[#This Row],[Discount %]]=0,"Zero Discount",IF(discount_impact_on_profit_2000_rows[[#This Row],[Discount %]]&lt;=10,"Low Discount","High Discount"))</f>
        <v>High Discount</v>
      </c>
      <c r="N458" t="str">
        <f t="shared" si="7"/>
        <v>20-30%</v>
      </c>
    </row>
    <row r="459" spans="1:14">
      <c r="A459" s="1">
        <v>45907</v>
      </c>
      <c r="B459" t="s">
        <v>521</v>
      </c>
      <c r="C459" t="s">
        <v>21</v>
      </c>
      <c r="D459" t="s">
        <v>154</v>
      </c>
      <c r="E459">
        <v>51818.85</v>
      </c>
      <c r="F459" t="s">
        <v>31</v>
      </c>
      <c r="G459">
        <v>55937.06</v>
      </c>
      <c r="H459">
        <v>4118.21</v>
      </c>
      <c r="I459">
        <v>10</v>
      </c>
      <c r="J459">
        <v>2</v>
      </c>
      <c r="K459" t="str">
        <f>TEXT(discount_impact_on_profit_2000_rows[[#This Row],[order date]],"mmmm")</f>
        <v>September</v>
      </c>
      <c r="L459">
        <f>YEAR(discount_impact_on_profit_2000_rows[[#This Row],[order date]])</f>
        <v>2025</v>
      </c>
      <c r="M459" t="str">
        <f>IF(discount_impact_on_profit_2000_rows[[#This Row],[Discount %]]=0,"Zero Discount",IF(discount_impact_on_profit_2000_rows[[#This Row],[Discount %]]&lt;=10,"Low Discount","High Discount"))</f>
        <v>Low Discount</v>
      </c>
      <c r="N459" t="str">
        <f t="shared" si="7"/>
        <v>0-10%</v>
      </c>
    </row>
    <row r="460" spans="1:14">
      <c r="A460" s="1">
        <v>44950</v>
      </c>
      <c r="B460" t="s">
        <v>522</v>
      </c>
      <c r="C460" t="s">
        <v>15</v>
      </c>
      <c r="D460" t="s">
        <v>40</v>
      </c>
      <c r="E460">
        <v>10735.51</v>
      </c>
      <c r="F460" t="s">
        <v>31</v>
      </c>
      <c r="G460">
        <v>14991.23</v>
      </c>
      <c r="H460">
        <v>4255.72</v>
      </c>
      <c r="I460">
        <v>5</v>
      </c>
      <c r="J460">
        <v>10</v>
      </c>
      <c r="K460" t="str">
        <f>TEXT(discount_impact_on_profit_2000_rows[[#This Row],[order date]],"mmmm")</f>
        <v>January</v>
      </c>
      <c r="L460">
        <f>YEAR(discount_impact_on_profit_2000_rows[[#This Row],[order date]])</f>
        <v>2023</v>
      </c>
      <c r="M460" t="str">
        <f>IF(discount_impact_on_profit_2000_rows[[#This Row],[Discount %]]=0,"Zero Discount",IF(discount_impact_on_profit_2000_rows[[#This Row],[Discount %]]&lt;=10,"Low Discount","High Discount"))</f>
        <v>Low Discount</v>
      </c>
      <c r="N460" t="str">
        <f t="shared" si="7"/>
        <v>0-10%</v>
      </c>
    </row>
    <row r="461" spans="1:14">
      <c r="A461" s="1">
        <v>45893</v>
      </c>
      <c r="B461" t="s">
        <v>523</v>
      </c>
      <c r="C461" t="s">
        <v>11</v>
      </c>
      <c r="D461" t="s">
        <v>12</v>
      </c>
      <c r="E461">
        <v>362.58</v>
      </c>
      <c r="F461" t="s">
        <v>36</v>
      </c>
      <c r="G461">
        <v>711.86</v>
      </c>
      <c r="H461">
        <v>349.28</v>
      </c>
      <c r="I461">
        <v>10</v>
      </c>
      <c r="J461">
        <v>1</v>
      </c>
      <c r="K461" t="str">
        <f>TEXT(discount_impact_on_profit_2000_rows[[#This Row],[order date]],"mmmm")</f>
        <v>August</v>
      </c>
      <c r="L461">
        <f>YEAR(discount_impact_on_profit_2000_rows[[#This Row],[order date]])</f>
        <v>2025</v>
      </c>
      <c r="M461" t="str">
        <f>IF(discount_impact_on_profit_2000_rows[[#This Row],[Discount %]]=0,"Zero Discount",IF(discount_impact_on_profit_2000_rows[[#This Row],[Discount %]]&lt;=10,"Low Discount","High Discount"))</f>
        <v>Low Discount</v>
      </c>
      <c r="N461" t="str">
        <f t="shared" si="7"/>
        <v>0-10%</v>
      </c>
    </row>
    <row r="462" spans="1:14">
      <c r="A462" s="1">
        <v>45791</v>
      </c>
      <c r="B462" t="s">
        <v>524</v>
      </c>
      <c r="C462" t="s">
        <v>15</v>
      </c>
      <c r="D462" t="s">
        <v>40</v>
      </c>
      <c r="E462">
        <v>3068.96</v>
      </c>
      <c r="F462" t="s">
        <v>26</v>
      </c>
      <c r="G462">
        <v>4024.64</v>
      </c>
      <c r="H462">
        <v>955.68</v>
      </c>
      <c r="I462">
        <v>10</v>
      </c>
      <c r="J462">
        <v>2</v>
      </c>
      <c r="K462" t="str">
        <f>TEXT(discount_impact_on_profit_2000_rows[[#This Row],[order date]],"mmmm")</f>
        <v>May</v>
      </c>
      <c r="L462">
        <f>YEAR(discount_impact_on_profit_2000_rows[[#This Row],[order date]])</f>
        <v>2025</v>
      </c>
      <c r="M462" t="str">
        <f>IF(discount_impact_on_profit_2000_rows[[#This Row],[Discount %]]=0,"Zero Discount",IF(discount_impact_on_profit_2000_rows[[#This Row],[Discount %]]&lt;=10,"Low Discount","High Discount"))</f>
        <v>Low Discount</v>
      </c>
      <c r="N462" t="str">
        <f t="shared" si="7"/>
        <v>0-10%</v>
      </c>
    </row>
    <row r="463" spans="1:14">
      <c r="A463" s="1">
        <v>45509</v>
      </c>
      <c r="B463" t="s">
        <v>525</v>
      </c>
      <c r="C463" t="s">
        <v>53</v>
      </c>
      <c r="D463" t="s">
        <v>70</v>
      </c>
      <c r="E463">
        <v>4717.01</v>
      </c>
      <c r="F463" t="s">
        <v>23</v>
      </c>
      <c r="G463">
        <v>9120.98</v>
      </c>
      <c r="H463">
        <v>4403.97</v>
      </c>
      <c r="I463">
        <v>0</v>
      </c>
      <c r="J463">
        <v>2</v>
      </c>
      <c r="K463" t="str">
        <f>TEXT(discount_impact_on_profit_2000_rows[[#This Row],[order date]],"mmmm")</f>
        <v>August</v>
      </c>
      <c r="L463">
        <f>YEAR(discount_impact_on_profit_2000_rows[[#This Row],[order date]])</f>
        <v>2024</v>
      </c>
      <c r="M463" t="str">
        <f>IF(discount_impact_on_profit_2000_rows[[#This Row],[Discount %]]=0,"Zero Discount",IF(discount_impact_on_profit_2000_rows[[#This Row],[Discount %]]&lt;=10,"Low Discount","High Discount"))</f>
        <v>Zero Discount</v>
      </c>
      <c r="N463" t="str">
        <f t="shared" si="7"/>
        <v>0-10%</v>
      </c>
    </row>
    <row r="464" spans="1:14">
      <c r="A464" s="1">
        <v>45211</v>
      </c>
      <c r="B464" t="s">
        <v>526</v>
      </c>
      <c r="C464" t="s">
        <v>53</v>
      </c>
      <c r="D464" t="s">
        <v>95</v>
      </c>
      <c r="E464">
        <v>348.49</v>
      </c>
      <c r="F464" t="s">
        <v>31</v>
      </c>
      <c r="G464">
        <v>538.92999999999995</v>
      </c>
      <c r="H464">
        <v>190.44</v>
      </c>
      <c r="I464">
        <v>0</v>
      </c>
      <c r="J464">
        <v>1</v>
      </c>
      <c r="K464" t="str">
        <f>TEXT(discount_impact_on_profit_2000_rows[[#This Row],[order date]],"mmmm")</f>
        <v>October</v>
      </c>
      <c r="L464">
        <f>YEAR(discount_impact_on_profit_2000_rows[[#This Row],[order date]])</f>
        <v>2023</v>
      </c>
      <c r="M464" t="str">
        <f>IF(discount_impact_on_profit_2000_rows[[#This Row],[Discount %]]=0,"Zero Discount",IF(discount_impact_on_profit_2000_rows[[#This Row],[Discount %]]&lt;=10,"Low Discount","High Discount"))</f>
        <v>Zero Discount</v>
      </c>
      <c r="N464" t="str">
        <f t="shared" si="7"/>
        <v>0-10%</v>
      </c>
    </row>
    <row r="465" spans="1:14">
      <c r="A465" s="1">
        <v>44963</v>
      </c>
      <c r="B465" t="s">
        <v>527</v>
      </c>
      <c r="C465" t="s">
        <v>53</v>
      </c>
      <c r="D465" t="s">
        <v>152</v>
      </c>
      <c r="E465">
        <v>544.69000000000005</v>
      </c>
      <c r="F465" t="s">
        <v>26</v>
      </c>
      <c r="G465">
        <v>713.9</v>
      </c>
      <c r="H465">
        <v>169.21</v>
      </c>
      <c r="I465">
        <v>25</v>
      </c>
      <c r="J465">
        <v>2</v>
      </c>
      <c r="K465" t="str">
        <f>TEXT(discount_impact_on_profit_2000_rows[[#This Row],[order date]],"mmmm")</f>
        <v>February</v>
      </c>
      <c r="L465">
        <f>YEAR(discount_impact_on_profit_2000_rows[[#This Row],[order date]])</f>
        <v>2023</v>
      </c>
      <c r="M465" t="str">
        <f>IF(discount_impact_on_profit_2000_rows[[#This Row],[Discount %]]=0,"Zero Discount",IF(discount_impact_on_profit_2000_rows[[#This Row],[Discount %]]&lt;=10,"Low Discount","High Discount"))</f>
        <v>High Discount</v>
      </c>
      <c r="N465" t="str">
        <f t="shared" si="7"/>
        <v>20-30%</v>
      </c>
    </row>
    <row r="466" spans="1:14">
      <c r="A466" s="1">
        <v>45902</v>
      </c>
      <c r="B466" t="s">
        <v>528</v>
      </c>
      <c r="C466" t="s">
        <v>15</v>
      </c>
      <c r="D466" t="s">
        <v>99</v>
      </c>
      <c r="E466">
        <v>17600.78</v>
      </c>
      <c r="F466" t="s">
        <v>31</v>
      </c>
      <c r="G466">
        <v>22833.05</v>
      </c>
      <c r="H466">
        <v>5232.2700000000004</v>
      </c>
      <c r="I466">
        <v>10</v>
      </c>
      <c r="J466">
        <v>5</v>
      </c>
      <c r="K466" t="str">
        <f>TEXT(discount_impact_on_profit_2000_rows[[#This Row],[order date]],"mmmm")</f>
        <v>September</v>
      </c>
      <c r="L466">
        <f>YEAR(discount_impact_on_profit_2000_rows[[#This Row],[order date]])</f>
        <v>2025</v>
      </c>
      <c r="M466" t="str">
        <f>IF(discount_impact_on_profit_2000_rows[[#This Row],[Discount %]]=0,"Zero Discount",IF(discount_impact_on_profit_2000_rows[[#This Row],[Discount %]]&lt;=10,"Low Discount","High Discount"))</f>
        <v>Low Discount</v>
      </c>
      <c r="N466" t="str">
        <f t="shared" si="7"/>
        <v>0-10%</v>
      </c>
    </row>
    <row r="467" spans="1:14">
      <c r="A467" s="1">
        <v>45629</v>
      </c>
      <c r="B467" t="s">
        <v>529</v>
      </c>
      <c r="C467" t="s">
        <v>21</v>
      </c>
      <c r="D467" t="s">
        <v>123</v>
      </c>
      <c r="E467">
        <v>9362.7099999999991</v>
      </c>
      <c r="F467" t="s">
        <v>36</v>
      </c>
      <c r="G467">
        <v>9897.7900000000009</v>
      </c>
      <c r="H467">
        <v>535.08000000000004</v>
      </c>
      <c r="I467">
        <v>15</v>
      </c>
      <c r="J467">
        <v>6</v>
      </c>
      <c r="K467" t="str">
        <f>TEXT(discount_impact_on_profit_2000_rows[[#This Row],[order date]],"mmmm")</f>
        <v>December</v>
      </c>
      <c r="L467">
        <f>YEAR(discount_impact_on_profit_2000_rows[[#This Row],[order date]])</f>
        <v>2024</v>
      </c>
      <c r="M467" t="str">
        <f>IF(discount_impact_on_profit_2000_rows[[#This Row],[Discount %]]=0,"Zero Discount",IF(discount_impact_on_profit_2000_rows[[#This Row],[Discount %]]&lt;=10,"Low Discount","High Discount"))</f>
        <v>High Discount</v>
      </c>
      <c r="N467" t="str">
        <f t="shared" si="7"/>
        <v>10-20%</v>
      </c>
    </row>
    <row r="468" spans="1:14">
      <c r="A468" s="1">
        <v>45837</v>
      </c>
      <c r="B468" t="s">
        <v>530</v>
      </c>
      <c r="C468" t="s">
        <v>33</v>
      </c>
      <c r="D468" t="s">
        <v>102</v>
      </c>
      <c r="E468">
        <v>12236.21</v>
      </c>
      <c r="F468" t="s">
        <v>31</v>
      </c>
      <c r="G468">
        <v>19495.96</v>
      </c>
      <c r="H468">
        <v>7259.75</v>
      </c>
      <c r="I468">
        <v>0</v>
      </c>
      <c r="J468">
        <v>2</v>
      </c>
      <c r="K468" t="str">
        <f>TEXT(discount_impact_on_profit_2000_rows[[#This Row],[order date]],"mmmm")</f>
        <v>June</v>
      </c>
      <c r="L468">
        <f>YEAR(discount_impact_on_profit_2000_rows[[#This Row],[order date]])</f>
        <v>2025</v>
      </c>
      <c r="M468" t="str">
        <f>IF(discount_impact_on_profit_2000_rows[[#This Row],[Discount %]]=0,"Zero Discount",IF(discount_impact_on_profit_2000_rows[[#This Row],[Discount %]]&lt;=10,"Low Discount","High Discount"))</f>
        <v>Zero Discount</v>
      </c>
      <c r="N468" t="str">
        <f t="shared" si="7"/>
        <v>0-10%</v>
      </c>
    </row>
    <row r="469" spans="1:14">
      <c r="A469" s="1">
        <v>45515</v>
      </c>
      <c r="B469" t="s">
        <v>531</v>
      </c>
      <c r="C469" t="s">
        <v>33</v>
      </c>
      <c r="D469" t="s">
        <v>273</v>
      </c>
      <c r="E469">
        <v>49378.44</v>
      </c>
      <c r="F469" t="s">
        <v>13</v>
      </c>
      <c r="G469">
        <v>57105.94</v>
      </c>
      <c r="H469">
        <v>7727.5</v>
      </c>
      <c r="I469">
        <v>25</v>
      </c>
      <c r="J469">
        <v>8</v>
      </c>
      <c r="K469" t="str">
        <f>TEXT(discount_impact_on_profit_2000_rows[[#This Row],[order date]],"mmmm")</f>
        <v>August</v>
      </c>
      <c r="L469">
        <f>YEAR(discount_impact_on_profit_2000_rows[[#This Row],[order date]])</f>
        <v>2024</v>
      </c>
      <c r="M469" t="str">
        <f>IF(discount_impact_on_profit_2000_rows[[#This Row],[Discount %]]=0,"Zero Discount",IF(discount_impact_on_profit_2000_rows[[#This Row],[Discount %]]&lt;=10,"Low Discount","High Discount"))</f>
        <v>High Discount</v>
      </c>
      <c r="N469" t="str">
        <f t="shared" si="7"/>
        <v>20-30%</v>
      </c>
    </row>
    <row r="470" spans="1:14">
      <c r="A470" s="1">
        <v>45689</v>
      </c>
      <c r="B470" t="s">
        <v>532</v>
      </c>
      <c r="C470" t="s">
        <v>18</v>
      </c>
      <c r="D470" t="s">
        <v>19</v>
      </c>
      <c r="E470">
        <v>356.92</v>
      </c>
      <c r="F470" t="s">
        <v>36</v>
      </c>
      <c r="G470">
        <v>620.59</v>
      </c>
      <c r="H470">
        <v>263.67</v>
      </c>
      <c r="I470">
        <v>15</v>
      </c>
      <c r="J470">
        <v>2</v>
      </c>
      <c r="K470" t="str">
        <f>TEXT(discount_impact_on_profit_2000_rows[[#This Row],[order date]],"mmmm")</f>
        <v>February</v>
      </c>
      <c r="L470">
        <f>YEAR(discount_impact_on_profit_2000_rows[[#This Row],[order date]])</f>
        <v>2025</v>
      </c>
      <c r="M470" t="str">
        <f>IF(discount_impact_on_profit_2000_rows[[#This Row],[Discount %]]=0,"Zero Discount",IF(discount_impact_on_profit_2000_rows[[#This Row],[Discount %]]&lt;=10,"Low Discount","High Discount"))</f>
        <v>High Discount</v>
      </c>
      <c r="N470" t="str">
        <f t="shared" si="7"/>
        <v>10-20%</v>
      </c>
    </row>
    <row r="471" spans="1:14">
      <c r="A471" s="1">
        <v>45340</v>
      </c>
      <c r="B471" t="s">
        <v>533</v>
      </c>
      <c r="C471" t="s">
        <v>53</v>
      </c>
      <c r="D471" t="s">
        <v>152</v>
      </c>
      <c r="E471">
        <v>6930.82</v>
      </c>
      <c r="F471" t="s">
        <v>31</v>
      </c>
      <c r="G471">
        <v>12705.96</v>
      </c>
      <c r="H471">
        <v>5775.14</v>
      </c>
      <c r="I471">
        <v>0</v>
      </c>
      <c r="J471">
        <v>4</v>
      </c>
      <c r="K471" t="str">
        <f>TEXT(discount_impact_on_profit_2000_rows[[#This Row],[order date]],"mmmm")</f>
        <v>February</v>
      </c>
      <c r="L471">
        <f>YEAR(discount_impact_on_profit_2000_rows[[#This Row],[order date]])</f>
        <v>2024</v>
      </c>
      <c r="M471" t="str">
        <f>IF(discount_impact_on_profit_2000_rows[[#This Row],[Discount %]]=0,"Zero Discount",IF(discount_impact_on_profit_2000_rows[[#This Row],[Discount %]]&lt;=10,"Low Discount","High Discount"))</f>
        <v>Zero Discount</v>
      </c>
      <c r="N471" t="str">
        <f t="shared" si="7"/>
        <v>0-10%</v>
      </c>
    </row>
    <row r="472" spans="1:14">
      <c r="A472" s="1">
        <v>45982</v>
      </c>
      <c r="B472" t="s">
        <v>534</v>
      </c>
      <c r="C472" t="s">
        <v>15</v>
      </c>
      <c r="D472" t="s">
        <v>86</v>
      </c>
      <c r="E472">
        <v>19825.439999999999</v>
      </c>
      <c r="F472" t="s">
        <v>36</v>
      </c>
      <c r="G472">
        <v>23729.81</v>
      </c>
      <c r="H472">
        <v>3904.37</v>
      </c>
      <c r="I472">
        <v>25</v>
      </c>
      <c r="J472">
        <v>3</v>
      </c>
      <c r="K472" t="str">
        <f>TEXT(discount_impact_on_profit_2000_rows[[#This Row],[order date]],"mmmm")</f>
        <v>November</v>
      </c>
      <c r="L472">
        <f>YEAR(discount_impact_on_profit_2000_rows[[#This Row],[order date]])</f>
        <v>2025</v>
      </c>
      <c r="M472" t="str">
        <f>IF(discount_impact_on_profit_2000_rows[[#This Row],[Discount %]]=0,"Zero Discount",IF(discount_impact_on_profit_2000_rows[[#This Row],[Discount %]]&lt;=10,"Low Discount","High Discount"))</f>
        <v>High Discount</v>
      </c>
      <c r="N472" t="str">
        <f t="shared" si="7"/>
        <v>20-30%</v>
      </c>
    </row>
    <row r="473" spans="1:14">
      <c r="A473" s="1">
        <v>45753</v>
      </c>
      <c r="B473" t="s">
        <v>535</v>
      </c>
      <c r="C473" t="s">
        <v>21</v>
      </c>
      <c r="D473" t="s">
        <v>97</v>
      </c>
      <c r="E473">
        <v>8734.23</v>
      </c>
      <c r="F473" t="s">
        <v>31</v>
      </c>
      <c r="G473">
        <v>9194.2900000000009</v>
      </c>
      <c r="H473">
        <v>460.06</v>
      </c>
      <c r="I473">
        <v>20</v>
      </c>
      <c r="J473">
        <v>3</v>
      </c>
      <c r="K473" t="str">
        <f>TEXT(discount_impact_on_profit_2000_rows[[#This Row],[order date]],"mmmm")</f>
        <v>April</v>
      </c>
      <c r="L473">
        <f>YEAR(discount_impact_on_profit_2000_rows[[#This Row],[order date]])</f>
        <v>2025</v>
      </c>
      <c r="M473" t="str">
        <f>IF(discount_impact_on_profit_2000_rows[[#This Row],[Discount %]]=0,"Zero Discount",IF(discount_impact_on_profit_2000_rows[[#This Row],[Discount %]]&lt;=10,"Low Discount","High Discount"))</f>
        <v>High Discount</v>
      </c>
      <c r="N473" t="str">
        <f t="shared" si="7"/>
        <v>10-20%</v>
      </c>
    </row>
    <row r="474" spans="1:14">
      <c r="A474" s="1">
        <v>45319</v>
      </c>
      <c r="B474" t="s">
        <v>536</v>
      </c>
      <c r="C474" t="s">
        <v>21</v>
      </c>
      <c r="D474" t="s">
        <v>154</v>
      </c>
      <c r="E474">
        <v>4906.3599999999997</v>
      </c>
      <c r="F474" t="s">
        <v>36</v>
      </c>
      <c r="G474">
        <v>6554.27</v>
      </c>
      <c r="H474">
        <v>1647.91</v>
      </c>
      <c r="I474">
        <v>0</v>
      </c>
      <c r="J474">
        <v>1</v>
      </c>
      <c r="K474" t="str">
        <f>TEXT(discount_impact_on_profit_2000_rows[[#This Row],[order date]],"mmmm")</f>
        <v>January</v>
      </c>
      <c r="L474">
        <f>YEAR(discount_impact_on_profit_2000_rows[[#This Row],[order date]])</f>
        <v>2024</v>
      </c>
      <c r="M474" t="str">
        <f>IF(discount_impact_on_profit_2000_rows[[#This Row],[Discount %]]=0,"Zero Discount",IF(discount_impact_on_profit_2000_rows[[#This Row],[Discount %]]&lt;=10,"Low Discount","High Discount"))</f>
        <v>Zero Discount</v>
      </c>
      <c r="N474" t="str">
        <f t="shared" si="7"/>
        <v>0-10%</v>
      </c>
    </row>
    <row r="475" spans="1:14">
      <c r="A475" s="1">
        <v>45671</v>
      </c>
      <c r="B475" t="s">
        <v>537</v>
      </c>
      <c r="C475" t="s">
        <v>18</v>
      </c>
      <c r="D475" t="s">
        <v>188</v>
      </c>
      <c r="E475">
        <v>225.17</v>
      </c>
      <c r="F475" t="s">
        <v>26</v>
      </c>
      <c r="G475">
        <v>445.42</v>
      </c>
      <c r="H475">
        <v>220.25</v>
      </c>
      <c r="I475">
        <v>0</v>
      </c>
      <c r="J475">
        <v>1</v>
      </c>
      <c r="K475" t="str">
        <f>TEXT(discount_impact_on_profit_2000_rows[[#This Row],[order date]],"mmmm")</f>
        <v>January</v>
      </c>
      <c r="L475">
        <f>YEAR(discount_impact_on_profit_2000_rows[[#This Row],[order date]])</f>
        <v>2025</v>
      </c>
      <c r="M475" t="str">
        <f>IF(discount_impact_on_profit_2000_rows[[#This Row],[Discount %]]=0,"Zero Discount",IF(discount_impact_on_profit_2000_rows[[#This Row],[Discount %]]&lt;=10,"Low Discount","High Discount"))</f>
        <v>Zero Discount</v>
      </c>
      <c r="N475" t="str">
        <f t="shared" si="7"/>
        <v>0-10%</v>
      </c>
    </row>
    <row r="476" spans="1:14">
      <c r="A476" s="1">
        <v>45843</v>
      </c>
      <c r="B476" t="s">
        <v>538</v>
      </c>
      <c r="C476" t="s">
        <v>33</v>
      </c>
      <c r="D476" t="s">
        <v>44</v>
      </c>
      <c r="E476">
        <v>10043.85</v>
      </c>
      <c r="F476" t="s">
        <v>13</v>
      </c>
      <c r="G476">
        <v>13892.8</v>
      </c>
      <c r="H476">
        <v>3848.95</v>
      </c>
      <c r="I476">
        <v>10</v>
      </c>
      <c r="J476">
        <v>1</v>
      </c>
      <c r="K476" t="str">
        <f>TEXT(discount_impact_on_profit_2000_rows[[#This Row],[order date]],"mmmm")</f>
        <v>July</v>
      </c>
      <c r="L476">
        <f>YEAR(discount_impact_on_profit_2000_rows[[#This Row],[order date]])</f>
        <v>2025</v>
      </c>
      <c r="M476" t="str">
        <f>IF(discount_impact_on_profit_2000_rows[[#This Row],[Discount %]]=0,"Zero Discount",IF(discount_impact_on_profit_2000_rows[[#This Row],[Discount %]]&lt;=10,"Low Discount","High Discount"))</f>
        <v>Low Discount</v>
      </c>
      <c r="N476" t="str">
        <f t="shared" si="7"/>
        <v>0-10%</v>
      </c>
    </row>
    <row r="477" spans="1:14">
      <c r="A477" s="1">
        <v>45099</v>
      </c>
      <c r="B477" t="s">
        <v>539</v>
      </c>
      <c r="C477" t="s">
        <v>53</v>
      </c>
      <c r="D477" t="s">
        <v>113</v>
      </c>
      <c r="E477">
        <v>3967.61</v>
      </c>
      <c r="F477" t="s">
        <v>31</v>
      </c>
      <c r="G477">
        <v>7410.96</v>
      </c>
      <c r="H477">
        <v>3443.35</v>
      </c>
      <c r="I477">
        <v>25</v>
      </c>
      <c r="J477">
        <v>2</v>
      </c>
      <c r="K477" t="str">
        <f>TEXT(discount_impact_on_profit_2000_rows[[#This Row],[order date]],"mmmm")</f>
        <v>June</v>
      </c>
      <c r="L477">
        <f>YEAR(discount_impact_on_profit_2000_rows[[#This Row],[order date]])</f>
        <v>2023</v>
      </c>
      <c r="M477" t="str">
        <f>IF(discount_impact_on_profit_2000_rows[[#This Row],[Discount %]]=0,"Zero Discount",IF(discount_impact_on_profit_2000_rows[[#This Row],[Discount %]]&lt;=10,"Low Discount","High Discount"))</f>
        <v>High Discount</v>
      </c>
      <c r="N477" t="str">
        <f t="shared" si="7"/>
        <v>20-30%</v>
      </c>
    </row>
    <row r="478" spans="1:14">
      <c r="A478" s="1">
        <v>45442</v>
      </c>
      <c r="B478" t="s">
        <v>540</v>
      </c>
      <c r="C478" t="s">
        <v>33</v>
      </c>
      <c r="D478" t="s">
        <v>203</v>
      </c>
      <c r="E478">
        <v>9447.23</v>
      </c>
      <c r="F478" t="s">
        <v>23</v>
      </c>
      <c r="G478">
        <v>13746.95</v>
      </c>
      <c r="H478">
        <v>4299.72</v>
      </c>
      <c r="I478">
        <v>15</v>
      </c>
      <c r="J478">
        <v>1</v>
      </c>
      <c r="K478" t="str">
        <f>TEXT(discount_impact_on_profit_2000_rows[[#This Row],[order date]],"mmmm")</f>
        <v>May</v>
      </c>
      <c r="L478">
        <f>YEAR(discount_impact_on_profit_2000_rows[[#This Row],[order date]])</f>
        <v>2024</v>
      </c>
      <c r="M478" t="str">
        <f>IF(discount_impact_on_profit_2000_rows[[#This Row],[Discount %]]=0,"Zero Discount",IF(discount_impact_on_profit_2000_rows[[#This Row],[Discount %]]&lt;=10,"Low Discount","High Discount"))</f>
        <v>High Discount</v>
      </c>
      <c r="N478" t="str">
        <f t="shared" si="7"/>
        <v>10-20%</v>
      </c>
    </row>
    <row r="479" spans="1:14">
      <c r="A479" s="1">
        <v>45746</v>
      </c>
      <c r="B479" t="s">
        <v>541</v>
      </c>
      <c r="C479" t="s">
        <v>21</v>
      </c>
      <c r="D479" t="s">
        <v>123</v>
      </c>
      <c r="E479">
        <v>1019.65</v>
      </c>
      <c r="F479" t="s">
        <v>13</v>
      </c>
      <c r="G479">
        <v>1068.6099999999999</v>
      </c>
      <c r="H479">
        <v>48.96</v>
      </c>
      <c r="I479">
        <v>15</v>
      </c>
      <c r="J479">
        <v>1</v>
      </c>
      <c r="K479" t="str">
        <f>TEXT(discount_impact_on_profit_2000_rows[[#This Row],[order date]],"mmmm")</f>
        <v>March</v>
      </c>
      <c r="L479">
        <f>YEAR(discount_impact_on_profit_2000_rows[[#This Row],[order date]])</f>
        <v>2025</v>
      </c>
      <c r="M479" t="str">
        <f>IF(discount_impact_on_profit_2000_rows[[#This Row],[Discount %]]=0,"Zero Discount",IF(discount_impact_on_profit_2000_rows[[#This Row],[Discount %]]&lt;=10,"Low Discount","High Discount"))</f>
        <v>High Discount</v>
      </c>
      <c r="N479" t="str">
        <f t="shared" si="7"/>
        <v>10-20%</v>
      </c>
    </row>
    <row r="480" spans="1:14">
      <c r="A480" s="1">
        <v>45073</v>
      </c>
      <c r="B480" t="s">
        <v>542</v>
      </c>
      <c r="C480" t="s">
        <v>15</v>
      </c>
      <c r="D480" t="s">
        <v>76</v>
      </c>
      <c r="E480">
        <v>38091.050000000003</v>
      </c>
      <c r="F480" t="s">
        <v>36</v>
      </c>
      <c r="G480">
        <v>47947.48</v>
      </c>
      <c r="H480">
        <v>9856.43</v>
      </c>
      <c r="I480">
        <v>0</v>
      </c>
      <c r="J480">
        <v>4</v>
      </c>
      <c r="K480" t="str">
        <f>TEXT(discount_impact_on_profit_2000_rows[[#This Row],[order date]],"mmmm")</f>
        <v>May</v>
      </c>
      <c r="L480">
        <f>YEAR(discount_impact_on_profit_2000_rows[[#This Row],[order date]])</f>
        <v>2023</v>
      </c>
      <c r="M480" t="str">
        <f>IF(discount_impact_on_profit_2000_rows[[#This Row],[Discount %]]=0,"Zero Discount",IF(discount_impact_on_profit_2000_rows[[#This Row],[Discount %]]&lt;=10,"Low Discount","High Discount"))</f>
        <v>Zero Discount</v>
      </c>
      <c r="N480" t="str">
        <f t="shared" si="7"/>
        <v>0-10%</v>
      </c>
    </row>
    <row r="481" spans="1:14">
      <c r="A481" s="1">
        <v>45283</v>
      </c>
      <c r="B481" t="s">
        <v>543</v>
      </c>
      <c r="C481" t="s">
        <v>15</v>
      </c>
      <c r="D481" t="s">
        <v>28</v>
      </c>
      <c r="E481">
        <v>59719.86</v>
      </c>
      <c r="F481" t="s">
        <v>23</v>
      </c>
      <c r="G481">
        <v>75502.880000000005</v>
      </c>
      <c r="H481">
        <v>15783.02</v>
      </c>
      <c r="I481">
        <v>0</v>
      </c>
      <c r="J481">
        <v>6</v>
      </c>
      <c r="K481" t="str">
        <f>TEXT(discount_impact_on_profit_2000_rows[[#This Row],[order date]],"mmmm")</f>
        <v>December</v>
      </c>
      <c r="L481">
        <f>YEAR(discount_impact_on_profit_2000_rows[[#This Row],[order date]])</f>
        <v>2023</v>
      </c>
      <c r="M481" t="str">
        <f>IF(discount_impact_on_profit_2000_rows[[#This Row],[Discount %]]=0,"Zero Discount",IF(discount_impact_on_profit_2000_rows[[#This Row],[Discount %]]&lt;=10,"Low Discount","High Discount"))</f>
        <v>Zero Discount</v>
      </c>
      <c r="N481" t="str">
        <f t="shared" si="7"/>
        <v>0-10%</v>
      </c>
    </row>
    <row r="482" spans="1:14">
      <c r="A482" s="1">
        <v>45799</v>
      </c>
      <c r="B482" t="s">
        <v>544</v>
      </c>
      <c r="C482" t="s">
        <v>33</v>
      </c>
      <c r="D482" t="s">
        <v>44</v>
      </c>
      <c r="E482">
        <v>5871.33</v>
      </c>
      <c r="F482" t="s">
        <v>23</v>
      </c>
      <c r="G482">
        <v>9587.94</v>
      </c>
      <c r="H482">
        <v>3716.61</v>
      </c>
      <c r="I482">
        <v>5</v>
      </c>
      <c r="J482">
        <v>4</v>
      </c>
      <c r="K482" t="str">
        <f>TEXT(discount_impact_on_profit_2000_rows[[#This Row],[order date]],"mmmm")</f>
        <v>May</v>
      </c>
      <c r="L482">
        <f>YEAR(discount_impact_on_profit_2000_rows[[#This Row],[order date]])</f>
        <v>2025</v>
      </c>
      <c r="M482" t="str">
        <f>IF(discount_impact_on_profit_2000_rows[[#This Row],[Discount %]]=0,"Zero Discount",IF(discount_impact_on_profit_2000_rows[[#This Row],[Discount %]]&lt;=10,"Low Discount","High Discount"))</f>
        <v>Low Discount</v>
      </c>
      <c r="N482" t="str">
        <f t="shared" si="7"/>
        <v>0-10%</v>
      </c>
    </row>
    <row r="483" spans="1:14">
      <c r="A483" s="1">
        <v>45041</v>
      </c>
      <c r="B483" t="s">
        <v>545</v>
      </c>
      <c r="C483" t="s">
        <v>11</v>
      </c>
      <c r="D483" t="s">
        <v>30</v>
      </c>
      <c r="E483">
        <v>617.14</v>
      </c>
      <c r="F483" t="s">
        <v>26</v>
      </c>
      <c r="G483">
        <v>817.66</v>
      </c>
      <c r="H483">
        <v>200.52</v>
      </c>
      <c r="I483">
        <v>25</v>
      </c>
      <c r="J483">
        <v>2</v>
      </c>
      <c r="K483" t="str">
        <f>TEXT(discount_impact_on_profit_2000_rows[[#This Row],[order date]],"mmmm")</f>
        <v>April</v>
      </c>
      <c r="L483">
        <f>YEAR(discount_impact_on_profit_2000_rows[[#This Row],[order date]])</f>
        <v>2023</v>
      </c>
      <c r="M483" t="str">
        <f>IF(discount_impact_on_profit_2000_rows[[#This Row],[Discount %]]=0,"Zero Discount",IF(discount_impact_on_profit_2000_rows[[#This Row],[Discount %]]&lt;=10,"Low Discount","High Discount"))</f>
        <v>High Discount</v>
      </c>
      <c r="N483" t="str">
        <f t="shared" si="7"/>
        <v>20-30%</v>
      </c>
    </row>
    <row r="484" spans="1:14">
      <c r="A484" s="1">
        <v>45318</v>
      </c>
      <c r="B484" t="s">
        <v>546</v>
      </c>
      <c r="C484" t="s">
        <v>15</v>
      </c>
      <c r="D484" t="s">
        <v>28</v>
      </c>
      <c r="E484">
        <v>1309.3399999999999</v>
      </c>
      <c r="F484" t="s">
        <v>31</v>
      </c>
      <c r="G484">
        <v>1917.58</v>
      </c>
      <c r="H484">
        <v>608.24</v>
      </c>
      <c r="I484">
        <v>5</v>
      </c>
      <c r="J484">
        <v>1</v>
      </c>
      <c r="K484" t="str">
        <f>TEXT(discount_impact_on_profit_2000_rows[[#This Row],[order date]],"mmmm")</f>
        <v>January</v>
      </c>
      <c r="L484">
        <f>YEAR(discount_impact_on_profit_2000_rows[[#This Row],[order date]])</f>
        <v>2024</v>
      </c>
      <c r="M484" t="str">
        <f>IF(discount_impact_on_profit_2000_rows[[#This Row],[Discount %]]=0,"Zero Discount",IF(discount_impact_on_profit_2000_rows[[#This Row],[Discount %]]&lt;=10,"Low Discount","High Discount"))</f>
        <v>Low Discount</v>
      </c>
      <c r="N484" t="str">
        <f t="shared" si="7"/>
        <v>0-10%</v>
      </c>
    </row>
    <row r="485" spans="1:14">
      <c r="A485" s="1">
        <v>45756</v>
      </c>
      <c r="B485" t="s">
        <v>547</v>
      </c>
      <c r="C485" t="s">
        <v>18</v>
      </c>
      <c r="D485" t="s">
        <v>88</v>
      </c>
      <c r="E485">
        <v>747.08</v>
      </c>
      <c r="F485" t="s">
        <v>26</v>
      </c>
      <c r="G485">
        <v>1031.96</v>
      </c>
      <c r="H485">
        <v>284.88</v>
      </c>
      <c r="I485">
        <v>15</v>
      </c>
      <c r="J485">
        <v>2</v>
      </c>
      <c r="K485" t="str">
        <f>TEXT(discount_impact_on_profit_2000_rows[[#This Row],[order date]],"mmmm")</f>
        <v>April</v>
      </c>
      <c r="L485">
        <f>YEAR(discount_impact_on_profit_2000_rows[[#This Row],[order date]])</f>
        <v>2025</v>
      </c>
      <c r="M485" t="str">
        <f>IF(discount_impact_on_profit_2000_rows[[#This Row],[Discount %]]=0,"Zero Discount",IF(discount_impact_on_profit_2000_rows[[#This Row],[Discount %]]&lt;=10,"Low Discount","High Discount"))</f>
        <v>High Discount</v>
      </c>
      <c r="N485" t="str">
        <f t="shared" si="7"/>
        <v>10-20%</v>
      </c>
    </row>
    <row r="486" spans="1:14">
      <c r="A486" s="1">
        <v>45885</v>
      </c>
      <c r="B486" t="s">
        <v>548</v>
      </c>
      <c r="C486" t="s">
        <v>11</v>
      </c>
      <c r="D486" t="s">
        <v>207</v>
      </c>
      <c r="E486">
        <v>901.34</v>
      </c>
      <c r="F486" t="s">
        <v>23</v>
      </c>
      <c r="G486">
        <v>1623.43</v>
      </c>
      <c r="H486">
        <v>722.09</v>
      </c>
      <c r="I486">
        <v>0</v>
      </c>
      <c r="J486">
        <v>1</v>
      </c>
      <c r="K486" t="str">
        <f>TEXT(discount_impact_on_profit_2000_rows[[#This Row],[order date]],"mmmm")</f>
        <v>August</v>
      </c>
      <c r="L486">
        <f>YEAR(discount_impact_on_profit_2000_rows[[#This Row],[order date]])</f>
        <v>2025</v>
      </c>
      <c r="M486" t="str">
        <f>IF(discount_impact_on_profit_2000_rows[[#This Row],[Discount %]]=0,"Zero Discount",IF(discount_impact_on_profit_2000_rows[[#This Row],[Discount %]]&lt;=10,"Low Discount","High Discount"))</f>
        <v>Zero Discount</v>
      </c>
      <c r="N486" t="str">
        <f t="shared" si="7"/>
        <v>0-10%</v>
      </c>
    </row>
    <row r="487" spans="1:14">
      <c r="A487" s="1">
        <v>45478</v>
      </c>
      <c r="B487" t="s">
        <v>549</v>
      </c>
      <c r="C487" t="s">
        <v>21</v>
      </c>
      <c r="D487" t="s">
        <v>97</v>
      </c>
      <c r="E487">
        <v>20210.34</v>
      </c>
      <c r="F487" t="s">
        <v>13</v>
      </c>
      <c r="G487">
        <v>27261.4</v>
      </c>
      <c r="H487">
        <v>7051.06</v>
      </c>
      <c r="I487">
        <v>10</v>
      </c>
      <c r="J487">
        <v>3</v>
      </c>
      <c r="K487" t="str">
        <f>TEXT(discount_impact_on_profit_2000_rows[[#This Row],[order date]],"mmmm")</f>
        <v>July</v>
      </c>
      <c r="L487">
        <f>YEAR(discount_impact_on_profit_2000_rows[[#This Row],[order date]])</f>
        <v>2024</v>
      </c>
      <c r="M487" t="str">
        <f>IF(discount_impact_on_profit_2000_rows[[#This Row],[Discount %]]=0,"Zero Discount",IF(discount_impact_on_profit_2000_rows[[#This Row],[Discount %]]&lt;=10,"Low Discount","High Discount"))</f>
        <v>Low Discount</v>
      </c>
      <c r="N487" t="str">
        <f t="shared" si="7"/>
        <v>0-10%</v>
      </c>
    </row>
    <row r="488" spans="1:14">
      <c r="A488" s="1">
        <v>45567</v>
      </c>
      <c r="B488" t="s">
        <v>550</v>
      </c>
      <c r="C488" t="s">
        <v>18</v>
      </c>
      <c r="D488" t="s">
        <v>88</v>
      </c>
      <c r="E488">
        <v>332.57</v>
      </c>
      <c r="F488" t="s">
        <v>26</v>
      </c>
      <c r="G488">
        <v>384.27</v>
      </c>
      <c r="H488">
        <v>51.7</v>
      </c>
      <c r="I488">
        <v>20</v>
      </c>
      <c r="J488">
        <v>5</v>
      </c>
      <c r="K488" t="str">
        <f>TEXT(discount_impact_on_profit_2000_rows[[#This Row],[order date]],"mmmm")</f>
        <v>October</v>
      </c>
      <c r="L488">
        <f>YEAR(discount_impact_on_profit_2000_rows[[#This Row],[order date]])</f>
        <v>2024</v>
      </c>
      <c r="M488" t="str">
        <f>IF(discount_impact_on_profit_2000_rows[[#This Row],[Discount %]]=0,"Zero Discount",IF(discount_impact_on_profit_2000_rows[[#This Row],[Discount %]]&lt;=10,"Low Discount","High Discount"))</f>
        <v>High Discount</v>
      </c>
      <c r="N488" t="str">
        <f t="shared" si="7"/>
        <v>10-20%</v>
      </c>
    </row>
    <row r="489" spans="1:14">
      <c r="A489" s="1">
        <v>45746</v>
      </c>
      <c r="B489" t="s">
        <v>551</v>
      </c>
      <c r="C489" t="s">
        <v>15</v>
      </c>
      <c r="D489" t="s">
        <v>86</v>
      </c>
      <c r="E489">
        <v>2706.56</v>
      </c>
      <c r="F489" t="s">
        <v>36</v>
      </c>
      <c r="G489">
        <v>4185.47</v>
      </c>
      <c r="H489">
        <v>1478.91</v>
      </c>
      <c r="I489">
        <v>0</v>
      </c>
      <c r="J489">
        <v>3</v>
      </c>
      <c r="K489" t="str">
        <f>TEXT(discount_impact_on_profit_2000_rows[[#This Row],[order date]],"mmmm")</f>
        <v>March</v>
      </c>
      <c r="L489">
        <f>YEAR(discount_impact_on_profit_2000_rows[[#This Row],[order date]])</f>
        <v>2025</v>
      </c>
      <c r="M489" t="str">
        <f>IF(discount_impact_on_profit_2000_rows[[#This Row],[Discount %]]=0,"Zero Discount",IF(discount_impact_on_profit_2000_rows[[#This Row],[Discount %]]&lt;=10,"Low Discount","High Discount"))</f>
        <v>Zero Discount</v>
      </c>
      <c r="N489" t="str">
        <f t="shared" si="7"/>
        <v>0-10%</v>
      </c>
    </row>
    <row r="490" spans="1:14">
      <c r="A490" s="1">
        <v>45646</v>
      </c>
      <c r="B490" t="s">
        <v>552</v>
      </c>
      <c r="C490" t="s">
        <v>53</v>
      </c>
      <c r="D490" t="s">
        <v>95</v>
      </c>
      <c r="E490">
        <v>1562.78</v>
      </c>
      <c r="F490" t="s">
        <v>26</v>
      </c>
      <c r="G490">
        <v>2521</v>
      </c>
      <c r="H490">
        <v>958.22</v>
      </c>
      <c r="I490">
        <v>25</v>
      </c>
      <c r="J490">
        <v>2</v>
      </c>
      <c r="K490" t="str">
        <f>TEXT(discount_impact_on_profit_2000_rows[[#This Row],[order date]],"mmmm")</f>
        <v>December</v>
      </c>
      <c r="L490">
        <f>YEAR(discount_impact_on_profit_2000_rows[[#This Row],[order date]])</f>
        <v>2024</v>
      </c>
      <c r="M490" t="str">
        <f>IF(discount_impact_on_profit_2000_rows[[#This Row],[Discount %]]=0,"Zero Discount",IF(discount_impact_on_profit_2000_rows[[#This Row],[Discount %]]&lt;=10,"Low Discount","High Discount"))</f>
        <v>High Discount</v>
      </c>
      <c r="N490" t="str">
        <f t="shared" si="7"/>
        <v>20-30%</v>
      </c>
    </row>
    <row r="491" spans="1:14">
      <c r="A491" s="1">
        <v>45607</v>
      </c>
      <c r="B491" t="s">
        <v>553</v>
      </c>
      <c r="C491" t="s">
        <v>33</v>
      </c>
      <c r="D491" t="s">
        <v>92</v>
      </c>
      <c r="E491">
        <v>10970.46</v>
      </c>
      <c r="F491" t="s">
        <v>31</v>
      </c>
      <c r="G491">
        <v>14651.89</v>
      </c>
      <c r="H491">
        <v>3681.43</v>
      </c>
      <c r="I491">
        <v>10</v>
      </c>
      <c r="J491">
        <v>1</v>
      </c>
      <c r="K491" t="str">
        <f>TEXT(discount_impact_on_profit_2000_rows[[#This Row],[order date]],"mmmm")</f>
        <v>November</v>
      </c>
      <c r="L491">
        <f>YEAR(discount_impact_on_profit_2000_rows[[#This Row],[order date]])</f>
        <v>2024</v>
      </c>
      <c r="M491" t="str">
        <f>IF(discount_impact_on_profit_2000_rows[[#This Row],[Discount %]]=0,"Zero Discount",IF(discount_impact_on_profit_2000_rows[[#This Row],[Discount %]]&lt;=10,"Low Discount","High Discount"))</f>
        <v>Low Discount</v>
      </c>
      <c r="N491" t="str">
        <f t="shared" si="7"/>
        <v>0-10%</v>
      </c>
    </row>
    <row r="492" spans="1:14">
      <c r="A492" s="1">
        <v>45094</v>
      </c>
      <c r="B492" t="s">
        <v>554</v>
      </c>
      <c r="C492" t="s">
        <v>53</v>
      </c>
      <c r="D492" t="s">
        <v>95</v>
      </c>
      <c r="E492">
        <v>1145.72</v>
      </c>
      <c r="F492" t="s">
        <v>31</v>
      </c>
      <c r="G492">
        <v>2367.15</v>
      </c>
      <c r="H492">
        <v>1221.43</v>
      </c>
      <c r="I492">
        <v>5</v>
      </c>
      <c r="J492">
        <v>3</v>
      </c>
      <c r="K492" t="str">
        <f>TEXT(discount_impact_on_profit_2000_rows[[#This Row],[order date]],"mmmm")</f>
        <v>June</v>
      </c>
      <c r="L492">
        <f>YEAR(discount_impact_on_profit_2000_rows[[#This Row],[order date]])</f>
        <v>2023</v>
      </c>
      <c r="M492" t="str">
        <f>IF(discount_impact_on_profit_2000_rows[[#This Row],[Discount %]]=0,"Zero Discount",IF(discount_impact_on_profit_2000_rows[[#This Row],[Discount %]]&lt;=10,"Low Discount","High Discount"))</f>
        <v>Low Discount</v>
      </c>
      <c r="N492" t="str">
        <f t="shared" si="7"/>
        <v>0-10%</v>
      </c>
    </row>
    <row r="493" spans="1:14">
      <c r="A493" s="1">
        <v>45486</v>
      </c>
      <c r="B493" t="s">
        <v>555</v>
      </c>
      <c r="C493" t="s">
        <v>53</v>
      </c>
      <c r="D493" t="s">
        <v>54</v>
      </c>
      <c r="E493">
        <v>2321.65</v>
      </c>
      <c r="F493" t="s">
        <v>36</v>
      </c>
      <c r="G493">
        <v>4132.37</v>
      </c>
      <c r="H493">
        <v>1810.72</v>
      </c>
      <c r="I493">
        <v>0</v>
      </c>
      <c r="J493">
        <v>1</v>
      </c>
      <c r="K493" t="str">
        <f>TEXT(discount_impact_on_profit_2000_rows[[#This Row],[order date]],"mmmm")</f>
        <v>July</v>
      </c>
      <c r="L493">
        <f>YEAR(discount_impact_on_profit_2000_rows[[#This Row],[order date]])</f>
        <v>2024</v>
      </c>
      <c r="M493" t="str">
        <f>IF(discount_impact_on_profit_2000_rows[[#This Row],[Discount %]]=0,"Zero Discount",IF(discount_impact_on_profit_2000_rows[[#This Row],[Discount %]]&lt;=10,"Low Discount","High Discount"))</f>
        <v>Zero Discount</v>
      </c>
      <c r="N493" t="str">
        <f t="shared" si="7"/>
        <v>0-10%</v>
      </c>
    </row>
    <row r="494" spans="1:14">
      <c r="A494" s="1">
        <v>45601</v>
      </c>
      <c r="B494" t="s">
        <v>556</v>
      </c>
      <c r="C494" t="s">
        <v>53</v>
      </c>
      <c r="D494" t="s">
        <v>78</v>
      </c>
      <c r="E494">
        <v>9983.6299999999992</v>
      </c>
      <c r="F494" t="s">
        <v>36</v>
      </c>
      <c r="G494">
        <v>15028.06</v>
      </c>
      <c r="H494">
        <v>5044.43</v>
      </c>
      <c r="I494">
        <v>0</v>
      </c>
      <c r="J494">
        <v>3</v>
      </c>
      <c r="K494" t="str">
        <f>TEXT(discount_impact_on_profit_2000_rows[[#This Row],[order date]],"mmmm")</f>
        <v>November</v>
      </c>
      <c r="L494">
        <f>YEAR(discount_impact_on_profit_2000_rows[[#This Row],[order date]])</f>
        <v>2024</v>
      </c>
      <c r="M494" t="str">
        <f>IF(discount_impact_on_profit_2000_rows[[#This Row],[Discount %]]=0,"Zero Discount",IF(discount_impact_on_profit_2000_rows[[#This Row],[Discount %]]&lt;=10,"Low Discount","High Discount"))</f>
        <v>Zero Discount</v>
      </c>
      <c r="N494" t="str">
        <f t="shared" si="7"/>
        <v>0-10%</v>
      </c>
    </row>
    <row r="495" spans="1:14">
      <c r="A495" s="1">
        <v>45977</v>
      </c>
      <c r="B495" t="s">
        <v>557</v>
      </c>
      <c r="C495" t="s">
        <v>15</v>
      </c>
      <c r="D495" t="s">
        <v>84</v>
      </c>
      <c r="E495">
        <v>2989.91</v>
      </c>
      <c r="F495" t="s">
        <v>26</v>
      </c>
      <c r="G495">
        <v>3856.34</v>
      </c>
      <c r="H495">
        <v>866.43</v>
      </c>
      <c r="I495">
        <v>10</v>
      </c>
      <c r="J495">
        <v>2</v>
      </c>
      <c r="K495" t="str">
        <f>TEXT(discount_impact_on_profit_2000_rows[[#This Row],[order date]],"mmmm")</f>
        <v>November</v>
      </c>
      <c r="L495">
        <f>YEAR(discount_impact_on_profit_2000_rows[[#This Row],[order date]])</f>
        <v>2025</v>
      </c>
      <c r="M495" t="str">
        <f>IF(discount_impact_on_profit_2000_rows[[#This Row],[Discount %]]=0,"Zero Discount",IF(discount_impact_on_profit_2000_rows[[#This Row],[Discount %]]&lt;=10,"Low Discount","High Discount"))</f>
        <v>Low Discount</v>
      </c>
      <c r="N495" t="str">
        <f t="shared" si="7"/>
        <v>0-10%</v>
      </c>
    </row>
    <row r="496" spans="1:14">
      <c r="A496" s="1">
        <v>45183</v>
      </c>
      <c r="B496" t="s">
        <v>558</v>
      </c>
      <c r="C496" t="s">
        <v>18</v>
      </c>
      <c r="D496" t="s">
        <v>50</v>
      </c>
      <c r="E496">
        <v>866.42</v>
      </c>
      <c r="F496" t="s">
        <v>26</v>
      </c>
      <c r="G496">
        <v>1713</v>
      </c>
      <c r="H496">
        <v>846.58</v>
      </c>
      <c r="I496">
        <v>5</v>
      </c>
      <c r="J496">
        <v>4</v>
      </c>
      <c r="K496" t="str">
        <f>TEXT(discount_impact_on_profit_2000_rows[[#This Row],[order date]],"mmmm")</f>
        <v>September</v>
      </c>
      <c r="L496">
        <f>YEAR(discount_impact_on_profit_2000_rows[[#This Row],[order date]])</f>
        <v>2023</v>
      </c>
      <c r="M496" t="str">
        <f>IF(discount_impact_on_profit_2000_rows[[#This Row],[Discount %]]=0,"Zero Discount",IF(discount_impact_on_profit_2000_rows[[#This Row],[Discount %]]&lt;=10,"Low Discount","High Discount"))</f>
        <v>Low Discount</v>
      </c>
      <c r="N496" t="str">
        <f t="shared" si="7"/>
        <v>0-10%</v>
      </c>
    </row>
    <row r="497" spans="1:14">
      <c r="A497" s="1">
        <v>45141</v>
      </c>
      <c r="B497" t="s">
        <v>559</v>
      </c>
      <c r="C497" t="s">
        <v>33</v>
      </c>
      <c r="D497" t="s">
        <v>203</v>
      </c>
      <c r="E497">
        <v>11050.59</v>
      </c>
      <c r="F497" t="s">
        <v>26</v>
      </c>
      <c r="G497">
        <v>14198.35</v>
      </c>
      <c r="H497">
        <v>3147.76</v>
      </c>
      <c r="I497">
        <v>0</v>
      </c>
      <c r="J497">
        <v>2</v>
      </c>
      <c r="K497" t="str">
        <f>TEXT(discount_impact_on_profit_2000_rows[[#This Row],[order date]],"mmmm")</f>
        <v>August</v>
      </c>
      <c r="L497">
        <f>YEAR(discount_impact_on_profit_2000_rows[[#This Row],[order date]])</f>
        <v>2023</v>
      </c>
      <c r="M497" t="str">
        <f>IF(discount_impact_on_profit_2000_rows[[#This Row],[Discount %]]=0,"Zero Discount",IF(discount_impact_on_profit_2000_rows[[#This Row],[Discount %]]&lt;=10,"Low Discount","High Discount"))</f>
        <v>Zero Discount</v>
      </c>
      <c r="N497" t="str">
        <f t="shared" si="7"/>
        <v>0-10%</v>
      </c>
    </row>
    <row r="498" spans="1:14">
      <c r="A498" s="1">
        <v>45079</v>
      </c>
      <c r="B498" t="s">
        <v>560</v>
      </c>
      <c r="C498" t="s">
        <v>53</v>
      </c>
      <c r="D498" t="s">
        <v>70</v>
      </c>
      <c r="E498">
        <v>18845.28</v>
      </c>
      <c r="F498" t="s">
        <v>13</v>
      </c>
      <c r="G498">
        <v>30829.7</v>
      </c>
      <c r="H498">
        <v>11984.42</v>
      </c>
      <c r="I498">
        <v>0</v>
      </c>
      <c r="J498">
        <v>6</v>
      </c>
      <c r="K498" t="str">
        <f>TEXT(discount_impact_on_profit_2000_rows[[#This Row],[order date]],"mmmm")</f>
        <v>June</v>
      </c>
      <c r="L498">
        <f>YEAR(discount_impact_on_profit_2000_rows[[#This Row],[order date]])</f>
        <v>2023</v>
      </c>
      <c r="M498" t="str">
        <f>IF(discount_impact_on_profit_2000_rows[[#This Row],[Discount %]]=0,"Zero Discount",IF(discount_impact_on_profit_2000_rows[[#This Row],[Discount %]]&lt;=10,"Low Discount","High Discount"))</f>
        <v>Zero Discount</v>
      </c>
      <c r="N498" t="str">
        <f t="shared" si="7"/>
        <v>0-10%</v>
      </c>
    </row>
    <row r="499" spans="1:14">
      <c r="A499" s="1">
        <v>44977</v>
      </c>
      <c r="B499" t="s">
        <v>561</v>
      </c>
      <c r="C499" t="s">
        <v>53</v>
      </c>
      <c r="D499" t="s">
        <v>95</v>
      </c>
      <c r="E499">
        <v>1988.37</v>
      </c>
      <c r="F499" t="s">
        <v>36</v>
      </c>
      <c r="G499">
        <v>3447.93</v>
      </c>
      <c r="H499">
        <v>1459.56</v>
      </c>
      <c r="I499">
        <v>0</v>
      </c>
      <c r="J499">
        <v>1</v>
      </c>
      <c r="K499" t="str">
        <f>TEXT(discount_impact_on_profit_2000_rows[[#This Row],[order date]],"mmmm")</f>
        <v>February</v>
      </c>
      <c r="L499">
        <f>YEAR(discount_impact_on_profit_2000_rows[[#This Row],[order date]])</f>
        <v>2023</v>
      </c>
      <c r="M499" t="str">
        <f>IF(discount_impact_on_profit_2000_rows[[#This Row],[Discount %]]=0,"Zero Discount",IF(discount_impact_on_profit_2000_rows[[#This Row],[Discount %]]&lt;=10,"Low Discount","High Discount"))</f>
        <v>Zero Discount</v>
      </c>
      <c r="N499" t="str">
        <f t="shared" si="7"/>
        <v>0-10%</v>
      </c>
    </row>
    <row r="500" spans="1:14">
      <c r="A500" s="1">
        <v>45580</v>
      </c>
      <c r="B500" t="s">
        <v>562</v>
      </c>
      <c r="C500" t="s">
        <v>33</v>
      </c>
      <c r="D500" t="s">
        <v>102</v>
      </c>
      <c r="E500">
        <v>9923.27</v>
      </c>
      <c r="F500" t="s">
        <v>13</v>
      </c>
      <c r="G500">
        <v>10893.94</v>
      </c>
      <c r="H500">
        <v>970.67</v>
      </c>
      <c r="I500">
        <v>15</v>
      </c>
      <c r="J500">
        <v>4</v>
      </c>
      <c r="K500" t="str">
        <f>TEXT(discount_impact_on_profit_2000_rows[[#This Row],[order date]],"mmmm")</f>
        <v>October</v>
      </c>
      <c r="L500">
        <f>YEAR(discount_impact_on_profit_2000_rows[[#This Row],[order date]])</f>
        <v>2024</v>
      </c>
      <c r="M500" t="str">
        <f>IF(discount_impact_on_profit_2000_rows[[#This Row],[Discount %]]=0,"Zero Discount",IF(discount_impact_on_profit_2000_rows[[#This Row],[Discount %]]&lt;=10,"Low Discount","High Discount"))</f>
        <v>High Discount</v>
      </c>
      <c r="N500" t="str">
        <f t="shared" si="7"/>
        <v>10-20%</v>
      </c>
    </row>
    <row r="501" spans="1:14">
      <c r="A501" s="1">
        <v>45287</v>
      </c>
      <c r="B501" t="s">
        <v>563</v>
      </c>
      <c r="C501" t="s">
        <v>33</v>
      </c>
      <c r="D501" t="s">
        <v>203</v>
      </c>
      <c r="E501">
        <v>12596.03</v>
      </c>
      <c r="F501" t="s">
        <v>23</v>
      </c>
      <c r="G501">
        <v>19949.64</v>
      </c>
      <c r="H501">
        <v>7353.61</v>
      </c>
      <c r="I501">
        <v>5</v>
      </c>
      <c r="J501">
        <v>5</v>
      </c>
      <c r="K501" t="str">
        <f>TEXT(discount_impact_on_profit_2000_rows[[#This Row],[order date]],"mmmm")</f>
        <v>December</v>
      </c>
      <c r="L501">
        <f>YEAR(discount_impact_on_profit_2000_rows[[#This Row],[order date]])</f>
        <v>2023</v>
      </c>
      <c r="M501" t="str">
        <f>IF(discount_impact_on_profit_2000_rows[[#This Row],[Discount %]]=0,"Zero Discount",IF(discount_impact_on_profit_2000_rows[[#This Row],[Discount %]]&lt;=10,"Low Discount","High Discount"))</f>
        <v>Low Discount</v>
      </c>
      <c r="N501" t="str">
        <f t="shared" si="7"/>
        <v>0-10%</v>
      </c>
    </row>
    <row r="502" spans="1:14">
      <c r="A502" s="1">
        <v>45777</v>
      </c>
      <c r="B502" t="s">
        <v>564</v>
      </c>
      <c r="C502" t="s">
        <v>53</v>
      </c>
      <c r="D502" t="s">
        <v>70</v>
      </c>
      <c r="E502">
        <v>3581.88</v>
      </c>
      <c r="F502" t="s">
        <v>13</v>
      </c>
      <c r="G502">
        <v>4300.5</v>
      </c>
      <c r="H502">
        <v>718.62</v>
      </c>
      <c r="I502">
        <v>20</v>
      </c>
      <c r="J502">
        <v>3</v>
      </c>
      <c r="K502" t="str">
        <f>TEXT(discount_impact_on_profit_2000_rows[[#This Row],[order date]],"mmmm")</f>
        <v>April</v>
      </c>
      <c r="L502">
        <f>YEAR(discount_impact_on_profit_2000_rows[[#This Row],[order date]])</f>
        <v>2025</v>
      </c>
      <c r="M502" t="str">
        <f>IF(discount_impact_on_profit_2000_rows[[#This Row],[Discount %]]=0,"Zero Discount",IF(discount_impact_on_profit_2000_rows[[#This Row],[Discount %]]&lt;=10,"Low Discount","High Discount"))</f>
        <v>High Discount</v>
      </c>
      <c r="N502" t="str">
        <f t="shared" si="7"/>
        <v>10-20%</v>
      </c>
    </row>
    <row r="503" spans="1:14">
      <c r="A503" s="1">
        <v>45077</v>
      </c>
      <c r="B503" t="s">
        <v>565</v>
      </c>
      <c r="C503" t="s">
        <v>15</v>
      </c>
      <c r="D503" t="s">
        <v>84</v>
      </c>
      <c r="E503">
        <v>41816.19</v>
      </c>
      <c r="F503" t="s">
        <v>36</v>
      </c>
      <c r="G503">
        <v>47719.51</v>
      </c>
      <c r="H503">
        <v>5903.32</v>
      </c>
      <c r="I503">
        <v>30</v>
      </c>
      <c r="J503">
        <v>4</v>
      </c>
      <c r="K503" t="str">
        <f>TEXT(discount_impact_on_profit_2000_rows[[#This Row],[order date]],"mmmm")</f>
        <v>May</v>
      </c>
      <c r="L503">
        <f>YEAR(discount_impact_on_profit_2000_rows[[#This Row],[order date]])</f>
        <v>2023</v>
      </c>
      <c r="M503" t="str">
        <f>IF(discount_impact_on_profit_2000_rows[[#This Row],[Discount %]]=0,"Zero Discount",IF(discount_impact_on_profit_2000_rows[[#This Row],[Discount %]]&lt;=10,"Low Discount","High Discount"))</f>
        <v>High Discount</v>
      </c>
      <c r="N503" t="str">
        <f t="shared" si="7"/>
        <v>20-30%</v>
      </c>
    </row>
    <row r="504" spans="1:14">
      <c r="A504" s="1">
        <v>46015</v>
      </c>
      <c r="B504" t="s">
        <v>566</v>
      </c>
      <c r="C504" t="s">
        <v>21</v>
      </c>
      <c r="D504" t="s">
        <v>57</v>
      </c>
      <c r="E504">
        <v>4386.78</v>
      </c>
      <c r="F504" t="s">
        <v>13</v>
      </c>
      <c r="G504">
        <v>4518.38</v>
      </c>
      <c r="H504">
        <v>131.6</v>
      </c>
      <c r="I504">
        <v>16</v>
      </c>
      <c r="J504">
        <v>2</v>
      </c>
      <c r="K504" t="str">
        <f>TEXT(discount_impact_on_profit_2000_rows[[#This Row],[order date]],"mmmm")</f>
        <v>December</v>
      </c>
      <c r="L504">
        <f>YEAR(discount_impact_on_profit_2000_rows[[#This Row],[order date]])</f>
        <v>2025</v>
      </c>
      <c r="M504" t="str">
        <f>IF(discount_impact_on_profit_2000_rows[[#This Row],[Discount %]]=0,"Zero Discount",IF(discount_impact_on_profit_2000_rows[[#This Row],[Discount %]]&lt;=10,"Low Discount","High Discount"))</f>
        <v>High Discount</v>
      </c>
      <c r="N504" t="str">
        <f t="shared" si="7"/>
        <v>10-20%</v>
      </c>
    </row>
    <row r="505" spans="1:14">
      <c r="A505" s="1">
        <v>45003</v>
      </c>
      <c r="B505" t="s">
        <v>567</v>
      </c>
      <c r="C505" t="s">
        <v>11</v>
      </c>
      <c r="D505" t="s">
        <v>80</v>
      </c>
      <c r="E505">
        <v>1971.42</v>
      </c>
      <c r="F505" t="s">
        <v>23</v>
      </c>
      <c r="G505">
        <v>4114.76</v>
      </c>
      <c r="H505">
        <v>2143.34</v>
      </c>
      <c r="I505">
        <v>5</v>
      </c>
      <c r="J505">
        <v>6</v>
      </c>
      <c r="K505" t="str">
        <f>TEXT(discount_impact_on_profit_2000_rows[[#This Row],[order date]],"mmmm")</f>
        <v>March</v>
      </c>
      <c r="L505">
        <f>YEAR(discount_impact_on_profit_2000_rows[[#This Row],[order date]])</f>
        <v>2023</v>
      </c>
      <c r="M505" t="str">
        <f>IF(discount_impact_on_profit_2000_rows[[#This Row],[Discount %]]=0,"Zero Discount",IF(discount_impact_on_profit_2000_rows[[#This Row],[Discount %]]&lt;=10,"Low Discount","High Discount"))</f>
        <v>Low Discount</v>
      </c>
      <c r="N505" t="str">
        <f t="shared" si="7"/>
        <v>0-10%</v>
      </c>
    </row>
    <row r="506" spans="1:14">
      <c r="A506" s="1">
        <v>45668</v>
      </c>
      <c r="B506" t="s">
        <v>568</v>
      </c>
      <c r="C506" t="s">
        <v>18</v>
      </c>
      <c r="D506" t="s">
        <v>50</v>
      </c>
      <c r="E506">
        <v>2033.43</v>
      </c>
      <c r="F506" t="s">
        <v>13</v>
      </c>
      <c r="G506">
        <v>2386.64</v>
      </c>
      <c r="H506">
        <v>353.21</v>
      </c>
      <c r="I506">
        <v>25</v>
      </c>
      <c r="J506">
        <v>2</v>
      </c>
      <c r="K506" t="str">
        <f>TEXT(discount_impact_on_profit_2000_rows[[#This Row],[order date]],"mmmm")</f>
        <v>January</v>
      </c>
      <c r="L506">
        <f>YEAR(discount_impact_on_profit_2000_rows[[#This Row],[order date]])</f>
        <v>2025</v>
      </c>
      <c r="M506" t="str">
        <f>IF(discount_impact_on_profit_2000_rows[[#This Row],[Discount %]]=0,"Zero Discount",IF(discount_impact_on_profit_2000_rows[[#This Row],[Discount %]]&lt;=10,"Low Discount","High Discount"))</f>
        <v>High Discount</v>
      </c>
      <c r="N506" t="str">
        <f t="shared" si="7"/>
        <v>20-30%</v>
      </c>
    </row>
    <row r="507" spans="1:14">
      <c r="A507" s="1">
        <v>45885</v>
      </c>
      <c r="B507" t="s">
        <v>569</v>
      </c>
      <c r="C507" t="s">
        <v>11</v>
      </c>
      <c r="D507" t="s">
        <v>30</v>
      </c>
      <c r="E507">
        <v>1301.8</v>
      </c>
      <c r="F507" t="s">
        <v>23</v>
      </c>
      <c r="G507">
        <v>2733.69</v>
      </c>
      <c r="H507">
        <v>1431.89</v>
      </c>
      <c r="I507">
        <v>15</v>
      </c>
      <c r="J507">
        <v>1</v>
      </c>
      <c r="K507" t="str">
        <f>TEXT(discount_impact_on_profit_2000_rows[[#This Row],[order date]],"mmmm")</f>
        <v>August</v>
      </c>
      <c r="L507">
        <f>YEAR(discount_impact_on_profit_2000_rows[[#This Row],[order date]])</f>
        <v>2025</v>
      </c>
      <c r="M507" t="str">
        <f>IF(discount_impact_on_profit_2000_rows[[#This Row],[Discount %]]=0,"Zero Discount",IF(discount_impact_on_profit_2000_rows[[#This Row],[Discount %]]&lt;=10,"Low Discount","High Discount"))</f>
        <v>High Discount</v>
      </c>
      <c r="N507" t="str">
        <f t="shared" si="7"/>
        <v>10-20%</v>
      </c>
    </row>
    <row r="508" spans="1:14">
      <c r="A508" s="1">
        <v>45862</v>
      </c>
      <c r="B508" t="s">
        <v>570</v>
      </c>
      <c r="C508" t="s">
        <v>33</v>
      </c>
      <c r="D508" t="s">
        <v>92</v>
      </c>
      <c r="E508">
        <v>23416.25</v>
      </c>
      <c r="F508" t="s">
        <v>13</v>
      </c>
      <c r="G508">
        <v>28552.23</v>
      </c>
      <c r="H508">
        <v>5135.9799999999996</v>
      </c>
      <c r="I508">
        <v>5</v>
      </c>
      <c r="J508">
        <v>2</v>
      </c>
      <c r="K508" t="str">
        <f>TEXT(discount_impact_on_profit_2000_rows[[#This Row],[order date]],"mmmm")</f>
        <v>July</v>
      </c>
      <c r="L508">
        <f>YEAR(discount_impact_on_profit_2000_rows[[#This Row],[order date]])</f>
        <v>2025</v>
      </c>
      <c r="M508" t="str">
        <f>IF(discount_impact_on_profit_2000_rows[[#This Row],[Discount %]]=0,"Zero Discount",IF(discount_impact_on_profit_2000_rows[[#This Row],[Discount %]]&lt;=10,"Low Discount","High Discount"))</f>
        <v>Low Discount</v>
      </c>
      <c r="N508" t="str">
        <f t="shared" si="7"/>
        <v>0-10%</v>
      </c>
    </row>
    <row r="509" spans="1:14">
      <c r="A509" s="1">
        <v>45971</v>
      </c>
      <c r="B509" t="s">
        <v>571</v>
      </c>
      <c r="C509" t="s">
        <v>21</v>
      </c>
      <c r="D509" t="s">
        <v>154</v>
      </c>
      <c r="E509">
        <v>2884.7</v>
      </c>
      <c r="F509" t="s">
        <v>23</v>
      </c>
      <c r="G509">
        <v>3433.66</v>
      </c>
      <c r="H509">
        <v>548.96</v>
      </c>
      <c r="I509">
        <v>5</v>
      </c>
      <c r="J509">
        <v>4</v>
      </c>
      <c r="K509" t="str">
        <f>TEXT(discount_impact_on_profit_2000_rows[[#This Row],[order date]],"mmmm")</f>
        <v>November</v>
      </c>
      <c r="L509">
        <f>YEAR(discount_impact_on_profit_2000_rows[[#This Row],[order date]])</f>
        <v>2025</v>
      </c>
      <c r="M509" t="str">
        <f>IF(discount_impact_on_profit_2000_rows[[#This Row],[Discount %]]=0,"Zero Discount",IF(discount_impact_on_profit_2000_rows[[#This Row],[Discount %]]&lt;=10,"Low Discount","High Discount"))</f>
        <v>Low Discount</v>
      </c>
      <c r="N509" t="str">
        <f t="shared" si="7"/>
        <v>0-10%</v>
      </c>
    </row>
    <row r="510" spans="1:14">
      <c r="A510" s="1">
        <v>46013</v>
      </c>
      <c r="B510" t="s">
        <v>572</v>
      </c>
      <c r="C510" t="s">
        <v>11</v>
      </c>
      <c r="D510" t="s">
        <v>64</v>
      </c>
      <c r="E510">
        <v>702.47</v>
      </c>
      <c r="F510" t="s">
        <v>36</v>
      </c>
      <c r="G510">
        <v>1082.8</v>
      </c>
      <c r="H510">
        <v>380.33</v>
      </c>
      <c r="I510">
        <v>15</v>
      </c>
      <c r="J510">
        <v>2</v>
      </c>
      <c r="K510" t="str">
        <f>TEXT(discount_impact_on_profit_2000_rows[[#This Row],[order date]],"mmmm")</f>
        <v>December</v>
      </c>
      <c r="L510">
        <f>YEAR(discount_impact_on_profit_2000_rows[[#This Row],[order date]])</f>
        <v>2025</v>
      </c>
      <c r="M510" t="str">
        <f>IF(discount_impact_on_profit_2000_rows[[#This Row],[Discount %]]=0,"Zero Discount",IF(discount_impact_on_profit_2000_rows[[#This Row],[Discount %]]&lt;=10,"Low Discount","High Discount"))</f>
        <v>High Discount</v>
      </c>
      <c r="N510" t="str">
        <f t="shared" si="7"/>
        <v>10-20%</v>
      </c>
    </row>
    <row r="511" spans="1:14">
      <c r="A511" s="1">
        <v>45724</v>
      </c>
      <c r="B511" t="s">
        <v>573</v>
      </c>
      <c r="C511" t="s">
        <v>18</v>
      </c>
      <c r="D511" t="s">
        <v>88</v>
      </c>
      <c r="E511">
        <v>3078.59</v>
      </c>
      <c r="F511" t="s">
        <v>36</v>
      </c>
      <c r="G511">
        <v>3384</v>
      </c>
      <c r="H511">
        <v>305.41000000000003</v>
      </c>
      <c r="I511">
        <v>25</v>
      </c>
      <c r="J511">
        <v>3</v>
      </c>
      <c r="K511" t="str">
        <f>TEXT(discount_impact_on_profit_2000_rows[[#This Row],[order date]],"mmmm")</f>
        <v>March</v>
      </c>
      <c r="L511">
        <f>YEAR(discount_impact_on_profit_2000_rows[[#This Row],[order date]])</f>
        <v>2025</v>
      </c>
      <c r="M511" t="str">
        <f>IF(discount_impact_on_profit_2000_rows[[#This Row],[Discount %]]=0,"Zero Discount",IF(discount_impact_on_profit_2000_rows[[#This Row],[Discount %]]&lt;=10,"Low Discount","High Discount"))</f>
        <v>High Discount</v>
      </c>
      <c r="N511" t="str">
        <f t="shared" si="7"/>
        <v>20-30%</v>
      </c>
    </row>
    <row r="512" spans="1:14">
      <c r="A512" s="1">
        <v>45779</v>
      </c>
      <c r="B512" t="s">
        <v>574</v>
      </c>
      <c r="C512" t="s">
        <v>11</v>
      </c>
      <c r="D512" t="s">
        <v>80</v>
      </c>
      <c r="E512">
        <v>856.38</v>
      </c>
      <c r="F512" t="s">
        <v>31</v>
      </c>
      <c r="G512">
        <v>1982.03</v>
      </c>
      <c r="H512">
        <v>1125.6500000000001</v>
      </c>
      <c r="I512">
        <v>10</v>
      </c>
      <c r="J512">
        <v>2</v>
      </c>
      <c r="K512" t="str">
        <f>TEXT(discount_impact_on_profit_2000_rows[[#This Row],[order date]],"mmmm")</f>
        <v>May</v>
      </c>
      <c r="L512">
        <f>YEAR(discount_impact_on_profit_2000_rows[[#This Row],[order date]])</f>
        <v>2025</v>
      </c>
      <c r="M512" t="str">
        <f>IF(discount_impact_on_profit_2000_rows[[#This Row],[Discount %]]=0,"Zero Discount",IF(discount_impact_on_profit_2000_rows[[#This Row],[Discount %]]&lt;=10,"Low Discount","High Discount"))</f>
        <v>Low Discount</v>
      </c>
      <c r="N512" t="str">
        <f t="shared" si="7"/>
        <v>0-10%</v>
      </c>
    </row>
    <row r="513" spans="1:14">
      <c r="A513" s="1">
        <v>45122</v>
      </c>
      <c r="B513" t="s">
        <v>575</v>
      </c>
      <c r="C513" t="s">
        <v>11</v>
      </c>
      <c r="D513" t="s">
        <v>207</v>
      </c>
      <c r="E513">
        <v>344.27</v>
      </c>
      <c r="F513" t="s">
        <v>36</v>
      </c>
      <c r="G513">
        <v>438.99</v>
      </c>
      <c r="H513">
        <v>94.72</v>
      </c>
      <c r="I513">
        <v>25</v>
      </c>
      <c r="J513">
        <v>2</v>
      </c>
      <c r="K513" t="str">
        <f>TEXT(discount_impact_on_profit_2000_rows[[#This Row],[order date]],"mmmm")</f>
        <v>July</v>
      </c>
      <c r="L513">
        <f>YEAR(discount_impact_on_profit_2000_rows[[#This Row],[order date]])</f>
        <v>2023</v>
      </c>
      <c r="M513" t="str">
        <f>IF(discount_impact_on_profit_2000_rows[[#This Row],[Discount %]]=0,"Zero Discount",IF(discount_impact_on_profit_2000_rows[[#This Row],[Discount %]]&lt;=10,"Low Discount","High Discount"))</f>
        <v>High Discount</v>
      </c>
      <c r="N513" t="str">
        <f t="shared" si="7"/>
        <v>20-30%</v>
      </c>
    </row>
    <row r="514" spans="1:14">
      <c r="A514" s="1">
        <v>44994</v>
      </c>
      <c r="B514" t="s">
        <v>576</v>
      </c>
      <c r="C514" t="s">
        <v>53</v>
      </c>
      <c r="D514" t="s">
        <v>152</v>
      </c>
      <c r="E514">
        <v>4857.6099999999997</v>
      </c>
      <c r="F514" t="s">
        <v>13</v>
      </c>
      <c r="G514">
        <v>11500.85</v>
      </c>
      <c r="H514">
        <v>6643.24</v>
      </c>
      <c r="I514">
        <v>0</v>
      </c>
      <c r="J514">
        <v>8</v>
      </c>
      <c r="K514" t="str">
        <f>TEXT(discount_impact_on_profit_2000_rows[[#This Row],[order date]],"mmmm")</f>
        <v>March</v>
      </c>
      <c r="L514">
        <f>YEAR(discount_impact_on_profit_2000_rows[[#This Row],[order date]])</f>
        <v>2023</v>
      </c>
      <c r="M514" t="str">
        <f>IF(discount_impact_on_profit_2000_rows[[#This Row],[Discount %]]=0,"Zero Discount",IF(discount_impact_on_profit_2000_rows[[#This Row],[Discount %]]&lt;=10,"Low Discount","High Discount"))</f>
        <v>Zero Discount</v>
      </c>
      <c r="N514" t="str">
        <f t="shared" ref="N514:N577" si="8">IF(I514&lt;=10,"0-10%",IF(I514&lt;=20,"10-20%",IF(I514&lt;=30,"20-30%","30%+")))</f>
        <v>0-10%</v>
      </c>
    </row>
    <row r="515" spans="1:14">
      <c r="A515" s="1">
        <v>45901</v>
      </c>
      <c r="B515" t="s">
        <v>577</v>
      </c>
      <c r="C515" t="s">
        <v>53</v>
      </c>
      <c r="D515" t="s">
        <v>113</v>
      </c>
      <c r="E515">
        <v>4950.42</v>
      </c>
      <c r="F515" t="s">
        <v>23</v>
      </c>
      <c r="G515">
        <v>6015.31</v>
      </c>
      <c r="H515">
        <v>1064.8900000000001</v>
      </c>
      <c r="I515">
        <v>25</v>
      </c>
      <c r="J515">
        <v>2</v>
      </c>
      <c r="K515" t="str">
        <f>TEXT(discount_impact_on_profit_2000_rows[[#This Row],[order date]],"mmmm")</f>
        <v>September</v>
      </c>
      <c r="L515">
        <f>YEAR(discount_impact_on_profit_2000_rows[[#This Row],[order date]])</f>
        <v>2025</v>
      </c>
      <c r="M515" t="str">
        <f>IF(discount_impact_on_profit_2000_rows[[#This Row],[Discount %]]=0,"Zero Discount",IF(discount_impact_on_profit_2000_rows[[#This Row],[Discount %]]&lt;=10,"Low Discount","High Discount"))</f>
        <v>High Discount</v>
      </c>
      <c r="N515" t="str">
        <f t="shared" si="8"/>
        <v>20-30%</v>
      </c>
    </row>
    <row r="516" spans="1:14">
      <c r="A516" s="1">
        <v>45202</v>
      </c>
      <c r="B516" t="s">
        <v>578</v>
      </c>
      <c r="C516" t="s">
        <v>53</v>
      </c>
      <c r="D516" t="s">
        <v>54</v>
      </c>
      <c r="E516">
        <v>1971.69</v>
      </c>
      <c r="F516" t="s">
        <v>36</v>
      </c>
      <c r="G516">
        <v>2949.92</v>
      </c>
      <c r="H516">
        <v>978.23</v>
      </c>
      <c r="I516">
        <v>10</v>
      </c>
      <c r="J516">
        <v>3</v>
      </c>
      <c r="K516" t="str">
        <f>TEXT(discount_impact_on_profit_2000_rows[[#This Row],[order date]],"mmmm")</f>
        <v>October</v>
      </c>
      <c r="L516">
        <f>YEAR(discount_impact_on_profit_2000_rows[[#This Row],[order date]])</f>
        <v>2023</v>
      </c>
      <c r="M516" t="str">
        <f>IF(discount_impact_on_profit_2000_rows[[#This Row],[Discount %]]=0,"Zero Discount",IF(discount_impact_on_profit_2000_rows[[#This Row],[Discount %]]&lt;=10,"Low Discount","High Discount"))</f>
        <v>Low Discount</v>
      </c>
      <c r="N516" t="str">
        <f t="shared" si="8"/>
        <v>0-10%</v>
      </c>
    </row>
    <row r="517" spans="1:14">
      <c r="A517" s="1">
        <v>45560</v>
      </c>
      <c r="B517" t="s">
        <v>579</v>
      </c>
      <c r="C517" t="s">
        <v>21</v>
      </c>
      <c r="D517" t="s">
        <v>46</v>
      </c>
      <c r="E517">
        <v>3349.45</v>
      </c>
      <c r="F517" t="s">
        <v>26</v>
      </c>
      <c r="G517">
        <v>3922.14</v>
      </c>
      <c r="H517">
        <v>572.69000000000005</v>
      </c>
      <c r="I517">
        <v>20</v>
      </c>
      <c r="J517">
        <v>1</v>
      </c>
      <c r="K517" t="str">
        <f>TEXT(discount_impact_on_profit_2000_rows[[#This Row],[order date]],"mmmm")</f>
        <v>September</v>
      </c>
      <c r="L517">
        <f>YEAR(discount_impact_on_profit_2000_rows[[#This Row],[order date]])</f>
        <v>2024</v>
      </c>
      <c r="M517" t="str">
        <f>IF(discount_impact_on_profit_2000_rows[[#This Row],[Discount %]]=0,"Zero Discount",IF(discount_impact_on_profit_2000_rows[[#This Row],[Discount %]]&lt;=10,"Low Discount","High Discount"))</f>
        <v>High Discount</v>
      </c>
      <c r="N517" t="str">
        <f t="shared" si="8"/>
        <v>10-20%</v>
      </c>
    </row>
    <row r="518" spans="1:14">
      <c r="A518" s="1">
        <v>45420</v>
      </c>
      <c r="B518" t="s">
        <v>580</v>
      </c>
      <c r="C518" t="s">
        <v>18</v>
      </c>
      <c r="D518" t="s">
        <v>42</v>
      </c>
      <c r="E518">
        <v>1947.43</v>
      </c>
      <c r="F518" t="s">
        <v>31</v>
      </c>
      <c r="G518">
        <v>3762.22</v>
      </c>
      <c r="H518">
        <v>1814.79</v>
      </c>
      <c r="I518">
        <v>15</v>
      </c>
      <c r="J518">
        <v>4</v>
      </c>
      <c r="K518" t="str">
        <f>TEXT(discount_impact_on_profit_2000_rows[[#This Row],[order date]],"mmmm")</f>
        <v>May</v>
      </c>
      <c r="L518">
        <f>YEAR(discount_impact_on_profit_2000_rows[[#This Row],[order date]])</f>
        <v>2024</v>
      </c>
      <c r="M518" t="str">
        <f>IF(discount_impact_on_profit_2000_rows[[#This Row],[Discount %]]=0,"Zero Discount",IF(discount_impact_on_profit_2000_rows[[#This Row],[Discount %]]&lt;=10,"Low Discount","High Discount"))</f>
        <v>High Discount</v>
      </c>
      <c r="N518" t="str">
        <f t="shared" si="8"/>
        <v>10-20%</v>
      </c>
    </row>
    <row r="519" spans="1:14">
      <c r="A519" s="1">
        <v>45074</v>
      </c>
      <c r="B519" t="s">
        <v>581</v>
      </c>
      <c r="C519" t="s">
        <v>18</v>
      </c>
      <c r="D519" t="s">
        <v>104</v>
      </c>
      <c r="E519">
        <v>659.5</v>
      </c>
      <c r="F519" t="s">
        <v>13</v>
      </c>
      <c r="G519">
        <v>1052.29</v>
      </c>
      <c r="H519">
        <v>392.79</v>
      </c>
      <c r="I519">
        <v>0</v>
      </c>
      <c r="J519">
        <v>1</v>
      </c>
      <c r="K519" t="str">
        <f>TEXT(discount_impact_on_profit_2000_rows[[#This Row],[order date]],"mmmm")</f>
        <v>May</v>
      </c>
      <c r="L519">
        <f>YEAR(discount_impact_on_profit_2000_rows[[#This Row],[order date]])</f>
        <v>2023</v>
      </c>
      <c r="M519" t="str">
        <f>IF(discount_impact_on_profit_2000_rows[[#This Row],[Discount %]]=0,"Zero Discount",IF(discount_impact_on_profit_2000_rows[[#This Row],[Discount %]]&lt;=10,"Low Discount","High Discount"))</f>
        <v>Zero Discount</v>
      </c>
      <c r="N519" t="str">
        <f t="shared" si="8"/>
        <v>0-10%</v>
      </c>
    </row>
    <row r="520" spans="1:14">
      <c r="A520" s="1">
        <v>45473</v>
      </c>
      <c r="B520" t="s">
        <v>582</v>
      </c>
      <c r="C520" t="s">
        <v>11</v>
      </c>
      <c r="D520" t="s">
        <v>30</v>
      </c>
      <c r="E520">
        <v>766.58</v>
      </c>
      <c r="F520" t="s">
        <v>36</v>
      </c>
      <c r="G520">
        <v>1519.85</v>
      </c>
      <c r="H520">
        <v>753.27</v>
      </c>
      <c r="I520">
        <v>5</v>
      </c>
      <c r="J520">
        <v>2</v>
      </c>
      <c r="K520" t="str">
        <f>TEXT(discount_impact_on_profit_2000_rows[[#This Row],[order date]],"mmmm")</f>
        <v>June</v>
      </c>
      <c r="L520">
        <f>YEAR(discount_impact_on_profit_2000_rows[[#This Row],[order date]])</f>
        <v>2024</v>
      </c>
      <c r="M520" t="str">
        <f>IF(discount_impact_on_profit_2000_rows[[#This Row],[Discount %]]=0,"Zero Discount",IF(discount_impact_on_profit_2000_rows[[#This Row],[Discount %]]&lt;=10,"Low Discount","High Discount"))</f>
        <v>Low Discount</v>
      </c>
      <c r="N520" t="str">
        <f t="shared" si="8"/>
        <v>0-10%</v>
      </c>
    </row>
    <row r="521" spans="1:14">
      <c r="A521" s="1">
        <v>45080</v>
      </c>
      <c r="B521" t="s">
        <v>583</v>
      </c>
      <c r="C521" t="s">
        <v>11</v>
      </c>
      <c r="D521" t="s">
        <v>207</v>
      </c>
      <c r="E521">
        <v>3105.46</v>
      </c>
      <c r="F521" t="s">
        <v>36</v>
      </c>
      <c r="G521">
        <v>3853.4</v>
      </c>
      <c r="H521">
        <v>747.94</v>
      </c>
      <c r="I521">
        <v>25</v>
      </c>
      <c r="J521">
        <v>3</v>
      </c>
      <c r="K521" t="str">
        <f>TEXT(discount_impact_on_profit_2000_rows[[#This Row],[order date]],"mmmm")</f>
        <v>June</v>
      </c>
      <c r="L521">
        <f>YEAR(discount_impact_on_profit_2000_rows[[#This Row],[order date]])</f>
        <v>2023</v>
      </c>
      <c r="M521" t="str">
        <f>IF(discount_impact_on_profit_2000_rows[[#This Row],[Discount %]]=0,"Zero Discount",IF(discount_impact_on_profit_2000_rows[[#This Row],[Discount %]]&lt;=10,"Low Discount","High Discount"))</f>
        <v>High Discount</v>
      </c>
      <c r="N521" t="str">
        <f t="shared" si="8"/>
        <v>20-30%</v>
      </c>
    </row>
    <row r="522" spans="1:14">
      <c r="A522" s="1">
        <v>45585</v>
      </c>
      <c r="B522" t="s">
        <v>584</v>
      </c>
      <c r="C522" t="s">
        <v>18</v>
      </c>
      <c r="D522" t="s">
        <v>19</v>
      </c>
      <c r="E522">
        <v>1421.07</v>
      </c>
      <c r="F522" t="s">
        <v>26</v>
      </c>
      <c r="G522">
        <v>2759</v>
      </c>
      <c r="H522">
        <v>1337.93</v>
      </c>
      <c r="I522">
        <v>5</v>
      </c>
      <c r="J522">
        <v>4</v>
      </c>
      <c r="K522" t="str">
        <f>TEXT(discount_impact_on_profit_2000_rows[[#This Row],[order date]],"mmmm")</f>
        <v>October</v>
      </c>
      <c r="L522">
        <f>YEAR(discount_impact_on_profit_2000_rows[[#This Row],[order date]])</f>
        <v>2024</v>
      </c>
      <c r="M522" t="str">
        <f>IF(discount_impact_on_profit_2000_rows[[#This Row],[Discount %]]=0,"Zero Discount",IF(discount_impact_on_profit_2000_rows[[#This Row],[Discount %]]&lt;=10,"Low Discount","High Discount"))</f>
        <v>Low Discount</v>
      </c>
      <c r="N522" t="str">
        <f t="shared" si="8"/>
        <v>0-10%</v>
      </c>
    </row>
    <row r="523" spans="1:14">
      <c r="A523" s="1">
        <v>45619</v>
      </c>
      <c r="B523" t="s">
        <v>585</v>
      </c>
      <c r="C523" t="s">
        <v>21</v>
      </c>
      <c r="D523" t="s">
        <v>22</v>
      </c>
      <c r="E523">
        <v>42408.67</v>
      </c>
      <c r="F523" t="s">
        <v>13</v>
      </c>
      <c r="G523">
        <v>51131.19</v>
      </c>
      <c r="H523">
        <v>8722.52</v>
      </c>
      <c r="I523">
        <v>15</v>
      </c>
      <c r="J523">
        <v>3</v>
      </c>
      <c r="K523" t="str">
        <f>TEXT(discount_impact_on_profit_2000_rows[[#This Row],[order date]],"mmmm")</f>
        <v>November</v>
      </c>
      <c r="L523">
        <f>YEAR(discount_impact_on_profit_2000_rows[[#This Row],[order date]])</f>
        <v>2024</v>
      </c>
      <c r="M523" t="str">
        <f>IF(discount_impact_on_profit_2000_rows[[#This Row],[Discount %]]=0,"Zero Discount",IF(discount_impact_on_profit_2000_rows[[#This Row],[Discount %]]&lt;=10,"Low Discount","High Discount"))</f>
        <v>High Discount</v>
      </c>
      <c r="N523" t="str">
        <f t="shared" si="8"/>
        <v>10-20%</v>
      </c>
    </row>
    <row r="524" spans="1:14">
      <c r="A524" s="1">
        <v>45633</v>
      </c>
      <c r="B524" t="s">
        <v>586</v>
      </c>
      <c r="C524" t="s">
        <v>18</v>
      </c>
      <c r="D524" t="s">
        <v>42</v>
      </c>
      <c r="E524">
        <v>2300.5100000000002</v>
      </c>
      <c r="F524" t="s">
        <v>23</v>
      </c>
      <c r="G524">
        <v>2851.63</v>
      </c>
      <c r="H524">
        <v>551.12</v>
      </c>
      <c r="I524">
        <v>25</v>
      </c>
      <c r="J524">
        <v>5</v>
      </c>
      <c r="K524" t="str">
        <f>TEXT(discount_impact_on_profit_2000_rows[[#This Row],[order date]],"mmmm")</f>
        <v>December</v>
      </c>
      <c r="L524">
        <f>YEAR(discount_impact_on_profit_2000_rows[[#This Row],[order date]])</f>
        <v>2024</v>
      </c>
      <c r="M524" t="str">
        <f>IF(discount_impact_on_profit_2000_rows[[#This Row],[Discount %]]=0,"Zero Discount",IF(discount_impact_on_profit_2000_rows[[#This Row],[Discount %]]&lt;=10,"Low Discount","High Discount"))</f>
        <v>High Discount</v>
      </c>
      <c r="N524" t="str">
        <f t="shared" si="8"/>
        <v>20-30%</v>
      </c>
    </row>
    <row r="525" spans="1:14">
      <c r="A525" s="1">
        <v>45029</v>
      </c>
      <c r="B525" t="s">
        <v>587</v>
      </c>
      <c r="C525" t="s">
        <v>18</v>
      </c>
      <c r="D525" t="s">
        <v>19</v>
      </c>
      <c r="E525">
        <v>108.26</v>
      </c>
      <c r="F525" t="s">
        <v>13</v>
      </c>
      <c r="G525">
        <v>161.82</v>
      </c>
      <c r="H525">
        <v>53.56</v>
      </c>
      <c r="I525">
        <v>0</v>
      </c>
      <c r="J525">
        <v>2</v>
      </c>
      <c r="K525" t="str">
        <f>TEXT(discount_impact_on_profit_2000_rows[[#This Row],[order date]],"mmmm")</f>
        <v>April</v>
      </c>
      <c r="L525">
        <f>YEAR(discount_impact_on_profit_2000_rows[[#This Row],[order date]])</f>
        <v>2023</v>
      </c>
      <c r="M525" t="str">
        <f>IF(discount_impact_on_profit_2000_rows[[#This Row],[Discount %]]=0,"Zero Discount",IF(discount_impact_on_profit_2000_rows[[#This Row],[Discount %]]&lt;=10,"Low Discount","High Discount"))</f>
        <v>Zero Discount</v>
      </c>
      <c r="N525" t="str">
        <f t="shared" si="8"/>
        <v>0-10%</v>
      </c>
    </row>
    <row r="526" spans="1:14">
      <c r="A526" s="1">
        <v>45275</v>
      </c>
      <c r="B526" t="s">
        <v>588</v>
      </c>
      <c r="C526" t="s">
        <v>18</v>
      </c>
      <c r="D526" t="s">
        <v>50</v>
      </c>
      <c r="E526">
        <v>2239.71</v>
      </c>
      <c r="F526" t="s">
        <v>26</v>
      </c>
      <c r="G526">
        <v>3960.59</v>
      </c>
      <c r="H526">
        <v>1720.88</v>
      </c>
      <c r="I526">
        <v>15</v>
      </c>
      <c r="J526">
        <v>4</v>
      </c>
      <c r="K526" t="str">
        <f>TEXT(discount_impact_on_profit_2000_rows[[#This Row],[order date]],"mmmm")</f>
        <v>December</v>
      </c>
      <c r="L526">
        <f>YEAR(discount_impact_on_profit_2000_rows[[#This Row],[order date]])</f>
        <v>2023</v>
      </c>
      <c r="M526" t="str">
        <f>IF(discount_impact_on_profit_2000_rows[[#This Row],[Discount %]]=0,"Zero Discount",IF(discount_impact_on_profit_2000_rows[[#This Row],[Discount %]]&lt;=10,"Low Discount","High Discount"))</f>
        <v>High Discount</v>
      </c>
      <c r="N526" t="str">
        <f t="shared" si="8"/>
        <v>10-20%</v>
      </c>
    </row>
    <row r="527" spans="1:14">
      <c r="A527" s="1">
        <v>45779</v>
      </c>
      <c r="B527" t="s">
        <v>589</v>
      </c>
      <c r="C527" t="s">
        <v>11</v>
      </c>
      <c r="D527" t="s">
        <v>64</v>
      </c>
      <c r="E527">
        <v>6389.89</v>
      </c>
      <c r="F527" t="s">
        <v>26</v>
      </c>
      <c r="G527">
        <v>10471.540000000001</v>
      </c>
      <c r="H527">
        <v>4081.65</v>
      </c>
      <c r="I527">
        <v>10</v>
      </c>
      <c r="J527">
        <v>4</v>
      </c>
      <c r="K527" t="str">
        <f>TEXT(discount_impact_on_profit_2000_rows[[#This Row],[order date]],"mmmm")</f>
        <v>May</v>
      </c>
      <c r="L527">
        <f>YEAR(discount_impact_on_profit_2000_rows[[#This Row],[order date]])</f>
        <v>2025</v>
      </c>
      <c r="M527" t="str">
        <f>IF(discount_impact_on_profit_2000_rows[[#This Row],[Discount %]]=0,"Zero Discount",IF(discount_impact_on_profit_2000_rows[[#This Row],[Discount %]]&lt;=10,"Low Discount","High Discount"))</f>
        <v>Low Discount</v>
      </c>
      <c r="N527" t="str">
        <f t="shared" si="8"/>
        <v>0-10%</v>
      </c>
    </row>
    <row r="528" spans="1:14">
      <c r="A528" s="1">
        <v>45221</v>
      </c>
      <c r="B528" t="s">
        <v>590</v>
      </c>
      <c r="C528" t="s">
        <v>18</v>
      </c>
      <c r="D528" t="s">
        <v>104</v>
      </c>
      <c r="E528">
        <v>2022.53</v>
      </c>
      <c r="F528" t="s">
        <v>36</v>
      </c>
      <c r="G528">
        <v>2244.9899999999998</v>
      </c>
      <c r="H528">
        <v>222.46</v>
      </c>
      <c r="I528">
        <v>30</v>
      </c>
      <c r="J528">
        <v>3</v>
      </c>
      <c r="K528" t="str">
        <f>TEXT(discount_impact_on_profit_2000_rows[[#This Row],[order date]],"mmmm")</f>
        <v>October</v>
      </c>
      <c r="L528">
        <f>YEAR(discount_impact_on_profit_2000_rows[[#This Row],[order date]])</f>
        <v>2023</v>
      </c>
      <c r="M528" t="str">
        <f>IF(discount_impact_on_profit_2000_rows[[#This Row],[Discount %]]=0,"Zero Discount",IF(discount_impact_on_profit_2000_rows[[#This Row],[Discount %]]&lt;=10,"Low Discount","High Discount"))</f>
        <v>High Discount</v>
      </c>
      <c r="N528" t="str">
        <f t="shared" si="8"/>
        <v>20-30%</v>
      </c>
    </row>
    <row r="529" spans="1:14">
      <c r="A529" s="1">
        <v>45770</v>
      </c>
      <c r="B529" t="s">
        <v>591</v>
      </c>
      <c r="C529" t="s">
        <v>18</v>
      </c>
      <c r="D529" t="s">
        <v>19</v>
      </c>
      <c r="E529">
        <v>730.21</v>
      </c>
      <c r="F529" t="s">
        <v>26</v>
      </c>
      <c r="G529">
        <v>858.04</v>
      </c>
      <c r="H529">
        <v>127.83</v>
      </c>
      <c r="I529">
        <v>20</v>
      </c>
      <c r="J529">
        <v>4</v>
      </c>
      <c r="K529" t="str">
        <f>TEXT(discount_impact_on_profit_2000_rows[[#This Row],[order date]],"mmmm")</f>
        <v>April</v>
      </c>
      <c r="L529">
        <f>YEAR(discount_impact_on_profit_2000_rows[[#This Row],[order date]])</f>
        <v>2025</v>
      </c>
      <c r="M529" t="str">
        <f>IF(discount_impact_on_profit_2000_rows[[#This Row],[Discount %]]=0,"Zero Discount",IF(discount_impact_on_profit_2000_rows[[#This Row],[Discount %]]&lt;=10,"Low Discount","High Discount"))</f>
        <v>High Discount</v>
      </c>
      <c r="N529" t="str">
        <f t="shared" si="8"/>
        <v>10-20%</v>
      </c>
    </row>
    <row r="530" spans="1:14">
      <c r="A530" s="1">
        <v>44958</v>
      </c>
      <c r="B530" t="s">
        <v>592</v>
      </c>
      <c r="C530" t="s">
        <v>33</v>
      </c>
      <c r="D530" t="s">
        <v>34</v>
      </c>
      <c r="E530">
        <v>21008.61</v>
      </c>
      <c r="F530" t="s">
        <v>26</v>
      </c>
      <c r="G530">
        <v>25441.25</v>
      </c>
      <c r="H530">
        <v>4432.6400000000003</v>
      </c>
      <c r="I530">
        <v>15</v>
      </c>
      <c r="J530">
        <v>3</v>
      </c>
      <c r="K530" t="str">
        <f>TEXT(discount_impact_on_profit_2000_rows[[#This Row],[order date]],"mmmm")</f>
        <v>February</v>
      </c>
      <c r="L530">
        <f>YEAR(discount_impact_on_profit_2000_rows[[#This Row],[order date]])</f>
        <v>2023</v>
      </c>
      <c r="M530" t="str">
        <f>IF(discount_impact_on_profit_2000_rows[[#This Row],[Discount %]]=0,"Zero Discount",IF(discount_impact_on_profit_2000_rows[[#This Row],[Discount %]]&lt;=10,"Low Discount","High Discount"))</f>
        <v>High Discount</v>
      </c>
      <c r="N530" t="str">
        <f t="shared" si="8"/>
        <v>10-20%</v>
      </c>
    </row>
    <row r="531" spans="1:14">
      <c r="A531" s="1">
        <v>44994</v>
      </c>
      <c r="B531" t="s">
        <v>593</v>
      </c>
      <c r="C531" t="s">
        <v>21</v>
      </c>
      <c r="D531" t="s">
        <v>46</v>
      </c>
      <c r="E531">
        <v>5204.5600000000004</v>
      </c>
      <c r="F531" t="s">
        <v>26</v>
      </c>
      <c r="G531">
        <v>6153.66</v>
      </c>
      <c r="H531">
        <v>949.1</v>
      </c>
      <c r="I531">
        <v>20</v>
      </c>
      <c r="J531">
        <v>3</v>
      </c>
      <c r="K531" t="str">
        <f>TEXT(discount_impact_on_profit_2000_rows[[#This Row],[order date]],"mmmm")</f>
        <v>March</v>
      </c>
      <c r="L531">
        <f>YEAR(discount_impact_on_profit_2000_rows[[#This Row],[order date]])</f>
        <v>2023</v>
      </c>
      <c r="M531" t="str">
        <f>IF(discount_impact_on_profit_2000_rows[[#This Row],[Discount %]]=0,"Zero Discount",IF(discount_impact_on_profit_2000_rows[[#This Row],[Discount %]]&lt;=10,"Low Discount","High Discount"))</f>
        <v>High Discount</v>
      </c>
      <c r="N531" t="str">
        <f t="shared" si="8"/>
        <v>10-20%</v>
      </c>
    </row>
    <row r="532" spans="1:14">
      <c r="A532" s="1">
        <v>44942</v>
      </c>
      <c r="B532" t="s">
        <v>594</v>
      </c>
      <c r="C532" t="s">
        <v>11</v>
      </c>
      <c r="D532" t="s">
        <v>207</v>
      </c>
      <c r="E532">
        <v>5833.38</v>
      </c>
      <c r="F532" t="s">
        <v>26</v>
      </c>
      <c r="G532">
        <v>8664.42</v>
      </c>
      <c r="H532">
        <v>2831.04</v>
      </c>
      <c r="I532">
        <v>10</v>
      </c>
      <c r="J532">
        <v>5</v>
      </c>
      <c r="K532" t="str">
        <f>TEXT(discount_impact_on_profit_2000_rows[[#This Row],[order date]],"mmmm")</f>
        <v>January</v>
      </c>
      <c r="L532">
        <f>YEAR(discount_impact_on_profit_2000_rows[[#This Row],[order date]])</f>
        <v>2023</v>
      </c>
      <c r="M532" t="str">
        <f>IF(discount_impact_on_profit_2000_rows[[#This Row],[Discount %]]=0,"Zero Discount",IF(discount_impact_on_profit_2000_rows[[#This Row],[Discount %]]&lt;=10,"Low Discount","High Discount"))</f>
        <v>Low Discount</v>
      </c>
      <c r="N532" t="str">
        <f t="shared" si="8"/>
        <v>0-10%</v>
      </c>
    </row>
    <row r="533" spans="1:14">
      <c r="A533" s="1">
        <v>45697</v>
      </c>
      <c r="B533" t="s">
        <v>595</v>
      </c>
      <c r="C533" t="s">
        <v>18</v>
      </c>
      <c r="D533" t="s">
        <v>42</v>
      </c>
      <c r="E533">
        <v>490.39</v>
      </c>
      <c r="F533" t="s">
        <v>23</v>
      </c>
      <c r="G533">
        <v>616.65</v>
      </c>
      <c r="H533">
        <v>126.26</v>
      </c>
      <c r="I533">
        <v>15</v>
      </c>
      <c r="J533">
        <v>2</v>
      </c>
      <c r="K533" t="str">
        <f>TEXT(discount_impact_on_profit_2000_rows[[#This Row],[order date]],"mmmm")</f>
        <v>February</v>
      </c>
      <c r="L533">
        <f>YEAR(discount_impact_on_profit_2000_rows[[#This Row],[order date]])</f>
        <v>2025</v>
      </c>
      <c r="M533" t="str">
        <f>IF(discount_impact_on_profit_2000_rows[[#This Row],[Discount %]]=0,"Zero Discount",IF(discount_impact_on_profit_2000_rows[[#This Row],[Discount %]]&lt;=10,"Low Discount","High Discount"))</f>
        <v>High Discount</v>
      </c>
      <c r="N533" t="str">
        <f t="shared" si="8"/>
        <v>10-20%</v>
      </c>
    </row>
    <row r="534" spans="1:14">
      <c r="A534" s="1">
        <v>45823</v>
      </c>
      <c r="B534" t="s">
        <v>596</v>
      </c>
      <c r="C534" t="s">
        <v>18</v>
      </c>
      <c r="D534" t="s">
        <v>88</v>
      </c>
      <c r="E534">
        <v>153.13</v>
      </c>
      <c r="F534" t="s">
        <v>23</v>
      </c>
      <c r="G534">
        <v>238.75</v>
      </c>
      <c r="H534">
        <v>85.62</v>
      </c>
      <c r="I534">
        <v>5</v>
      </c>
      <c r="J534">
        <v>2</v>
      </c>
      <c r="K534" t="str">
        <f>TEXT(discount_impact_on_profit_2000_rows[[#This Row],[order date]],"mmmm")</f>
        <v>June</v>
      </c>
      <c r="L534">
        <f>YEAR(discount_impact_on_profit_2000_rows[[#This Row],[order date]])</f>
        <v>2025</v>
      </c>
      <c r="M534" t="str">
        <f>IF(discount_impact_on_profit_2000_rows[[#This Row],[Discount %]]=0,"Zero Discount",IF(discount_impact_on_profit_2000_rows[[#This Row],[Discount %]]&lt;=10,"Low Discount","High Discount"))</f>
        <v>Low Discount</v>
      </c>
      <c r="N534" t="str">
        <f t="shared" si="8"/>
        <v>0-10%</v>
      </c>
    </row>
    <row r="535" spans="1:14">
      <c r="A535" s="1">
        <v>45553</v>
      </c>
      <c r="B535" t="s">
        <v>597</v>
      </c>
      <c r="C535" t="s">
        <v>33</v>
      </c>
      <c r="D535" t="s">
        <v>203</v>
      </c>
      <c r="E535">
        <v>48152.39</v>
      </c>
      <c r="F535" t="s">
        <v>31</v>
      </c>
      <c r="G535">
        <v>65054.93</v>
      </c>
      <c r="H535">
        <v>16902.54</v>
      </c>
      <c r="I535">
        <v>20</v>
      </c>
      <c r="J535">
        <v>6</v>
      </c>
      <c r="K535" t="str">
        <f>TEXT(discount_impact_on_profit_2000_rows[[#This Row],[order date]],"mmmm")</f>
        <v>September</v>
      </c>
      <c r="L535">
        <f>YEAR(discount_impact_on_profit_2000_rows[[#This Row],[order date]])</f>
        <v>2024</v>
      </c>
      <c r="M535" t="str">
        <f>IF(discount_impact_on_profit_2000_rows[[#This Row],[Discount %]]=0,"Zero Discount",IF(discount_impact_on_profit_2000_rows[[#This Row],[Discount %]]&lt;=10,"Low Discount","High Discount"))</f>
        <v>High Discount</v>
      </c>
      <c r="N535" t="str">
        <f t="shared" si="8"/>
        <v>10-20%</v>
      </c>
    </row>
    <row r="536" spans="1:14">
      <c r="A536" s="1">
        <v>45047</v>
      </c>
      <c r="B536" t="s">
        <v>598</v>
      </c>
      <c r="C536" t="s">
        <v>21</v>
      </c>
      <c r="D536" t="s">
        <v>109</v>
      </c>
      <c r="E536">
        <v>18118.12</v>
      </c>
      <c r="F536" t="s">
        <v>23</v>
      </c>
      <c r="G536">
        <v>23794.17</v>
      </c>
      <c r="H536">
        <v>5676.05</v>
      </c>
      <c r="I536">
        <v>0</v>
      </c>
      <c r="J536">
        <v>5</v>
      </c>
      <c r="K536" t="str">
        <f>TEXT(discount_impact_on_profit_2000_rows[[#This Row],[order date]],"mmmm")</f>
        <v>May</v>
      </c>
      <c r="L536">
        <f>YEAR(discount_impact_on_profit_2000_rows[[#This Row],[order date]])</f>
        <v>2023</v>
      </c>
      <c r="M536" t="str">
        <f>IF(discount_impact_on_profit_2000_rows[[#This Row],[Discount %]]=0,"Zero Discount",IF(discount_impact_on_profit_2000_rows[[#This Row],[Discount %]]&lt;=10,"Low Discount","High Discount"))</f>
        <v>Zero Discount</v>
      </c>
      <c r="N536" t="str">
        <f t="shared" si="8"/>
        <v>0-10%</v>
      </c>
    </row>
    <row r="537" spans="1:14">
      <c r="A537" s="1">
        <v>44970</v>
      </c>
      <c r="B537" t="s">
        <v>599</v>
      </c>
      <c r="C537" t="s">
        <v>33</v>
      </c>
      <c r="D537" t="s">
        <v>44</v>
      </c>
      <c r="E537">
        <v>16907.490000000002</v>
      </c>
      <c r="F537" t="s">
        <v>23</v>
      </c>
      <c r="G537">
        <v>22603.18</v>
      </c>
      <c r="H537">
        <v>5695.69</v>
      </c>
      <c r="I537">
        <v>5</v>
      </c>
      <c r="J537">
        <v>2</v>
      </c>
      <c r="K537" t="str">
        <f>TEXT(discount_impact_on_profit_2000_rows[[#This Row],[order date]],"mmmm")</f>
        <v>February</v>
      </c>
      <c r="L537">
        <f>YEAR(discount_impact_on_profit_2000_rows[[#This Row],[order date]])</f>
        <v>2023</v>
      </c>
      <c r="M537" t="str">
        <f>IF(discount_impact_on_profit_2000_rows[[#This Row],[Discount %]]=0,"Zero Discount",IF(discount_impact_on_profit_2000_rows[[#This Row],[Discount %]]&lt;=10,"Low Discount","High Discount"))</f>
        <v>Low Discount</v>
      </c>
      <c r="N537" t="str">
        <f t="shared" si="8"/>
        <v>0-10%</v>
      </c>
    </row>
    <row r="538" spans="1:14">
      <c r="A538" s="1">
        <v>45544</v>
      </c>
      <c r="B538" t="s">
        <v>600</v>
      </c>
      <c r="C538" t="s">
        <v>15</v>
      </c>
      <c r="D538" t="s">
        <v>99</v>
      </c>
      <c r="E538">
        <v>3475.39</v>
      </c>
      <c r="F538" t="s">
        <v>26</v>
      </c>
      <c r="G538">
        <v>5625.93</v>
      </c>
      <c r="H538">
        <v>2150.54</v>
      </c>
      <c r="I538">
        <v>0</v>
      </c>
      <c r="J538">
        <v>3</v>
      </c>
      <c r="K538" t="str">
        <f>TEXT(discount_impact_on_profit_2000_rows[[#This Row],[order date]],"mmmm")</f>
        <v>September</v>
      </c>
      <c r="L538">
        <f>YEAR(discount_impact_on_profit_2000_rows[[#This Row],[order date]])</f>
        <v>2024</v>
      </c>
      <c r="M538" t="str">
        <f>IF(discount_impact_on_profit_2000_rows[[#This Row],[Discount %]]=0,"Zero Discount",IF(discount_impact_on_profit_2000_rows[[#This Row],[Discount %]]&lt;=10,"Low Discount","High Discount"))</f>
        <v>Zero Discount</v>
      </c>
      <c r="N538" t="str">
        <f t="shared" si="8"/>
        <v>0-10%</v>
      </c>
    </row>
    <row r="539" spans="1:14">
      <c r="A539" s="1">
        <v>45640</v>
      </c>
      <c r="B539" t="s">
        <v>601</v>
      </c>
      <c r="C539" t="s">
        <v>33</v>
      </c>
      <c r="D539" t="s">
        <v>197</v>
      </c>
      <c r="E539">
        <v>17938.47</v>
      </c>
      <c r="F539" t="s">
        <v>36</v>
      </c>
      <c r="G539">
        <v>24953.69</v>
      </c>
      <c r="H539">
        <v>7015.22</v>
      </c>
      <c r="I539">
        <v>15</v>
      </c>
      <c r="J539">
        <v>2</v>
      </c>
      <c r="K539" t="str">
        <f>TEXT(discount_impact_on_profit_2000_rows[[#This Row],[order date]],"mmmm")</f>
        <v>December</v>
      </c>
      <c r="L539">
        <f>YEAR(discount_impact_on_profit_2000_rows[[#This Row],[order date]])</f>
        <v>2024</v>
      </c>
      <c r="M539" t="str">
        <f>IF(discount_impact_on_profit_2000_rows[[#This Row],[Discount %]]=0,"Zero Discount",IF(discount_impact_on_profit_2000_rows[[#This Row],[Discount %]]&lt;=10,"Low Discount","High Discount"))</f>
        <v>High Discount</v>
      </c>
      <c r="N539" t="str">
        <f t="shared" si="8"/>
        <v>10-20%</v>
      </c>
    </row>
    <row r="540" spans="1:14">
      <c r="A540" s="1">
        <v>45737</v>
      </c>
      <c r="B540" t="s">
        <v>602</v>
      </c>
      <c r="C540" t="s">
        <v>21</v>
      </c>
      <c r="D540" t="s">
        <v>123</v>
      </c>
      <c r="E540">
        <v>4960.2700000000004</v>
      </c>
      <c r="F540" t="s">
        <v>23</v>
      </c>
      <c r="G540">
        <v>5141.3500000000004</v>
      </c>
      <c r="H540">
        <v>181.08</v>
      </c>
      <c r="I540">
        <v>25</v>
      </c>
      <c r="J540">
        <v>6</v>
      </c>
      <c r="K540" t="str">
        <f>TEXT(discount_impact_on_profit_2000_rows[[#This Row],[order date]],"mmmm")</f>
        <v>March</v>
      </c>
      <c r="L540">
        <f>YEAR(discount_impact_on_profit_2000_rows[[#This Row],[order date]])</f>
        <v>2025</v>
      </c>
      <c r="M540" t="str">
        <f>IF(discount_impact_on_profit_2000_rows[[#This Row],[Discount %]]=0,"Zero Discount",IF(discount_impact_on_profit_2000_rows[[#This Row],[Discount %]]&lt;=10,"Low Discount","High Discount"))</f>
        <v>High Discount</v>
      </c>
      <c r="N540" t="str">
        <f t="shared" si="8"/>
        <v>20-30%</v>
      </c>
    </row>
    <row r="541" spans="1:14">
      <c r="A541" s="1">
        <v>45379</v>
      </c>
      <c r="B541" t="s">
        <v>603</v>
      </c>
      <c r="C541" t="s">
        <v>11</v>
      </c>
      <c r="D541" t="s">
        <v>38</v>
      </c>
      <c r="E541">
        <v>4802.6099999999997</v>
      </c>
      <c r="F541" t="s">
        <v>26</v>
      </c>
      <c r="G541">
        <v>11718.28</v>
      </c>
      <c r="H541">
        <v>6915.67</v>
      </c>
      <c r="I541">
        <v>5</v>
      </c>
      <c r="J541">
        <v>3</v>
      </c>
      <c r="K541" t="str">
        <f>TEXT(discount_impact_on_profit_2000_rows[[#This Row],[order date]],"mmmm")</f>
        <v>March</v>
      </c>
      <c r="L541">
        <f>YEAR(discount_impact_on_profit_2000_rows[[#This Row],[order date]])</f>
        <v>2024</v>
      </c>
      <c r="M541" t="str">
        <f>IF(discount_impact_on_profit_2000_rows[[#This Row],[Discount %]]=0,"Zero Discount",IF(discount_impact_on_profit_2000_rows[[#This Row],[Discount %]]&lt;=10,"Low Discount","High Discount"))</f>
        <v>Low Discount</v>
      </c>
      <c r="N541" t="str">
        <f t="shared" si="8"/>
        <v>0-10%</v>
      </c>
    </row>
    <row r="542" spans="1:14">
      <c r="A542" s="1">
        <v>45663</v>
      </c>
      <c r="B542" t="s">
        <v>604</v>
      </c>
      <c r="C542" t="s">
        <v>15</v>
      </c>
      <c r="D542" t="s">
        <v>76</v>
      </c>
      <c r="E542">
        <v>9426.26</v>
      </c>
      <c r="F542" t="s">
        <v>26</v>
      </c>
      <c r="G542">
        <v>12567.31</v>
      </c>
      <c r="H542">
        <v>3141.05</v>
      </c>
      <c r="I542">
        <v>0</v>
      </c>
      <c r="J542">
        <v>6</v>
      </c>
      <c r="K542" t="str">
        <f>TEXT(discount_impact_on_profit_2000_rows[[#This Row],[order date]],"mmmm")</f>
        <v>January</v>
      </c>
      <c r="L542">
        <f>YEAR(discount_impact_on_profit_2000_rows[[#This Row],[order date]])</f>
        <v>2025</v>
      </c>
      <c r="M542" t="str">
        <f>IF(discount_impact_on_profit_2000_rows[[#This Row],[Discount %]]=0,"Zero Discount",IF(discount_impact_on_profit_2000_rows[[#This Row],[Discount %]]&lt;=10,"Low Discount","High Discount"))</f>
        <v>Zero Discount</v>
      </c>
      <c r="N542" t="str">
        <f t="shared" si="8"/>
        <v>0-10%</v>
      </c>
    </row>
    <row r="543" spans="1:14">
      <c r="A543" s="1">
        <v>45425</v>
      </c>
      <c r="B543" t="s">
        <v>605</v>
      </c>
      <c r="C543" t="s">
        <v>15</v>
      </c>
      <c r="D543" t="s">
        <v>16</v>
      </c>
      <c r="E543">
        <v>18006.740000000002</v>
      </c>
      <c r="F543" t="s">
        <v>36</v>
      </c>
      <c r="G543">
        <v>21626.37</v>
      </c>
      <c r="H543">
        <v>3619.63</v>
      </c>
      <c r="I543">
        <v>15</v>
      </c>
      <c r="J543">
        <v>4</v>
      </c>
      <c r="K543" t="str">
        <f>TEXT(discount_impact_on_profit_2000_rows[[#This Row],[order date]],"mmmm")</f>
        <v>May</v>
      </c>
      <c r="L543">
        <f>YEAR(discount_impact_on_profit_2000_rows[[#This Row],[order date]])</f>
        <v>2024</v>
      </c>
      <c r="M543" t="str">
        <f>IF(discount_impact_on_profit_2000_rows[[#This Row],[Discount %]]=0,"Zero Discount",IF(discount_impact_on_profit_2000_rows[[#This Row],[Discount %]]&lt;=10,"Low Discount","High Discount"))</f>
        <v>High Discount</v>
      </c>
      <c r="N543" t="str">
        <f t="shared" si="8"/>
        <v>10-20%</v>
      </c>
    </row>
    <row r="544" spans="1:14">
      <c r="A544" s="1">
        <v>44939</v>
      </c>
      <c r="B544" t="s">
        <v>606</v>
      </c>
      <c r="C544" t="s">
        <v>33</v>
      </c>
      <c r="D544" t="s">
        <v>273</v>
      </c>
      <c r="E544">
        <v>3636.31</v>
      </c>
      <c r="F544" t="s">
        <v>36</v>
      </c>
      <c r="G544">
        <v>3804.84</v>
      </c>
      <c r="H544">
        <v>168.53</v>
      </c>
      <c r="I544">
        <v>20</v>
      </c>
      <c r="J544">
        <v>1</v>
      </c>
      <c r="K544" t="str">
        <f>TEXT(discount_impact_on_profit_2000_rows[[#This Row],[order date]],"mmmm")</f>
        <v>January</v>
      </c>
      <c r="L544">
        <f>YEAR(discount_impact_on_profit_2000_rows[[#This Row],[order date]])</f>
        <v>2023</v>
      </c>
      <c r="M544" t="str">
        <f>IF(discount_impact_on_profit_2000_rows[[#This Row],[Discount %]]=0,"Zero Discount",IF(discount_impact_on_profit_2000_rows[[#This Row],[Discount %]]&lt;=10,"Low Discount","High Discount"))</f>
        <v>High Discount</v>
      </c>
      <c r="N544" t="str">
        <f t="shared" si="8"/>
        <v>10-20%</v>
      </c>
    </row>
    <row r="545" spans="1:14">
      <c r="A545" s="1">
        <v>45357</v>
      </c>
      <c r="B545" t="s">
        <v>607</v>
      </c>
      <c r="C545" t="s">
        <v>11</v>
      </c>
      <c r="D545" t="s">
        <v>64</v>
      </c>
      <c r="E545">
        <v>1399.09</v>
      </c>
      <c r="F545" t="s">
        <v>36</v>
      </c>
      <c r="G545">
        <v>1713.44</v>
      </c>
      <c r="H545">
        <v>314.35000000000002</v>
      </c>
      <c r="I545">
        <v>25</v>
      </c>
      <c r="J545">
        <v>1</v>
      </c>
      <c r="K545" t="str">
        <f>TEXT(discount_impact_on_profit_2000_rows[[#This Row],[order date]],"mmmm")</f>
        <v>March</v>
      </c>
      <c r="L545">
        <f>YEAR(discount_impact_on_profit_2000_rows[[#This Row],[order date]])</f>
        <v>2024</v>
      </c>
      <c r="M545" t="str">
        <f>IF(discount_impact_on_profit_2000_rows[[#This Row],[Discount %]]=0,"Zero Discount",IF(discount_impact_on_profit_2000_rows[[#This Row],[Discount %]]&lt;=10,"Low Discount","High Discount"))</f>
        <v>High Discount</v>
      </c>
      <c r="N545" t="str">
        <f t="shared" si="8"/>
        <v>20-30%</v>
      </c>
    </row>
    <row r="546" spans="1:14">
      <c r="A546" s="1">
        <v>45312</v>
      </c>
      <c r="B546" t="s">
        <v>608</v>
      </c>
      <c r="C546" t="s">
        <v>33</v>
      </c>
      <c r="D546" t="s">
        <v>102</v>
      </c>
      <c r="E546">
        <v>63022.42</v>
      </c>
      <c r="F546" t="s">
        <v>13</v>
      </c>
      <c r="G546">
        <v>67989.350000000006</v>
      </c>
      <c r="H546">
        <v>4966.93</v>
      </c>
      <c r="I546">
        <v>15</v>
      </c>
      <c r="J546">
        <v>4</v>
      </c>
      <c r="K546" t="str">
        <f>TEXT(discount_impact_on_profit_2000_rows[[#This Row],[order date]],"mmmm")</f>
        <v>January</v>
      </c>
      <c r="L546">
        <f>YEAR(discount_impact_on_profit_2000_rows[[#This Row],[order date]])</f>
        <v>2024</v>
      </c>
      <c r="M546" t="str">
        <f>IF(discount_impact_on_profit_2000_rows[[#This Row],[Discount %]]=0,"Zero Discount",IF(discount_impact_on_profit_2000_rows[[#This Row],[Discount %]]&lt;=10,"Low Discount","High Discount"))</f>
        <v>High Discount</v>
      </c>
      <c r="N546" t="str">
        <f t="shared" si="8"/>
        <v>10-20%</v>
      </c>
    </row>
    <row r="547" spans="1:14">
      <c r="A547" s="1">
        <v>45036</v>
      </c>
      <c r="B547" t="s">
        <v>609</v>
      </c>
      <c r="C547" t="s">
        <v>53</v>
      </c>
      <c r="D547" t="s">
        <v>78</v>
      </c>
      <c r="E547">
        <v>1661.32</v>
      </c>
      <c r="F547" t="s">
        <v>31</v>
      </c>
      <c r="G547">
        <v>3065.17</v>
      </c>
      <c r="H547">
        <v>1403.85</v>
      </c>
      <c r="I547">
        <v>5</v>
      </c>
      <c r="J547">
        <v>1</v>
      </c>
      <c r="K547" t="str">
        <f>TEXT(discount_impact_on_profit_2000_rows[[#This Row],[order date]],"mmmm")</f>
        <v>April</v>
      </c>
      <c r="L547">
        <f>YEAR(discount_impact_on_profit_2000_rows[[#This Row],[order date]])</f>
        <v>2023</v>
      </c>
      <c r="M547" t="str">
        <f>IF(discount_impact_on_profit_2000_rows[[#This Row],[Discount %]]=0,"Zero Discount",IF(discount_impact_on_profit_2000_rows[[#This Row],[Discount %]]&lt;=10,"Low Discount","High Discount"))</f>
        <v>Low Discount</v>
      </c>
      <c r="N547" t="str">
        <f t="shared" si="8"/>
        <v>0-10%</v>
      </c>
    </row>
    <row r="548" spans="1:14">
      <c r="A548" s="1">
        <v>45119</v>
      </c>
      <c r="B548" t="s">
        <v>610</v>
      </c>
      <c r="C548" t="s">
        <v>18</v>
      </c>
      <c r="D548" t="s">
        <v>19</v>
      </c>
      <c r="E548">
        <v>419.25</v>
      </c>
      <c r="F548" t="s">
        <v>23</v>
      </c>
      <c r="G548">
        <v>547.19000000000005</v>
      </c>
      <c r="H548">
        <v>127.94</v>
      </c>
      <c r="I548">
        <v>10</v>
      </c>
      <c r="J548">
        <v>2</v>
      </c>
      <c r="K548" t="str">
        <f>TEXT(discount_impact_on_profit_2000_rows[[#This Row],[order date]],"mmmm")</f>
        <v>July</v>
      </c>
      <c r="L548">
        <f>YEAR(discount_impact_on_profit_2000_rows[[#This Row],[order date]])</f>
        <v>2023</v>
      </c>
      <c r="M548" t="str">
        <f>IF(discount_impact_on_profit_2000_rows[[#This Row],[Discount %]]=0,"Zero Discount",IF(discount_impact_on_profit_2000_rows[[#This Row],[Discount %]]&lt;=10,"Low Discount","High Discount"))</f>
        <v>Low Discount</v>
      </c>
      <c r="N548" t="str">
        <f t="shared" si="8"/>
        <v>0-10%</v>
      </c>
    </row>
    <row r="549" spans="1:14">
      <c r="A549" s="1">
        <v>45994</v>
      </c>
      <c r="B549" t="s">
        <v>611</v>
      </c>
      <c r="C549" t="s">
        <v>18</v>
      </c>
      <c r="D549" t="s">
        <v>188</v>
      </c>
      <c r="E549">
        <v>428.26</v>
      </c>
      <c r="F549" t="s">
        <v>26</v>
      </c>
      <c r="G549">
        <v>677.32</v>
      </c>
      <c r="H549">
        <v>249.06</v>
      </c>
      <c r="I549">
        <v>0</v>
      </c>
      <c r="J549">
        <v>2</v>
      </c>
      <c r="K549" t="str">
        <f>TEXT(discount_impact_on_profit_2000_rows[[#This Row],[order date]],"mmmm")</f>
        <v>December</v>
      </c>
      <c r="L549">
        <f>YEAR(discount_impact_on_profit_2000_rows[[#This Row],[order date]])</f>
        <v>2025</v>
      </c>
      <c r="M549" t="str">
        <f>IF(discount_impact_on_profit_2000_rows[[#This Row],[Discount %]]=0,"Zero Discount",IF(discount_impact_on_profit_2000_rows[[#This Row],[Discount %]]&lt;=10,"Low Discount","High Discount"))</f>
        <v>Zero Discount</v>
      </c>
      <c r="N549" t="str">
        <f t="shared" si="8"/>
        <v>0-10%</v>
      </c>
    </row>
    <row r="550" spans="1:14">
      <c r="A550" s="1">
        <v>45888</v>
      </c>
      <c r="B550" t="s">
        <v>612</v>
      </c>
      <c r="C550" t="s">
        <v>33</v>
      </c>
      <c r="D550" t="s">
        <v>44</v>
      </c>
      <c r="E550">
        <v>42669.440000000002</v>
      </c>
      <c r="F550" t="s">
        <v>31</v>
      </c>
      <c r="G550">
        <v>55539.94</v>
      </c>
      <c r="H550">
        <v>12870.5</v>
      </c>
      <c r="I550">
        <v>10</v>
      </c>
      <c r="J550">
        <v>6</v>
      </c>
      <c r="K550" t="str">
        <f>TEXT(discount_impact_on_profit_2000_rows[[#This Row],[order date]],"mmmm")</f>
        <v>August</v>
      </c>
      <c r="L550">
        <f>YEAR(discount_impact_on_profit_2000_rows[[#This Row],[order date]])</f>
        <v>2025</v>
      </c>
      <c r="M550" t="str">
        <f>IF(discount_impact_on_profit_2000_rows[[#This Row],[Discount %]]=0,"Zero Discount",IF(discount_impact_on_profit_2000_rows[[#This Row],[Discount %]]&lt;=10,"Low Discount","High Discount"))</f>
        <v>Low Discount</v>
      </c>
      <c r="N550" t="str">
        <f t="shared" si="8"/>
        <v>0-10%</v>
      </c>
    </row>
    <row r="551" spans="1:14">
      <c r="A551" s="1">
        <v>44996</v>
      </c>
      <c r="B551" t="s">
        <v>613</v>
      </c>
      <c r="C551" t="s">
        <v>53</v>
      </c>
      <c r="D551" t="s">
        <v>78</v>
      </c>
      <c r="E551">
        <v>4918.43</v>
      </c>
      <c r="F551" t="s">
        <v>31</v>
      </c>
      <c r="G551">
        <v>10345.85</v>
      </c>
      <c r="H551">
        <v>5427.42</v>
      </c>
      <c r="I551">
        <v>15</v>
      </c>
      <c r="J551">
        <v>3</v>
      </c>
      <c r="K551" t="str">
        <f>TEXT(discount_impact_on_profit_2000_rows[[#This Row],[order date]],"mmmm")</f>
        <v>March</v>
      </c>
      <c r="L551">
        <f>YEAR(discount_impact_on_profit_2000_rows[[#This Row],[order date]])</f>
        <v>2023</v>
      </c>
      <c r="M551" t="str">
        <f>IF(discount_impact_on_profit_2000_rows[[#This Row],[Discount %]]=0,"Zero Discount",IF(discount_impact_on_profit_2000_rows[[#This Row],[Discount %]]&lt;=10,"Low Discount","High Discount"))</f>
        <v>High Discount</v>
      </c>
      <c r="N551" t="str">
        <f t="shared" si="8"/>
        <v>10-20%</v>
      </c>
    </row>
    <row r="552" spans="1:14">
      <c r="A552" s="1">
        <v>45589</v>
      </c>
      <c r="B552" t="s">
        <v>614</v>
      </c>
      <c r="C552" t="s">
        <v>33</v>
      </c>
      <c r="D552" t="s">
        <v>92</v>
      </c>
      <c r="E552">
        <v>13455.99</v>
      </c>
      <c r="F552" t="s">
        <v>36</v>
      </c>
      <c r="G552">
        <v>18126.93</v>
      </c>
      <c r="H552">
        <v>4670.9399999999996</v>
      </c>
      <c r="I552">
        <v>10</v>
      </c>
      <c r="J552">
        <v>5</v>
      </c>
      <c r="K552" t="str">
        <f>TEXT(discount_impact_on_profit_2000_rows[[#This Row],[order date]],"mmmm")</f>
        <v>October</v>
      </c>
      <c r="L552">
        <f>YEAR(discount_impact_on_profit_2000_rows[[#This Row],[order date]])</f>
        <v>2024</v>
      </c>
      <c r="M552" t="str">
        <f>IF(discount_impact_on_profit_2000_rows[[#This Row],[Discount %]]=0,"Zero Discount",IF(discount_impact_on_profit_2000_rows[[#This Row],[Discount %]]&lt;=10,"Low Discount","High Discount"))</f>
        <v>Low Discount</v>
      </c>
      <c r="N552" t="str">
        <f t="shared" si="8"/>
        <v>0-10%</v>
      </c>
    </row>
    <row r="553" spans="1:14">
      <c r="A553" s="1">
        <v>45656</v>
      </c>
      <c r="B553" t="s">
        <v>615</v>
      </c>
      <c r="C553" t="s">
        <v>15</v>
      </c>
      <c r="D553" t="s">
        <v>28</v>
      </c>
      <c r="E553">
        <v>5789.28</v>
      </c>
      <c r="F553" t="s">
        <v>23</v>
      </c>
      <c r="G553">
        <v>8244.33</v>
      </c>
      <c r="H553">
        <v>2455.0500000000002</v>
      </c>
      <c r="I553">
        <v>0</v>
      </c>
      <c r="J553">
        <v>3</v>
      </c>
      <c r="K553" t="str">
        <f>TEXT(discount_impact_on_profit_2000_rows[[#This Row],[order date]],"mmmm")</f>
        <v>December</v>
      </c>
      <c r="L553">
        <f>YEAR(discount_impact_on_profit_2000_rows[[#This Row],[order date]])</f>
        <v>2024</v>
      </c>
      <c r="M553" t="str">
        <f>IF(discount_impact_on_profit_2000_rows[[#This Row],[Discount %]]=0,"Zero Discount",IF(discount_impact_on_profit_2000_rows[[#This Row],[Discount %]]&lt;=10,"Low Discount","High Discount"))</f>
        <v>Zero Discount</v>
      </c>
      <c r="N553" t="str">
        <f t="shared" si="8"/>
        <v>0-10%</v>
      </c>
    </row>
    <row r="554" spans="1:14">
      <c r="A554" s="1">
        <v>45414</v>
      </c>
      <c r="B554" t="s">
        <v>616</v>
      </c>
      <c r="C554" t="s">
        <v>11</v>
      </c>
      <c r="D554" t="s">
        <v>25</v>
      </c>
      <c r="E554">
        <v>2324.46</v>
      </c>
      <c r="F554" t="s">
        <v>36</v>
      </c>
      <c r="G554">
        <v>3972.32</v>
      </c>
      <c r="H554">
        <v>1647.86</v>
      </c>
      <c r="I554">
        <v>20</v>
      </c>
      <c r="J554">
        <v>1</v>
      </c>
      <c r="K554" t="str">
        <f>TEXT(discount_impact_on_profit_2000_rows[[#This Row],[order date]],"mmmm")</f>
        <v>May</v>
      </c>
      <c r="L554">
        <f>YEAR(discount_impact_on_profit_2000_rows[[#This Row],[order date]])</f>
        <v>2024</v>
      </c>
      <c r="M554" t="str">
        <f>IF(discount_impact_on_profit_2000_rows[[#This Row],[Discount %]]=0,"Zero Discount",IF(discount_impact_on_profit_2000_rows[[#This Row],[Discount %]]&lt;=10,"Low Discount","High Discount"))</f>
        <v>High Discount</v>
      </c>
      <c r="N554" t="str">
        <f t="shared" si="8"/>
        <v>10-20%</v>
      </c>
    </row>
    <row r="555" spans="1:14">
      <c r="A555" s="1">
        <v>45721</v>
      </c>
      <c r="B555" t="s">
        <v>617</v>
      </c>
      <c r="C555" t="s">
        <v>21</v>
      </c>
      <c r="D555" t="s">
        <v>82</v>
      </c>
      <c r="E555">
        <v>45548.52</v>
      </c>
      <c r="F555" t="s">
        <v>31</v>
      </c>
      <c r="G555">
        <v>57294.51</v>
      </c>
      <c r="H555">
        <v>11745.99</v>
      </c>
      <c r="I555">
        <v>10</v>
      </c>
      <c r="J555">
        <v>2</v>
      </c>
      <c r="K555" t="str">
        <f>TEXT(discount_impact_on_profit_2000_rows[[#This Row],[order date]],"mmmm")</f>
        <v>March</v>
      </c>
      <c r="L555">
        <f>YEAR(discount_impact_on_profit_2000_rows[[#This Row],[order date]])</f>
        <v>2025</v>
      </c>
      <c r="M555" t="str">
        <f>IF(discount_impact_on_profit_2000_rows[[#This Row],[Discount %]]=0,"Zero Discount",IF(discount_impact_on_profit_2000_rows[[#This Row],[Discount %]]&lt;=10,"Low Discount","High Discount"))</f>
        <v>Low Discount</v>
      </c>
      <c r="N555" t="str">
        <f t="shared" si="8"/>
        <v>0-10%</v>
      </c>
    </row>
    <row r="556" spans="1:14">
      <c r="A556" s="1">
        <v>45461</v>
      </c>
      <c r="B556" t="s">
        <v>618</v>
      </c>
      <c r="C556" t="s">
        <v>15</v>
      </c>
      <c r="D556" t="s">
        <v>40</v>
      </c>
      <c r="E556">
        <v>3136.18</v>
      </c>
      <c r="F556" t="s">
        <v>26</v>
      </c>
      <c r="G556">
        <v>4228.47</v>
      </c>
      <c r="H556">
        <v>1092.29</v>
      </c>
      <c r="I556">
        <v>15</v>
      </c>
      <c r="J556">
        <v>1</v>
      </c>
      <c r="K556" t="str">
        <f>TEXT(discount_impact_on_profit_2000_rows[[#This Row],[order date]],"mmmm")</f>
        <v>June</v>
      </c>
      <c r="L556">
        <f>YEAR(discount_impact_on_profit_2000_rows[[#This Row],[order date]])</f>
        <v>2024</v>
      </c>
      <c r="M556" t="str">
        <f>IF(discount_impact_on_profit_2000_rows[[#This Row],[Discount %]]=0,"Zero Discount",IF(discount_impact_on_profit_2000_rows[[#This Row],[Discount %]]&lt;=10,"Low Discount","High Discount"))</f>
        <v>High Discount</v>
      </c>
      <c r="N556" t="str">
        <f t="shared" si="8"/>
        <v>10-20%</v>
      </c>
    </row>
    <row r="557" spans="1:14">
      <c r="A557" s="1">
        <v>45879</v>
      </c>
      <c r="B557" t="s">
        <v>619</v>
      </c>
      <c r="C557" t="s">
        <v>53</v>
      </c>
      <c r="D557" t="s">
        <v>59</v>
      </c>
      <c r="E557">
        <v>2997.53</v>
      </c>
      <c r="F557" t="s">
        <v>36</v>
      </c>
      <c r="G557">
        <v>4365.51</v>
      </c>
      <c r="H557">
        <v>1367.98</v>
      </c>
      <c r="I557">
        <v>10</v>
      </c>
      <c r="J557">
        <v>1</v>
      </c>
      <c r="K557" t="str">
        <f>TEXT(discount_impact_on_profit_2000_rows[[#This Row],[order date]],"mmmm")</f>
        <v>August</v>
      </c>
      <c r="L557">
        <f>YEAR(discount_impact_on_profit_2000_rows[[#This Row],[order date]])</f>
        <v>2025</v>
      </c>
      <c r="M557" t="str">
        <f>IF(discount_impact_on_profit_2000_rows[[#This Row],[Discount %]]=0,"Zero Discount",IF(discount_impact_on_profit_2000_rows[[#This Row],[Discount %]]&lt;=10,"Low Discount","High Discount"))</f>
        <v>Low Discount</v>
      </c>
      <c r="N557" t="str">
        <f t="shared" si="8"/>
        <v>0-10%</v>
      </c>
    </row>
    <row r="558" spans="1:14">
      <c r="A558" s="1">
        <v>45940</v>
      </c>
      <c r="B558" t="s">
        <v>620</v>
      </c>
      <c r="C558" t="s">
        <v>21</v>
      </c>
      <c r="D558" t="s">
        <v>82</v>
      </c>
      <c r="E558">
        <v>131363.01999999999</v>
      </c>
      <c r="F558" t="s">
        <v>36</v>
      </c>
      <c r="G558">
        <v>160661.29</v>
      </c>
      <c r="H558">
        <v>29298.27</v>
      </c>
      <c r="I558">
        <v>5</v>
      </c>
      <c r="J558">
        <v>6</v>
      </c>
      <c r="K558" t="str">
        <f>TEXT(discount_impact_on_profit_2000_rows[[#This Row],[order date]],"mmmm")</f>
        <v>October</v>
      </c>
      <c r="L558">
        <f>YEAR(discount_impact_on_profit_2000_rows[[#This Row],[order date]])</f>
        <v>2025</v>
      </c>
      <c r="M558" t="str">
        <f>IF(discount_impact_on_profit_2000_rows[[#This Row],[Discount %]]=0,"Zero Discount",IF(discount_impact_on_profit_2000_rows[[#This Row],[Discount %]]&lt;=10,"Low Discount","High Discount"))</f>
        <v>Low Discount</v>
      </c>
      <c r="N558" t="str">
        <f t="shared" si="8"/>
        <v>0-10%</v>
      </c>
    </row>
    <row r="559" spans="1:14">
      <c r="A559" s="1">
        <v>45867</v>
      </c>
      <c r="B559" t="s">
        <v>621</v>
      </c>
      <c r="C559" t="s">
        <v>21</v>
      </c>
      <c r="D559" t="s">
        <v>109</v>
      </c>
      <c r="E559">
        <v>121355.98</v>
      </c>
      <c r="F559" t="s">
        <v>36</v>
      </c>
      <c r="G559">
        <v>139154.78</v>
      </c>
      <c r="H559">
        <v>17798.8</v>
      </c>
      <c r="I559">
        <v>5</v>
      </c>
      <c r="J559">
        <v>6</v>
      </c>
      <c r="K559" t="str">
        <f>TEXT(discount_impact_on_profit_2000_rows[[#This Row],[order date]],"mmmm")</f>
        <v>July</v>
      </c>
      <c r="L559">
        <f>YEAR(discount_impact_on_profit_2000_rows[[#This Row],[order date]])</f>
        <v>2025</v>
      </c>
      <c r="M559" t="str">
        <f>IF(discount_impact_on_profit_2000_rows[[#This Row],[Discount %]]=0,"Zero Discount",IF(discount_impact_on_profit_2000_rows[[#This Row],[Discount %]]&lt;=10,"Low Discount","High Discount"))</f>
        <v>Low Discount</v>
      </c>
      <c r="N559" t="str">
        <f t="shared" si="8"/>
        <v>0-10%</v>
      </c>
    </row>
    <row r="560" spans="1:14">
      <c r="A560" s="1">
        <v>45907</v>
      </c>
      <c r="B560" t="s">
        <v>622</v>
      </c>
      <c r="C560" t="s">
        <v>53</v>
      </c>
      <c r="D560" t="s">
        <v>78</v>
      </c>
      <c r="E560">
        <v>3747.08</v>
      </c>
      <c r="F560" t="s">
        <v>13</v>
      </c>
      <c r="G560">
        <v>6598.77</v>
      </c>
      <c r="H560">
        <v>2851.69</v>
      </c>
      <c r="I560">
        <v>5</v>
      </c>
      <c r="J560">
        <v>2</v>
      </c>
      <c r="K560" t="str">
        <f>TEXT(discount_impact_on_profit_2000_rows[[#This Row],[order date]],"mmmm")</f>
        <v>September</v>
      </c>
      <c r="L560">
        <f>YEAR(discount_impact_on_profit_2000_rows[[#This Row],[order date]])</f>
        <v>2025</v>
      </c>
      <c r="M560" t="str">
        <f>IF(discount_impact_on_profit_2000_rows[[#This Row],[Discount %]]=0,"Zero Discount",IF(discount_impact_on_profit_2000_rows[[#This Row],[Discount %]]&lt;=10,"Low Discount","High Discount"))</f>
        <v>Low Discount</v>
      </c>
      <c r="N560" t="str">
        <f t="shared" si="8"/>
        <v>0-10%</v>
      </c>
    </row>
    <row r="561" spans="1:14">
      <c r="A561" s="1">
        <v>45668</v>
      </c>
      <c r="B561" t="s">
        <v>623</v>
      </c>
      <c r="C561" t="s">
        <v>33</v>
      </c>
      <c r="D561" t="s">
        <v>203</v>
      </c>
      <c r="E561">
        <v>4482.57</v>
      </c>
      <c r="F561" t="s">
        <v>26</v>
      </c>
      <c r="G561">
        <v>4744.43</v>
      </c>
      <c r="H561">
        <v>261.86</v>
      </c>
      <c r="I561">
        <v>25</v>
      </c>
      <c r="J561">
        <v>1</v>
      </c>
      <c r="K561" t="str">
        <f>TEXT(discount_impact_on_profit_2000_rows[[#This Row],[order date]],"mmmm")</f>
        <v>January</v>
      </c>
      <c r="L561">
        <f>YEAR(discount_impact_on_profit_2000_rows[[#This Row],[order date]])</f>
        <v>2025</v>
      </c>
      <c r="M561" t="str">
        <f>IF(discount_impact_on_profit_2000_rows[[#This Row],[Discount %]]=0,"Zero Discount",IF(discount_impact_on_profit_2000_rows[[#This Row],[Discount %]]&lt;=10,"Low Discount","High Discount"))</f>
        <v>High Discount</v>
      </c>
      <c r="N561" t="str">
        <f t="shared" si="8"/>
        <v>20-30%</v>
      </c>
    </row>
    <row r="562" spans="1:14">
      <c r="A562" s="1">
        <v>45670</v>
      </c>
      <c r="B562" t="s">
        <v>624</v>
      </c>
      <c r="C562" t="s">
        <v>15</v>
      </c>
      <c r="D562" t="s">
        <v>86</v>
      </c>
      <c r="E562">
        <v>30987.47</v>
      </c>
      <c r="F562" t="s">
        <v>26</v>
      </c>
      <c r="G562">
        <v>36877.35</v>
      </c>
      <c r="H562">
        <v>5889.88</v>
      </c>
      <c r="I562">
        <v>10</v>
      </c>
      <c r="J562">
        <v>6</v>
      </c>
      <c r="K562" t="str">
        <f>TEXT(discount_impact_on_profit_2000_rows[[#This Row],[order date]],"mmmm")</f>
        <v>January</v>
      </c>
      <c r="L562">
        <f>YEAR(discount_impact_on_profit_2000_rows[[#This Row],[order date]])</f>
        <v>2025</v>
      </c>
      <c r="M562" t="str">
        <f>IF(discount_impact_on_profit_2000_rows[[#This Row],[Discount %]]=0,"Zero Discount",IF(discount_impact_on_profit_2000_rows[[#This Row],[Discount %]]&lt;=10,"Low Discount","High Discount"))</f>
        <v>Low Discount</v>
      </c>
      <c r="N562" t="str">
        <f t="shared" si="8"/>
        <v>0-10%</v>
      </c>
    </row>
    <row r="563" spans="1:14">
      <c r="A563" s="1">
        <v>45652</v>
      </c>
      <c r="B563" t="s">
        <v>625</v>
      </c>
      <c r="C563" t="s">
        <v>18</v>
      </c>
      <c r="D563" t="s">
        <v>50</v>
      </c>
      <c r="E563">
        <v>938.38</v>
      </c>
      <c r="F563" t="s">
        <v>31</v>
      </c>
      <c r="G563">
        <v>1719.6</v>
      </c>
      <c r="H563">
        <v>781.22</v>
      </c>
      <c r="I563">
        <v>5</v>
      </c>
      <c r="J563">
        <v>2</v>
      </c>
      <c r="K563" t="str">
        <f>TEXT(discount_impact_on_profit_2000_rows[[#This Row],[order date]],"mmmm")</f>
        <v>December</v>
      </c>
      <c r="L563">
        <f>YEAR(discount_impact_on_profit_2000_rows[[#This Row],[order date]])</f>
        <v>2024</v>
      </c>
      <c r="M563" t="str">
        <f>IF(discount_impact_on_profit_2000_rows[[#This Row],[Discount %]]=0,"Zero Discount",IF(discount_impact_on_profit_2000_rows[[#This Row],[Discount %]]&lt;=10,"Low Discount","High Discount"))</f>
        <v>Low Discount</v>
      </c>
      <c r="N563" t="str">
        <f t="shared" si="8"/>
        <v>0-10%</v>
      </c>
    </row>
    <row r="564" spans="1:14">
      <c r="A564" s="1">
        <v>45934</v>
      </c>
      <c r="B564" t="s">
        <v>626</v>
      </c>
      <c r="C564" t="s">
        <v>18</v>
      </c>
      <c r="D564" t="s">
        <v>42</v>
      </c>
      <c r="E564">
        <v>217.37</v>
      </c>
      <c r="F564" t="s">
        <v>13</v>
      </c>
      <c r="G564">
        <v>472.69</v>
      </c>
      <c r="H564">
        <v>255.32</v>
      </c>
      <c r="I564">
        <v>0</v>
      </c>
      <c r="J564">
        <v>5</v>
      </c>
      <c r="K564" t="str">
        <f>TEXT(discount_impact_on_profit_2000_rows[[#This Row],[order date]],"mmmm")</f>
        <v>October</v>
      </c>
      <c r="L564">
        <f>YEAR(discount_impact_on_profit_2000_rows[[#This Row],[order date]])</f>
        <v>2025</v>
      </c>
      <c r="M564" t="str">
        <f>IF(discount_impact_on_profit_2000_rows[[#This Row],[Discount %]]=0,"Zero Discount",IF(discount_impact_on_profit_2000_rows[[#This Row],[Discount %]]&lt;=10,"Low Discount","High Discount"))</f>
        <v>Zero Discount</v>
      </c>
      <c r="N564" t="str">
        <f t="shared" si="8"/>
        <v>0-10%</v>
      </c>
    </row>
    <row r="565" spans="1:14">
      <c r="A565" s="1">
        <v>45109</v>
      </c>
      <c r="B565" t="s">
        <v>627</v>
      </c>
      <c r="C565" t="s">
        <v>11</v>
      </c>
      <c r="D565" t="s">
        <v>207</v>
      </c>
      <c r="E565">
        <v>847.88</v>
      </c>
      <c r="F565" t="s">
        <v>36</v>
      </c>
      <c r="G565">
        <v>2118.83</v>
      </c>
      <c r="H565">
        <v>1270.95</v>
      </c>
      <c r="I565">
        <v>0</v>
      </c>
      <c r="J565">
        <v>3</v>
      </c>
      <c r="K565" t="str">
        <f>TEXT(discount_impact_on_profit_2000_rows[[#This Row],[order date]],"mmmm")</f>
        <v>July</v>
      </c>
      <c r="L565">
        <f>YEAR(discount_impact_on_profit_2000_rows[[#This Row],[order date]])</f>
        <v>2023</v>
      </c>
      <c r="M565" t="str">
        <f>IF(discount_impact_on_profit_2000_rows[[#This Row],[Discount %]]=0,"Zero Discount",IF(discount_impact_on_profit_2000_rows[[#This Row],[Discount %]]&lt;=10,"Low Discount","High Discount"))</f>
        <v>Zero Discount</v>
      </c>
      <c r="N565" t="str">
        <f t="shared" si="8"/>
        <v>0-10%</v>
      </c>
    </row>
    <row r="566" spans="1:14">
      <c r="A566" s="1">
        <v>45692</v>
      </c>
      <c r="B566" t="s">
        <v>628</v>
      </c>
      <c r="C566" t="s">
        <v>33</v>
      </c>
      <c r="D566" t="s">
        <v>92</v>
      </c>
      <c r="E566">
        <v>5244.62</v>
      </c>
      <c r="F566" t="s">
        <v>31</v>
      </c>
      <c r="G566">
        <v>6815.06</v>
      </c>
      <c r="H566">
        <v>1570.44</v>
      </c>
      <c r="I566">
        <v>5</v>
      </c>
      <c r="J566">
        <v>1</v>
      </c>
      <c r="K566" t="str">
        <f>TEXT(discount_impact_on_profit_2000_rows[[#This Row],[order date]],"mmmm")</f>
        <v>February</v>
      </c>
      <c r="L566">
        <f>YEAR(discount_impact_on_profit_2000_rows[[#This Row],[order date]])</f>
        <v>2025</v>
      </c>
      <c r="M566" t="str">
        <f>IF(discount_impact_on_profit_2000_rows[[#This Row],[Discount %]]=0,"Zero Discount",IF(discount_impact_on_profit_2000_rows[[#This Row],[Discount %]]&lt;=10,"Low Discount","High Discount"))</f>
        <v>Low Discount</v>
      </c>
      <c r="N566" t="str">
        <f t="shared" si="8"/>
        <v>0-10%</v>
      </c>
    </row>
    <row r="567" spans="1:14">
      <c r="A567" s="1">
        <v>45074</v>
      </c>
      <c r="B567" t="s">
        <v>629</v>
      </c>
      <c r="C567" t="s">
        <v>11</v>
      </c>
      <c r="D567" t="s">
        <v>12</v>
      </c>
      <c r="E567">
        <v>542.74</v>
      </c>
      <c r="F567" t="s">
        <v>31</v>
      </c>
      <c r="G567">
        <v>725.78</v>
      </c>
      <c r="H567">
        <v>183.04</v>
      </c>
      <c r="I567">
        <v>15</v>
      </c>
      <c r="J567">
        <v>2</v>
      </c>
      <c r="K567" t="str">
        <f>TEXT(discount_impact_on_profit_2000_rows[[#This Row],[order date]],"mmmm")</f>
        <v>May</v>
      </c>
      <c r="L567">
        <f>YEAR(discount_impact_on_profit_2000_rows[[#This Row],[order date]])</f>
        <v>2023</v>
      </c>
      <c r="M567" t="str">
        <f>IF(discount_impact_on_profit_2000_rows[[#This Row],[Discount %]]=0,"Zero Discount",IF(discount_impact_on_profit_2000_rows[[#This Row],[Discount %]]&lt;=10,"Low Discount","High Discount"))</f>
        <v>High Discount</v>
      </c>
      <c r="N567" t="str">
        <f t="shared" si="8"/>
        <v>10-20%</v>
      </c>
    </row>
    <row r="568" spans="1:14">
      <c r="A568" s="1">
        <v>45060</v>
      </c>
      <c r="B568" t="s">
        <v>630</v>
      </c>
      <c r="C568" t="s">
        <v>18</v>
      </c>
      <c r="D568" t="s">
        <v>140</v>
      </c>
      <c r="E568">
        <v>234.74</v>
      </c>
      <c r="F568" t="s">
        <v>26</v>
      </c>
      <c r="G568">
        <v>263.99</v>
      </c>
      <c r="H568">
        <v>29.25</v>
      </c>
      <c r="I568">
        <v>30</v>
      </c>
      <c r="J568">
        <v>1</v>
      </c>
      <c r="K568" t="str">
        <f>TEXT(discount_impact_on_profit_2000_rows[[#This Row],[order date]],"mmmm")</f>
        <v>May</v>
      </c>
      <c r="L568">
        <f>YEAR(discount_impact_on_profit_2000_rows[[#This Row],[order date]])</f>
        <v>2023</v>
      </c>
      <c r="M568" t="str">
        <f>IF(discount_impact_on_profit_2000_rows[[#This Row],[Discount %]]=0,"Zero Discount",IF(discount_impact_on_profit_2000_rows[[#This Row],[Discount %]]&lt;=10,"Low Discount","High Discount"))</f>
        <v>High Discount</v>
      </c>
      <c r="N568" t="str">
        <f t="shared" si="8"/>
        <v>20-30%</v>
      </c>
    </row>
    <row r="569" spans="1:14">
      <c r="A569" s="1">
        <v>45104</v>
      </c>
      <c r="B569" t="s">
        <v>631</v>
      </c>
      <c r="C569" t="s">
        <v>15</v>
      </c>
      <c r="D569" t="s">
        <v>40</v>
      </c>
      <c r="E569">
        <v>7352.45</v>
      </c>
      <c r="F569" t="s">
        <v>36</v>
      </c>
      <c r="G569">
        <v>8834.94</v>
      </c>
      <c r="H569">
        <v>1482.49</v>
      </c>
      <c r="I569">
        <v>5</v>
      </c>
      <c r="J569">
        <v>2</v>
      </c>
      <c r="K569" t="str">
        <f>TEXT(discount_impact_on_profit_2000_rows[[#This Row],[order date]],"mmmm")</f>
        <v>June</v>
      </c>
      <c r="L569">
        <f>YEAR(discount_impact_on_profit_2000_rows[[#This Row],[order date]])</f>
        <v>2023</v>
      </c>
      <c r="M569" t="str">
        <f>IF(discount_impact_on_profit_2000_rows[[#This Row],[Discount %]]=0,"Zero Discount",IF(discount_impact_on_profit_2000_rows[[#This Row],[Discount %]]&lt;=10,"Low Discount","High Discount"))</f>
        <v>Low Discount</v>
      </c>
      <c r="N569" t="str">
        <f t="shared" si="8"/>
        <v>0-10%</v>
      </c>
    </row>
    <row r="570" spans="1:14">
      <c r="A570" s="1">
        <v>45973</v>
      </c>
      <c r="B570" t="s">
        <v>632</v>
      </c>
      <c r="C570" t="s">
        <v>15</v>
      </c>
      <c r="D570" t="s">
        <v>84</v>
      </c>
      <c r="E570">
        <v>57902.65</v>
      </c>
      <c r="F570" t="s">
        <v>31</v>
      </c>
      <c r="G570">
        <v>80052.289999999994</v>
      </c>
      <c r="H570">
        <v>22149.64</v>
      </c>
      <c r="I570">
        <v>10</v>
      </c>
      <c r="J570">
        <v>6</v>
      </c>
      <c r="K570" t="str">
        <f>TEXT(discount_impact_on_profit_2000_rows[[#This Row],[order date]],"mmmm")</f>
        <v>November</v>
      </c>
      <c r="L570">
        <f>YEAR(discount_impact_on_profit_2000_rows[[#This Row],[order date]])</f>
        <v>2025</v>
      </c>
      <c r="M570" t="str">
        <f>IF(discount_impact_on_profit_2000_rows[[#This Row],[Discount %]]=0,"Zero Discount",IF(discount_impact_on_profit_2000_rows[[#This Row],[Discount %]]&lt;=10,"Low Discount","High Discount"))</f>
        <v>Low Discount</v>
      </c>
      <c r="N570" t="str">
        <f t="shared" si="8"/>
        <v>0-10%</v>
      </c>
    </row>
    <row r="571" spans="1:14">
      <c r="A571" s="1">
        <v>45658</v>
      </c>
      <c r="B571" t="s">
        <v>633</v>
      </c>
      <c r="C571" t="s">
        <v>33</v>
      </c>
      <c r="D571" t="s">
        <v>203</v>
      </c>
      <c r="E571">
        <v>3212.84</v>
      </c>
      <c r="F571" t="s">
        <v>36</v>
      </c>
      <c r="G571">
        <v>3967.7</v>
      </c>
      <c r="H571">
        <v>754.86</v>
      </c>
      <c r="I571">
        <v>10</v>
      </c>
      <c r="J571">
        <v>2</v>
      </c>
      <c r="K571" t="str">
        <f>TEXT(discount_impact_on_profit_2000_rows[[#This Row],[order date]],"mmmm")</f>
        <v>January</v>
      </c>
      <c r="L571">
        <f>YEAR(discount_impact_on_profit_2000_rows[[#This Row],[order date]])</f>
        <v>2025</v>
      </c>
      <c r="M571" t="str">
        <f>IF(discount_impact_on_profit_2000_rows[[#This Row],[Discount %]]=0,"Zero Discount",IF(discount_impact_on_profit_2000_rows[[#This Row],[Discount %]]&lt;=10,"Low Discount","High Discount"))</f>
        <v>Low Discount</v>
      </c>
      <c r="N571" t="str">
        <f t="shared" si="8"/>
        <v>0-10%</v>
      </c>
    </row>
    <row r="572" spans="1:14">
      <c r="A572" s="1">
        <v>45039</v>
      </c>
      <c r="B572" t="s">
        <v>634</v>
      </c>
      <c r="C572" t="s">
        <v>11</v>
      </c>
      <c r="D572" t="s">
        <v>207</v>
      </c>
      <c r="E572">
        <v>7322.66</v>
      </c>
      <c r="F572" t="s">
        <v>31</v>
      </c>
      <c r="G572">
        <v>12898.7</v>
      </c>
      <c r="H572">
        <v>5576.04</v>
      </c>
      <c r="I572">
        <v>5</v>
      </c>
      <c r="J572">
        <v>5</v>
      </c>
      <c r="K572" t="str">
        <f>TEXT(discount_impact_on_profit_2000_rows[[#This Row],[order date]],"mmmm")</f>
        <v>April</v>
      </c>
      <c r="L572">
        <f>YEAR(discount_impact_on_profit_2000_rows[[#This Row],[order date]])</f>
        <v>2023</v>
      </c>
      <c r="M572" t="str">
        <f>IF(discount_impact_on_profit_2000_rows[[#This Row],[Discount %]]=0,"Zero Discount",IF(discount_impact_on_profit_2000_rows[[#This Row],[Discount %]]&lt;=10,"Low Discount","High Discount"))</f>
        <v>Low Discount</v>
      </c>
      <c r="N572" t="str">
        <f t="shared" si="8"/>
        <v>0-10%</v>
      </c>
    </row>
    <row r="573" spans="1:14">
      <c r="A573" s="1">
        <v>45475</v>
      </c>
      <c r="B573" t="s">
        <v>635</v>
      </c>
      <c r="C573" t="s">
        <v>53</v>
      </c>
      <c r="D573" t="s">
        <v>152</v>
      </c>
      <c r="E573">
        <v>1197.4100000000001</v>
      </c>
      <c r="F573" t="s">
        <v>36</v>
      </c>
      <c r="G573">
        <v>2415.08</v>
      </c>
      <c r="H573">
        <v>1217.67</v>
      </c>
      <c r="I573">
        <v>15</v>
      </c>
      <c r="J573">
        <v>3</v>
      </c>
      <c r="K573" t="str">
        <f>TEXT(discount_impact_on_profit_2000_rows[[#This Row],[order date]],"mmmm")</f>
        <v>July</v>
      </c>
      <c r="L573">
        <f>YEAR(discount_impact_on_profit_2000_rows[[#This Row],[order date]])</f>
        <v>2024</v>
      </c>
      <c r="M573" t="str">
        <f>IF(discount_impact_on_profit_2000_rows[[#This Row],[Discount %]]=0,"Zero Discount",IF(discount_impact_on_profit_2000_rows[[#This Row],[Discount %]]&lt;=10,"Low Discount","High Discount"))</f>
        <v>High Discount</v>
      </c>
      <c r="N573" t="str">
        <f t="shared" si="8"/>
        <v>10-20%</v>
      </c>
    </row>
    <row r="574" spans="1:14">
      <c r="A574" s="1">
        <v>45455</v>
      </c>
      <c r="B574" t="s">
        <v>636</v>
      </c>
      <c r="C574" t="s">
        <v>15</v>
      </c>
      <c r="D574" t="s">
        <v>28</v>
      </c>
      <c r="E574">
        <v>5036.92</v>
      </c>
      <c r="F574" t="s">
        <v>36</v>
      </c>
      <c r="G574">
        <v>5991.23</v>
      </c>
      <c r="H574">
        <v>954.31</v>
      </c>
      <c r="I574">
        <v>20</v>
      </c>
      <c r="J574">
        <v>1</v>
      </c>
      <c r="K574" t="str">
        <f>TEXT(discount_impact_on_profit_2000_rows[[#This Row],[order date]],"mmmm")</f>
        <v>June</v>
      </c>
      <c r="L574">
        <f>YEAR(discount_impact_on_profit_2000_rows[[#This Row],[order date]])</f>
        <v>2024</v>
      </c>
      <c r="M574" t="str">
        <f>IF(discount_impact_on_profit_2000_rows[[#This Row],[Discount %]]=0,"Zero Discount",IF(discount_impact_on_profit_2000_rows[[#This Row],[Discount %]]&lt;=10,"Low Discount","High Discount"))</f>
        <v>High Discount</v>
      </c>
      <c r="N574" t="str">
        <f t="shared" si="8"/>
        <v>10-20%</v>
      </c>
    </row>
    <row r="575" spans="1:14">
      <c r="A575" s="1">
        <v>45547</v>
      </c>
      <c r="B575" t="s">
        <v>637</v>
      </c>
      <c r="C575" t="s">
        <v>53</v>
      </c>
      <c r="D575" t="s">
        <v>95</v>
      </c>
      <c r="E575">
        <v>1191.24</v>
      </c>
      <c r="F575" t="s">
        <v>26</v>
      </c>
      <c r="G575">
        <v>2495.09</v>
      </c>
      <c r="H575">
        <v>1303.8499999999999</v>
      </c>
      <c r="I575">
        <v>10</v>
      </c>
      <c r="J575">
        <v>1</v>
      </c>
      <c r="K575" t="str">
        <f>TEXT(discount_impact_on_profit_2000_rows[[#This Row],[order date]],"mmmm")</f>
        <v>September</v>
      </c>
      <c r="L575">
        <f>YEAR(discount_impact_on_profit_2000_rows[[#This Row],[order date]])</f>
        <v>2024</v>
      </c>
      <c r="M575" t="str">
        <f>IF(discount_impact_on_profit_2000_rows[[#This Row],[Discount %]]=0,"Zero Discount",IF(discount_impact_on_profit_2000_rows[[#This Row],[Discount %]]&lt;=10,"Low Discount","High Discount"))</f>
        <v>Low Discount</v>
      </c>
      <c r="N575" t="str">
        <f t="shared" si="8"/>
        <v>0-10%</v>
      </c>
    </row>
    <row r="576" spans="1:14">
      <c r="A576" s="1">
        <v>45500</v>
      </c>
      <c r="B576" t="s">
        <v>638</v>
      </c>
      <c r="C576" t="s">
        <v>33</v>
      </c>
      <c r="D576" t="s">
        <v>203</v>
      </c>
      <c r="E576">
        <v>6804.82</v>
      </c>
      <c r="F576" t="s">
        <v>31</v>
      </c>
      <c r="G576">
        <v>8128.5</v>
      </c>
      <c r="H576">
        <v>1323.68</v>
      </c>
      <c r="I576">
        <v>20</v>
      </c>
      <c r="J576">
        <v>3</v>
      </c>
      <c r="K576" t="str">
        <f>TEXT(discount_impact_on_profit_2000_rows[[#This Row],[order date]],"mmmm")</f>
        <v>July</v>
      </c>
      <c r="L576">
        <f>YEAR(discount_impact_on_profit_2000_rows[[#This Row],[order date]])</f>
        <v>2024</v>
      </c>
      <c r="M576" t="str">
        <f>IF(discount_impact_on_profit_2000_rows[[#This Row],[Discount %]]=0,"Zero Discount",IF(discount_impact_on_profit_2000_rows[[#This Row],[Discount %]]&lt;=10,"Low Discount","High Discount"))</f>
        <v>High Discount</v>
      </c>
      <c r="N576" t="str">
        <f t="shared" si="8"/>
        <v>10-20%</v>
      </c>
    </row>
    <row r="577" spans="1:14">
      <c r="A577" s="1">
        <v>45761</v>
      </c>
      <c r="B577" t="s">
        <v>639</v>
      </c>
      <c r="C577" t="s">
        <v>21</v>
      </c>
      <c r="D577" t="s">
        <v>154</v>
      </c>
      <c r="E577">
        <v>18531.009999999998</v>
      </c>
      <c r="F577" t="s">
        <v>31</v>
      </c>
      <c r="G577">
        <v>19674.759999999998</v>
      </c>
      <c r="H577">
        <v>1143.75</v>
      </c>
      <c r="I577">
        <v>10</v>
      </c>
      <c r="J577">
        <v>5</v>
      </c>
      <c r="K577" t="str">
        <f>TEXT(discount_impact_on_profit_2000_rows[[#This Row],[order date]],"mmmm")</f>
        <v>April</v>
      </c>
      <c r="L577">
        <f>YEAR(discount_impact_on_profit_2000_rows[[#This Row],[order date]])</f>
        <v>2025</v>
      </c>
      <c r="M577" t="str">
        <f>IF(discount_impact_on_profit_2000_rows[[#This Row],[Discount %]]=0,"Zero Discount",IF(discount_impact_on_profit_2000_rows[[#This Row],[Discount %]]&lt;=10,"Low Discount","High Discount"))</f>
        <v>Low Discount</v>
      </c>
      <c r="N577" t="str">
        <f t="shared" si="8"/>
        <v>0-10%</v>
      </c>
    </row>
    <row r="578" spans="1:14">
      <c r="A578" s="1">
        <v>45522</v>
      </c>
      <c r="B578" t="s">
        <v>640</v>
      </c>
      <c r="C578" t="s">
        <v>15</v>
      </c>
      <c r="D578" t="s">
        <v>99</v>
      </c>
      <c r="E578">
        <v>12386.46</v>
      </c>
      <c r="F578" t="s">
        <v>36</v>
      </c>
      <c r="G578">
        <v>13967.11</v>
      </c>
      <c r="H578">
        <v>1580.65</v>
      </c>
      <c r="I578">
        <v>15</v>
      </c>
      <c r="J578">
        <v>6</v>
      </c>
      <c r="K578" t="str">
        <f>TEXT(discount_impact_on_profit_2000_rows[[#This Row],[order date]],"mmmm")</f>
        <v>August</v>
      </c>
      <c r="L578">
        <f>YEAR(discount_impact_on_profit_2000_rows[[#This Row],[order date]])</f>
        <v>2024</v>
      </c>
      <c r="M578" t="str">
        <f>IF(discount_impact_on_profit_2000_rows[[#This Row],[Discount %]]=0,"Zero Discount",IF(discount_impact_on_profit_2000_rows[[#This Row],[Discount %]]&lt;=10,"Low Discount","High Discount"))</f>
        <v>High Discount</v>
      </c>
      <c r="N578" t="str">
        <f t="shared" ref="N578:N641" si="9">IF(I578&lt;=10,"0-10%",IF(I578&lt;=20,"10-20%",IF(I578&lt;=30,"20-30%","30%+")))</f>
        <v>10-20%</v>
      </c>
    </row>
    <row r="579" spans="1:14">
      <c r="A579" s="1">
        <v>44962</v>
      </c>
      <c r="B579" t="s">
        <v>641</v>
      </c>
      <c r="C579" t="s">
        <v>18</v>
      </c>
      <c r="D579" t="s">
        <v>19</v>
      </c>
      <c r="E579">
        <v>441.76</v>
      </c>
      <c r="F579" t="s">
        <v>31</v>
      </c>
      <c r="G579">
        <v>609.83000000000004</v>
      </c>
      <c r="H579">
        <v>168.07</v>
      </c>
      <c r="I579">
        <v>15</v>
      </c>
      <c r="J579">
        <v>4</v>
      </c>
      <c r="K579" t="str">
        <f>TEXT(discount_impact_on_profit_2000_rows[[#This Row],[order date]],"mmmm")</f>
        <v>February</v>
      </c>
      <c r="L579">
        <f>YEAR(discount_impact_on_profit_2000_rows[[#This Row],[order date]])</f>
        <v>2023</v>
      </c>
      <c r="M579" t="str">
        <f>IF(discount_impact_on_profit_2000_rows[[#This Row],[Discount %]]=0,"Zero Discount",IF(discount_impact_on_profit_2000_rows[[#This Row],[Discount %]]&lt;=10,"Low Discount","High Discount"))</f>
        <v>High Discount</v>
      </c>
      <c r="N579" t="str">
        <f t="shared" si="9"/>
        <v>10-20%</v>
      </c>
    </row>
    <row r="580" spans="1:14">
      <c r="A580" s="1">
        <v>45112</v>
      </c>
      <c r="B580" t="s">
        <v>642</v>
      </c>
      <c r="C580" t="s">
        <v>11</v>
      </c>
      <c r="D580" t="s">
        <v>207</v>
      </c>
      <c r="E580">
        <v>1044.1300000000001</v>
      </c>
      <c r="F580" t="s">
        <v>31</v>
      </c>
      <c r="G580">
        <v>1388.17</v>
      </c>
      <c r="H580">
        <v>344.04</v>
      </c>
      <c r="I580">
        <v>15</v>
      </c>
      <c r="J580">
        <v>1</v>
      </c>
      <c r="K580" t="str">
        <f>TEXT(discount_impact_on_profit_2000_rows[[#This Row],[order date]],"mmmm")</f>
        <v>July</v>
      </c>
      <c r="L580">
        <f>YEAR(discount_impact_on_profit_2000_rows[[#This Row],[order date]])</f>
        <v>2023</v>
      </c>
      <c r="M580" t="str">
        <f>IF(discount_impact_on_profit_2000_rows[[#This Row],[Discount %]]=0,"Zero Discount",IF(discount_impact_on_profit_2000_rows[[#This Row],[Discount %]]&lt;=10,"Low Discount","High Discount"))</f>
        <v>High Discount</v>
      </c>
      <c r="N580" t="str">
        <f t="shared" si="9"/>
        <v>10-20%</v>
      </c>
    </row>
    <row r="581" spans="1:14">
      <c r="A581" s="1">
        <v>45502</v>
      </c>
      <c r="B581" t="s">
        <v>643</v>
      </c>
      <c r="C581" t="s">
        <v>15</v>
      </c>
      <c r="D581" t="s">
        <v>28</v>
      </c>
      <c r="E581">
        <v>7123.41</v>
      </c>
      <c r="F581" t="s">
        <v>36</v>
      </c>
      <c r="G581">
        <v>7822.22</v>
      </c>
      <c r="H581">
        <v>698.81</v>
      </c>
      <c r="I581">
        <v>15</v>
      </c>
      <c r="J581">
        <v>3</v>
      </c>
      <c r="K581" t="str">
        <f>TEXT(discount_impact_on_profit_2000_rows[[#This Row],[order date]],"mmmm")</f>
        <v>July</v>
      </c>
      <c r="L581">
        <f>YEAR(discount_impact_on_profit_2000_rows[[#This Row],[order date]])</f>
        <v>2024</v>
      </c>
      <c r="M581" t="str">
        <f>IF(discount_impact_on_profit_2000_rows[[#This Row],[Discount %]]=0,"Zero Discount",IF(discount_impact_on_profit_2000_rows[[#This Row],[Discount %]]&lt;=10,"Low Discount","High Discount"))</f>
        <v>High Discount</v>
      </c>
      <c r="N581" t="str">
        <f t="shared" si="9"/>
        <v>10-20%</v>
      </c>
    </row>
    <row r="582" spans="1:14">
      <c r="A582" s="1">
        <v>45543</v>
      </c>
      <c r="B582" t="s">
        <v>644</v>
      </c>
      <c r="C582" t="s">
        <v>15</v>
      </c>
      <c r="D582" t="s">
        <v>99</v>
      </c>
      <c r="E582">
        <v>37917.78</v>
      </c>
      <c r="F582" t="s">
        <v>31</v>
      </c>
      <c r="G582">
        <v>53421</v>
      </c>
      <c r="H582">
        <v>15503.22</v>
      </c>
      <c r="I582">
        <v>0</v>
      </c>
      <c r="J582">
        <v>5</v>
      </c>
      <c r="K582" t="str">
        <f>TEXT(discount_impact_on_profit_2000_rows[[#This Row],[order date]],"mmmm")</f>
        <v>September</v>
      </c>
      <c r="L582">
        <f>YEAR(discount_impact_on_profit_2000_rows[[#This Row],[order date]])</f>
        <v>2024</v>
      </c>
      <c r="M582" t="str">
        <f>IF(discount_impact_on_profit_2000_rows[[#This Row],[Discount %]]=0,"Zero Discount",IF(discount_impact_on_profit_2000_rows[[#This Row],[Discount %]]&lt;=10,"Low Discount","High Discount"))</f>
        <v>Zero Discount</v>
      </c>
      <c r="N582" t="str">
        <f t="shared" si="9"/>
        <v>0-10%</v>
      </c>
    </row>
    <row r="583" spans="1:14">
      <c r="A583" s="1">
        <v>45426</v>
      </c>
      <c r="B583" t="s">
        <v>645</v>
      </c>
      <c r="C583" t="s">
        <v>33</v>
      </c>
      <c r="D583" t="s">
        <v>102</v>
      </c>
      <c r="E583">
        <v>13296.62</v>
      </c>
      <c r="F583" t="s">
        <v>36</v>
      </c>
      <c r="G583">
        <v>17168.18</v>
      </c>
      <c r="H583">
        <v>3871.56</v>
      </c>
      <c r="I583">
        <v>5</v>
      </c>
      <c r="J583">
        <v>4</v>
      </c>
      <c r="K583" t="str">
        <f>TEXT(discount_impact_on_profit_2000_rows[[#This Row],[order date]],"mmmm")</f>
        <v>May</v>
      </c>
      <c r="L583">
        <f>YEAR(discount_impact_on_profit_2000_rows[[#This Row],[order date]])</f>
        <v>2024</v>
      </c>
      <c r="M583" t="str">
        <f>IF(discount_impact_on_profit_2000_rows[[#This Row],[Discount %]]=0,"Zero Discount",IF(discount_impact_on_profit_2000_rows[[#This Row],[Discount %]]&lt;=10,"Low Discount","High Discount"))</f>
        <v>Low Discount</v>
      </c>
      <c r="N583" t="str">
        <f t="shared" si="9"/>
        <v>0-10%</v>
      </c>
    </row>
    <row r="584" spans="1:14">
      <c r="A584" s="1">
        <v>45828</v>
      </c>
      <c r="B584" t="s">
        <v>646</v>
      </c>
      <c r="C584" t="s">
        <v>33</v>
      </c>
      <c r="D584" t="s">
        <v>34</v>
      </c>
      <c r="E584">
        <v>128977.51</v>
      </c>
      <c r="F584" t="s">
        <v>26</v>
      </c>
      <c r="G584">
        <v>214738.63</v>
      </c>
      <c r="H584">
        <v>85761.12</v>
      </c>
      <c r="I584">
        <v>0</v>
      </c>
      <c r="J584">
        <v>8</v>
      </c>
      <c r="K584" t="str">
        <f>TEXT(discount_impact_on_profit_2000_rows[[#This Row],[order date]],"mmmm")</f>
        <v>June</v>
      </c>
      <c r="L584">
        <f>YEAR(discount_impact_on_profit_2000_rows[[#This Row],[order date]])</f>
        <v>2025</v>
      </c>
      <c r="M584" t="str">
        <f>IF(discount_impact_on_profit_2000_rows[[#This Row],[Discount %]]=0,"Zero Discount",IF(discount_impact_on_profit_2000_rows[[#This Row],[Discount %]]&lt;=10,"Low Discount","High Discount"))</f>
        <v>Zero Discount</v>
      </c>
      <c r="N584" t="str">
        <f t="shared" si="9"/>
        <v>0-10%</v>
      </c>
    </row>
    <row r="585" spans="1:14">
      <c r="A585" s="1">
        <v>45249</v>
      </c>
      <c r="B585" t="s">
        <v>647</v>
      </c>
      <c r="C585" t="s">
        <v>21</v>
      </c>
      <c r="D585" t="s">
        <v>97</v>
      </c>
      <c r="E585">
        <v>44461.63</v>
      </c>
      <c r="F585" t="s">
        <v>36</v>
      </c>
      <c r="G585">
        <v>63208.1</v>
      </c>
      <c r="H585">
        <v>18746.47</v>
      </c>
      <c r="I585">
        <v>5</v>
      </c>
      <c r="J585">
        <v>8</v>
      </c>
      <c r="K585" t="str">
        <f>TEXT(discount_impact_on_profit_2000_rows[[#This Row],[order date]],"mmmm")</f>
        <v>November</v>
      </c>
      <c r="L585">
        <f>YEAR(discount_impact_on_profit_2000_rows[[#This Row],[order date]])</f>
        <v>2023</v>
      </c>
      <c r="M585" t="str">
        <f>IF(discount_impact_on_profit_2000_rows[[#This Row],[Discount %]]=0,"Zero Discount",IF(discount_impact_on_profit_2000_rows[[#This Row],[Discount %]]&lt;=10,"Low Discount","High Discount"))</f>
        <v>Low Discount</v>
      </c>
      <c r="N585" t="str">
        <f t="shared" si="9"/>
        <v>0-10%</v>
      </c>
    </row>
    <row r="586" spans="1:14">
      <c r="A586" s="1">
        <v>45776</v>
      </c>
      <c r="B586" t="s">
        <v>648</v>
      </c>
      <c r="C586" t="s">
        <v>15</v>
      </c>
      <c r="D586" t="s">
        <v>16</v>
      </c>
      <c r="E586">
        <v>1819.37</v>
      </c>
      <c r="F586" t="s">
        <v>31</v>
      </c>
      <c r="G586">
        <v>1849.9</v>
      </c>
      <c r="H586">
        <v>30.53</v>
      </c>
      <c r="I586">
        <v>20</v>
      </c>
      <c r="J586">
        <v>1</v>
      </c>
      <c r="K586" t="str">
        <f>TEXT(discount_impact_on_profit_2000_rows[[#This Row],[order date]],"mmmm")</f>
        <v>April</v>
      </c>
      <c r="L586">
        <f>YEAR(discount_impact_on_profit_2000_rows[[#This Row],[order date]])</f>
        <v>2025</v>
      </c>
      <c r="M586" t="str">
        <f>IF(discount_impact_on_profit_2000_rows[[#This Row],[Discount %]]=0,"Zero Discount",IF(discount_impact_on_profit_2000_rows[[#This Row],[Discount %]]&lt;=10,"Low Discount","High Discount"))</f>
        <v>High Discount</v>
      </c>
      <c r="N586" t="str">
        <f t="shared" si="9"/>
        <v>10-20%</v>
      </c>
    </row>
    <row r="587" spans="1:14">
      <c r="A587" s="1">
        <v>45483</v>
      </c>
      <c r="B587" t="s">
        <v>649</v>
      </c>
      <c r="C587" t="s">
        <v>18</v>
      </c>
      <c r="D587" t="s">
        <v>42</v>
      </c>
      <c r="E587">
        <v>434.78</v>
      </c>
      <c r="F587" t="s">
        <v>31</v>
      </c>
      <c r="G587">
        <v>585.71</v>
      </c>
      <c r="H587">
        <v>150.93</v>
      </c>
      <c r="I587">
        <v>15</v>
      </c>
      <c r="J587">
        <v>1</v>
      </c>
      <c r="K587" t="str">
        <f>TEXT(discount_impact_on_profit_2000_rows[[#This Row],[order date]],"mmmm")</f>
        <v>July</v>
      </c>
      <c r="L587">
        <f>YEAR(discount_impact_on_profit_2000_rows[[#This Row],[order date]])</f>
        <v>2024</v>
      </c>
      <c r="M587" t="str">
        <f>IF(discount_impact_on_profit_2000_rows[[#This Row],[Discount %]]=0,"Zero Discount",IF(discount_impact_on_profit_2000_rows[[#This Row],[Discount %]]&lt;=10,"Low Discount","High Discount"))</f>
        <v>High Discount</v>
      </c>
      <c r="N587" t="str">
        <f t="shared" si="9"/>
        <v>10-20%</v>
      </c>
    </row>
    <row r="588" spans="1:14">
      <c r="A588" s="1">
        <v>45152</v>
      </c>
      <c r="B588" t="s">
        <v>650</v>
      </c>
      <c r="C588" t="s">
        <v>18</v>
      </c>
      <c r="D588" t="s">
        <v>140</v>
      </c>
      <c r="E588">
        <v>131.34</v>
      </c>
      <c r="F588" t="s">
        <v>13</v>
      </c>
      <c r="G588">
        <v>188.95</v>
      </c>
      <c r="H588">
        <v>57.61</v>
      </c>
      <c r="I588">
        <v>25</v>
      </c>
      <c r="J588">
        <v>2</v>
      </c>
      <c r="K588" t="str">
        <f>TEXT(discount_impact_on_profit_2000_rows[[#This Row],[order date]],"mmmm")</f>
        <v>August</v>
      </c>
      <c r="L588">
        <f>YEAR(discount_impact_on_profit_2000_rows[[#This Row],[order date]])</f>
        <v>2023</v>
      </c>
      <c r="M588" t="str">
        <f>IF(discount_impact_on_profit_2000_rows[[#This Row],[Discount %]]=0,"Zero Discount",IF(discount_impact_on_profit_2000_rows[[#This Row],[Discount %]]&lt;=10,"Low Discount","High Discount"))</f>
        <v>High Discount</v>
      </c>
      <c r="N588" t="str">
        <f t="shared" si="9"/>
        <v>20-30%</v>
      </c>
    </row>
    <row r="589" spans="1:14">
      <c r="A589" s="1">
        <v>45083</v>
      </c>
      <c r="B589" t="s">
        <v>651</v>
      </c>
      <c r="C589" t="s">
        <v>53</v>
      </c>
      <c r="D589" t="s">
        <v>59</v>
      </c>
      <c r="E589">
        <v>10161.549999999999</v>
      </c>
      <c r="F589" t="s">
        <v>23</v>
      </c>
      <c r="G589">
        <v>18121.53</v>
      </c>
      <c r="H589">
        <v>7959.98</v>
      </c>
      <c r="I589">
        <v>10</v>
      </c>
      <c r="J589">
        <v>8</v>
      </c>
      <c r="K589" t="str">
        <f>TEXT(discount_impact_on_profit_2000_rows[[#This Row],[order date]],"mmmm")</f>
        <v>June</v>
      </c>
      <c r="L589">
        <f>YEAR(discount_impact_on_profit_2000_rows[[#This Row],[order date]])</f>
        <v>2023</v>
      </c>
      <c r="M589" t="str">
        <f>IF(discount_impact_on_profit_2000_rows[[#This Row],[Discount %]]=0,"Zero Discount",IF(discount_impact_on_profit_2000_rows[[#This Row],[Discount %]]&lt;=10,"Low Discount","High Discount"))</f>
        <v>Low Discount</v>
      </c>
      <c r="N589" t="str">
        <f t="shared" si="9"/>
        <v>0-10%</v>
      </c>
    </row>
    <row r="590" spans="1:14">
      <c r="A590" s="1">
        <v>45655</v>
      </c>
      <c r="B590" t="s">
        <v>652</v>
      </c>
      <c r="C590" t="s">
        <v>18</v>
      </c>
      <c r="D590" t="s">
        <v>19</v>
      </c>
      <c r="E590">
        <v>783.21</v>
      </c>
      <c r="F590" t="s">
        <v>26</v>
      </c>
      <c r="G590">
        <v>1862.85</v>
      </c>
      <c r="H590">
        <v>1079.6400000000001</v>
      </c>
      <c r="I590">
        <v>0</v>
      </c>
      <c r="J590">
        <v>3</v>
      </c>
      <c r="K590" t="str">
        <f>TEXT(discount_impact_on_profit_2000_rows[[#This Row],[order date]],"mmmm")</f>
        <v>December</v>
      </c>
      <c r="L590">
        <f>YEAR(discount_impact_on_profit_2000_rows[[#This Row],[order date]])</f>
        <v>2024</v>
      </c>
      <c r="M590" t="str">
        <f>IF(discount_impact_on_profit_2000_rows[[#This Row],[Discount %]]=0,"Zero Discount",IF(discount_impact_on_profit_2000_rows[[#This Row],[Discount %]]&lt;=10,"Low Discount","High Discount"))</f>
        <v>Zero Discount</v>
      </c>
      <c r="N590" t="str">
        <f t="shared" si="9"/>
        <v>0-10%</v>
      </c>
    </row>
    <row r="591" spans="1:14">
      <c r="A591" s="1">
        <v>45448</v>
      </c>
      <c r="B591" t="s">
        <v>653</v>
      </c>
      <c r="C591" t="s">
        <v>15</v>
      </c>
      <c r="D591" t="s">
        <v>84</v>
      </c>
      <c r="E591">
        <v>6774.9</v>
      </c>
      <c r="F591" t="s">
        <v>26</v>
      </c>
      <c r="G591">
        <v>8582.9</v>
      </c>
      <c r="H591">
        <v>1808</v>
      </c>
      <c r="I591">
        <v>10</v>
      </c>
      <c r="J591">
        <v>4</v>
      </c>
      <c r="K591" t="str">
        <f>TEXT(discount_impact_on_profit_2000_rows[[#This Row],[order date]],"mmmm")</f>
        <v>June</v>
      </c>
      <c r="L591">
        <f>YEAR(discount_impact_on_profit_2000_rows[[#This Row],[order date]])</f>
        <v>2024</v>
      </c>
      <c r="M591" t="str">
        <f>IF(discount_impact_on_profit_2000_rows[[#This Row],[Discount %]]=0,"Zero Discount",IF(discount_impact_on_profit_2000_rows[[#This Row],[Discount %]]&lt;=10,"Low Discount","High Discount"))</f>
        <v>Low Discount</v>
      </c>
      <c r="N591" t="str">
        <f t="shared" si="9"/>
        <v>0-10%</v>
      </c>
    </row>
    <row r="592" spans="1:14">
      <c r="A592" s="1">
        <v>45807</v>
      </c>
      <c r="B592" t="s">
        <v>654</v>
      </c>
      <c r="C592" t="s">
        <v>53</v>
      </c>
      <c r="D592" t="s">
        <v>113</v>
      </c>
      <c r="E592">
        <v>575.84</v>
      </c>
      <c r="F592" t="s">
        <v>26</v>
      </c>
      <c r="G592">
        <v>927.3</v>
      </c>
      <c r="H592">
        <v>351.46</v>
      </c>
      <c r="I592">
        <v>5</v>
      </c>
      <c r="J592">
        <v>1</v>
      </c>
      <c r="K592" t="str">
        <f>TEXT(discount_impact_on_profit_2000_rows[[#This Row],[order date]],"mmmm")</f>
        <v>May</v>
      </c>
      <c r="L592">
        <f>YEAR(discount_impact_on_profit_2000_rows[[#This Row],[order date]])</f>
        <v>2025</v>
      </c>
      <c r="M592" t="str">
        <f>IF(discount_impact_on_profit_2000_rows[[#This Row],[Discount %]]=0,"Zero Discount",IF(discount_impact_on_profit_2000_rows[[#This Row],[Discount %]]&lt;=10,"Low Discount","High Discount"))</f>
        <v>Low Discount</v>
      </c>
      <c r="N592" t="str">
        <f t="shared" si="9"/>
        <v>0-10%</v>
      </c>
    </row>
    <row r="593" spans="1:14">
      <c r="A593" s="1">
        <v>45090</v>
      </c>
      <c r="B593" t="s">
        <v>655</v>
      </c>
      <c r="C593" t="s">
        <v>53</v>
      </c>
      <c r="D593" t="s">
        <v>113</v>
      </c>
      <c r="E593">
        <v>1689.56</v>
      </c>
      <c r="F593" t="s">
        <v>26</v>
      </c>
      <c r="G593">
        <v>2601.16</v>
      </c>
      <c r="H593">
        <v>911.6</v>
      </c>
      <c r="I593">
        <v>0</v>
      </c>
      <c r="J593">
        <v>3</v>
      </c>
      <c r="K593" t="str">
        <f>TEXT(discount_impact_on_profit_2000_rows[[#This Row],[order date]],"mmmm")</f>
        <v>June</v>
      </c>
      <c r="L593">
        <f>YEAR(discount_impact_on_profit_2000_rows[[#This Row],[order date]])</f>
        <v>2023</v>
      </c>
      <c r="M593" t="str">
        <f>IF(discount_impact_on_profit_2000_rows[[#This Row],[Discount %]]=0,"Zero Discount",IF(discount_impact_on_profit_2000_rows[[#This Row],[Discount %]]&lt;=10,"Low Discount","High Discount"))</f>
        <v>Zero Discount</v>
      </c>
      <c r="N593" t="str">
        <f t="shared" si="9"/>
        <v>0-10%</v>
      </c>
    </row>
    <row r="594" spans="1:14">
      <c r="A594" s="1">
        <v>45226</v>
      </c>
      <c r="B594" t="s">
        <v>656</v>
      </c>
      <c r="C594" t="s">
        <v>53</v>
      </c>
      <c r="D594" t="s">
        <v>152</v>
      </c>
      <c r="E594">
        <v>387.68</v>
      </c>
      <c r="F594" t="s">
        <v>36</v>
      </c>
      <c r="G594">
        <v>571.46</v>
      </c>
      <c r="H594">
        <v>183.78</v>
      </c>
      <c r="I594">
        <v>10</v>
      </c>
      <c r="J594">
        <v>1</v>
      </c>
      <c r="K594" t="str">
        <f>TEXT(discount_impact_on_profit_2000_rows[[#This Row],[order date]],"mmmm")</f>
        <v>October</v>
      </c>
      <c r="L594">
        <f>YEAR(discount_impact_on_profit_2000_rows[[#This Row],[order date]])</f>
        <v>2023</v>
      </c>
      <c r="M594" t="str">
        <f>IF(discount_impact_on_profit_2000_rows[[#This Row],[Discount %]]=0,"Zero Discount",IF(discount_impact_on_profit_2000_rows[[#This Row],[Discount %]]&lt;=10,"Low Discount","High Discount"))</f>
        <v>Low Discount</v>
      </c>
      <c r="N594" t="str">
        <f t="shared" si="9"/>
        <v>0-10%</v>
      </c>
    </row>
    <row r="595" spans="1:14">
      <c r="A595" s="1">
        <v>45521</v>
      </c>
      <c r="B595" t="s">
        <v>657</v>
      </c>
      <c r="C595" t="s">
        <v>18</v>
      </c>
      <c r="D595" t="s">
        <v>140</v>
      </c>
      <c r="E595">
        <v>697.76</v>
      </c>
      <c r="F595" t="s">
        <v>23</v>
      </c>
      <c r="G595">
        <v>1280.46</v>
      </c>
      <c r="H595">
        <v>582.70000000000005</v>
      </c>
      <c r="I595">
        <v>5</v>
      </c>
      <c r="J595">
        <v>4</v>
      </c>
      <c r="K595" t="str">
        <f>TEXT(discount_impact_on_profit_2000_rows[[#This Row],[order date]],"mmmm")</f>
        <v>August</v>
      </c>
      <c r="L595">
        <f>YEAR(discount_impact_on_profit_2000_rows[[#This Row],[order date]])</f>
        <v>2024</v>
      </c>
      <c r="M595" t="str">
        <f>IF(discount_impact_on_profit_2000_rows[[#This Row],[Discount %]]=0,"Zero Discount",IF(discount_impact_on_profit_2000_rows[[#This Row],[Discount %]]&lt;=10,"Low Discount","High Discount"))</f>
        <v>Low Discount</v>
      </c>
      <c r="N595" t="str">
        <f t="shared" si="9"/>
        <v>0-10%</v>
      </c>
    </row>
    <row r="596" spans="1:14">
      <c r="A596" s="1">
        <v>45186</v>
      </c>
      <c r="B596" t="s">
        <v>658</v>
      </c>
      <c r="C596" t="s">
        <v>11</v>
      </c>
      <c r="D596" t="s">
        <v>207</v>
      </c>
      <c r="E596">
        <v>1220.0899999999999</v>
      </c>
      <c r="F596" t="s">
        <v>23</v>
      </c>
      <c r="G596">
        <v>1927.94</v>
      </c>
      <c r="H596">
        <v>707.85</v>
      </c>
      <c r="I596">
        <v>5</v>
      </c>
      <c r="J596">
        <v>3</v>
      </c>
      <c r="K596" t="str">
        <f>TEXT(discount_impact_on_profit_2000_rows[[#This Row],[order date]],"mmmm")</f>
        <v>September</v>
      </c>
      <c r="L596">
        <f>YEAR(discount_impact_on_profit_2000_rows[[#This Row],[order date]])</f>
        <v>2023</v>
      </c>
      <c r="M596" t="str">
        <f>IF(discount_impact_on_profit_2000_rows[[#This Row],[Discount %]]=0,"Zero Discount",IF(discount_impact_on_profit_2000_rows[[#This Row],[Discount %]]&lt;=10,"Low Discount","High Discount"))</f>
        <v>Low Discount</v>
      </c>
      <c r="N596" t="str">
        <f t="shared" si="9"/>
        <v>0-10%</v>
      </c>
    </row>
    <row r="597" spans="1:14">
      <c r="A597" s="1">
        <v>45137</v>
      </c>
      <c r="B597" t="s">
        <v>659</v>
      </c>
      <c r="C597" t="s">
        <v>18</v>
      </c>
      <c r="D597" t="s">
        <v>42</v>
      </c>
      <c r="E597">
        <v>2032.86</v>
      </c>
      <c r="F597" t="s">
        <v>36</v>
      </c>
      <c r="G597">
        <v>3144.2</v>
      </c>
      <c r="H597">
        <v>1111.3399999999999</v>
      </c>
      <c r="I597">
        <v>0</v>
      </c>
      <c r="J597">
        <v>3</v>
      </c>
      <c r="K597" t="str">
        <f>TEXT(discount_impact_on_profit_2000_rows[[#This Row],[order date]],"mmmm")</f>
        <v>July</v>
      </c>
      <c r="L597">
        <f>YEAR(discount_impact_on_profit_2000_rows[[#This Row],[order date]])</f>
        <v>2023</v>
      </c>
      <c r="M597" t="str">
        <f>IF(discount_impact_on_profit_2000_rows[[#This Row],[Discount %]]=0,"Zero Discount",IF(discount_impact_on_profit_2000_rows[[#This Row],[Discount %]]&lt;=10,"Low Discount","High Discount"))</f>
        <v>Zero Discount</v>
      </c>
      <c r="N597" t="str">
        <f t="shared" si="9"/>
        <v>0-10%</v>
      </c>
    </row>
    <row r="598" spans="1:14">
      <c r="A598" s="1">
        <v>45611</v>
      </c>
      <c r="B598" t="s">
        <v>660</v>
      </c>
      <c r="C598" t="s">
        <v>11</v>
      </c>
      <c r="D598" t="s">
        <v>207</v>
      </c>
      <c r="E598">
        <v>6688.99</v>
      </c>
      <c r="F598" t="s">
        <v>31</v>
      </c>
      <c r="G598">
        <v>9294.16</v>
      </c>
      <c r="H598">
        <v>2605.17</v>
      </c>
      <c r="I598">
        <v>10</v>
      </c>
      <c r="J598">
        <v>5</v>
      </c>
      <c r="K598" t="str">
        <f>TEXT(discount_impact_on_profit_2000_rows[[#This Row],[order date]],"mmmm")</f>
        <v>November</v>
      </c>
      <c r="L598">
        <f>YEAR(discount_impact_on_profit_2000_rows[[#This Row],[order date]])</f>
        <v>2024</v>
      </c>
      <c r="M598" t="str">
        <f>IF(discount_impact_on_profit_2000_rows[[#This Row],[Discount %]]=0,"Zero Discount",IF(discount_impact_on_profit_2000_rows[[#This Row],[Discount %]]&lt;=10,"Low Discount","High Discount"))</f>
        <v>Low Discount</v>
      </c>
      <c r="N598" t="str">
        <f t="shared" si="9"/>
        <v>0-10%</v>
      </c>
    </row>
    <row r="599" spans="1:14">
      <c r="A599" s="1">
        <v>45637</v>
      </c>
      <c r="B599" t="s">
        <v>661</v>
      </c>
      <c r="C599" t="s">
        <v>21</v>
      </c>
      <c r="D599" t="s">
        <v>109</v>
      </c>
      <c r="E599">
        <v>5122.08</v>
      </c>
      <c r="F599" t="s">
        <v>36</v>
      </c>
      <c r="G599">
        <v>5138.2700000000004</v>
      </c>
      <c r="H599">
        <v>16.190000000000001</v>
      </c>
      <c r="I599">
        <v>16</v>
      </c>
      <c r="J599">
        <v>2</v>
      </c>
      <c r="K599" t="str">
        <f>TEXT(discount_impact_on_profit_2000_rows[[#This Row],[order date]],"mmmm")</f>
        <v>December</v>
      </c>
      <c r="L599">
        <f>YEAR(discount_impact_on_profit_2000_rows[[#This Row],[order date]])</f>
        <v>2024</v>
      </c>
      <c r="M599" t="str">
        <f>IF(discount_impact_on_profit_2000_rows[[#This Row],[Discount %]]=0,"Zero Discount",IF(discount_impact_on_profit_2000_rows[[#This Row],[Discount %]]&lt;=10,"Low Discount","High Discount"))</f>
        <v>High Discount</v>
      </c>
      <c r="N599" t="str">
        <f t="shared" si="9"/>
        <v>10-20%</v>
      </c>
    </row>
    <row r="600" spans="1:14">
      <c r="A600" s="1">
        <v>45776</v>
      </c>
      <c r="B600" t="s">
        <v>662</v>
      </c>
      <c r="C600" t="s">
        <v>53</v>
      </c>
      <c r="D600" t="s">
        <v>152</v>
      </c>
      <c r="E600">
        <v>2450.0300000000002</v>
      </c>
      <c r="F600" t="s">
        <v>31</v>
      </c>
      <c r="G600">
        <v>3363.16</v>
      </c>
      <c r="H600">
        <v>913.13</v>
      </c>
      <c r="I600">
        <v>25</v>
      </c>
      <c r="J600">
        <v>1</v>
      </c>
      <c r="K600" t="str">
        <f>TEXT(discount_impact_on_profit_2000_rows[[#This Row],[order date]],"mmmm")</f>
        <v>April</v>
      </c>
      <c r="L600">
        <f>YEAR(discount_impact_on_profit_2000_rows[[#This Row],[order date]])</f>
        <v>2025</v>
      </c>
      <c r="M600" t="str">
        <f>IF(discount_impact_on_profit_2000_rows[[#This Row],[Discount %]]=0,"Zero Discount",IF(discount_impact_on_profit_2000_rows[[#This Row],[Discount %]]&lt;=10,"Low Discount","High Discount"))</f>
        <v>High Discount</v>
      </c>
      <c r="N600" t="str">
        <f t="shared" si="9"/>
        <v>20-30%</v>
      </c>
    </row>
    <row r="601" spans="1:14">
      <c r="A601" s="1">
        <v>45137</v>
      </c>
      <c r="B601" t="s">
        <v>663</v>
      </c>
      <c r="C601" t="s">
        <v>11</v>
      </c>
      <c r="D601" t="s">
        <v>25</v>
      </c>
      <c r="E601">
        <v>1242.51</v>
      </c>
      <c r="F601" t="s">
        <v>36</v>
      </c>
      <c r="G601">
        <v>1845.53</v>
      </c>
      <c r="H601">
        <v>603.02</v>
      </c>
      <c r="I601">
        <v>15</v>
      </c>
      <c r="J601">
        <v>3</v>
      </c>
      <c r="K601" t="str">
        <f>TEXT(discount_impact_on_profit_2000_rows[[#This Row],[order date]],"mmmm")</f>
        <v>July</v>
      </c>
      <c r="L601">
        <f>YEAR(discount_impact_on_profit_2000_rows[[#This Row],[order date]])</f>
        <v>2023</v>
      </c>
      <c r="M601" t="str">
        <f>IF(discount_impact_on_profit_2000_rows[[#This Row],[Discount %]]=0,"Zero Discount",IF(discount_impact_on_profit_2000_rows[[#This Row],[Discount %]]&lt;=10,"Low Discount","High Discount"))</f>
        <v>High Discount</v>
      </c>
      <c r="N601" t="str">
        <f t="shared" si="9"/>
        <v>10-20%</v>
      </c>
    </row>
    <row r="602" spans="1:14">
      <c r="A602" s="1">
        <v>45047</v>
      </c>
      <c r="B602" t="s">
        <v>664</v>
      </c>
      <c r="C602" t="s">
        <v>53</v>
      </c>
      <c r="D602" t="s">
        <v>78</v>
      </c>
      <c r="E602">
        <v>262.19</v>
      </c>
      <c r="F602" t="s">
        <v>26</v>
      </c>
      <c r="G602">
        <v>548.08000000000004</v>
      </c>
      <c r="H602">
        <v>285.89</v>
      </c>
      <c r="I602">
        <v>10</v>
      </c>
      <c r="J602">
        <v>1</v>
      </c>
      <c r="K602" t="str">
        <f>TEXT(discount_impact_on_profit_2000_rows[[#This Row],[order date]],"mmmm")</f>
        <v>May</v>
      </c>
      <c r="L602">
        <f>YEAR(discount_impact_on_profit_2000_rows[[#This Row],[order date]])</f>
        <v>2023</v>
      </c>
      <c r="M602" t="str">
        <f>IF(discount_impact_on_profit_2000_rows[[#This Row],[Discount %]]=0,"Zero Discount",IF(discount_impact_on_profit_2000_rows[[#This Row],[Discount %]]&lt;=10,"Low Discount","High Discount"))</f>
        <v>Low Discount</v>
      </c>
      <c r="N602" t="str">
        <f t="shared" si="9"/>
        <v>0-10%</v>
      </c>
    </row>
    <row r="603" spans="1:14">
      <c r="A603" s="1">
        <v>45546</v>
      </c>
      <c r="B603" t="s">
        <v>665</v>
      </c>
      <c r="C603" t="s">
        <v>15</v>
      </c>
      <c r="D603" t="s">
        <v>99</v>
      </c>
      <c r="E603">
        <v>45023.89</v>
      </c>
      <c r="F603" t="s">
        <v>23</v>
      </c>
      <c r="G603">
        <v>61225.13</v>
      </c>
      <c r="H603">
        <v>16201.24</v>
      </c>
      <c r="I603">
        <v>15</v>
      </c>
      <c r="J603">
        <v>5</v>
      </c>
      <c r="K603" t="str">
        <f>TEXT(discount_impact_on_profit_2000_rows[[#This Row],[order date]],"mmmm")</f>
        <v>September</v>
      </c>
      <c r="L603">
        <f>YEAR(discount_impact_on_profit_2000_rows[[#This Row],[order date]])</f>
        <v>2024</v>
      </c>
      <c r="M603" t="str">
        <f>IF(discount_impact_on_profit_2000_rows[[#This Row],[Discount %]]=0,"Zero Discount",IF(discount_impact_on_profit_2000_rows[[#This Row],[Discount %]]&lt;=10,"Low Discount","High Discount"))</f>
        <v>High Discount</v>
      </c>
      <c r="N603" t="str">
        <f t="shared" si="9"/>
        <v>10-20%</v>
      </c>
    </row>
    <row r="604" spans="1:14">
      <c r="A604" s="1">
        <v>45018</v>
      </c>
      <c r="B604" t="s">
        <v>666</v>
      </c>
      <c r="C604" t="s">
        <v>21</v>
      </c>
      <c r="D604" t="s">
        <v>123</v>
      </c>
      <c r="E604">
        <v>3039.76</v>
      </c>
      <c r="F604" t="s">
        <v>26</v>
      </c>
      <c r="G604">
        <v>3388.23</v>
      </c>
      <c r="H604">
        <v>348.47</v>
      </c>
      <c r="I604">
        <v>15</v>
      </c>
      <c r="J604">
        <v>1</v>
      </c>
      <c r="K604" t="str">
        <f>TEXT(discount_impact_on_profit_2000_rows[[#This Row],[order date]],"mmmm")</f>
        <v>April</v>
      </c>
      <c r="L604">
        <f>YEAR(discount_impact_on_profit_2000_rows[[#This Row],[order date]])</f>
        <v>2023</v>
      </c>
      <c r="M604" t="str">
        <f>IF(discount_impact_on_profit_2000_rows[[#This Row],[Discount %]]=0,"Zero Discount",IF(discount_impact_on_profit_2000_rows[[#This Row],[Discount %]]&lt;=10,"Low Discount","High Discount"))</f>
        <v>High Discount</v>
      </c>
      <c r="N604" t="str">
        <f t="shared" si="9"/>
        <v>10-20%</v>
      </c>
    </row>
    <row r="605" spans="1:14">
      <c r="A605" s="1">
        <v>45034</v>
      </c>
      <c r="B605" t="s">
        <v>667</v>
      </c>
      <c r="C605" t="s">
        <v>18</v>
      </c>
      <c r="D605" t="s">
        <v>188</v>
      </c>
      <c r="E605">
        <v>461.79</v>
      </c>
      <c r="F605" t="s">
        <v>26</v>
      </c>
      <c r="G605">
        <v>863.64</v>
      </c>
      <c r="H605">
        <v>401.85</v>
      </c>
      <c r="I605">
        <v>10</v>
      </c>
      <c r="J605">
        <v>2</v>
      </c>
      <c r="K605" t="str">
        <f>TEXT(discount_impact_on_profit_2000_rows[[#This Row],[order date]],"mmmm")</f>
        <v>April</v>
      </c>
      <c r="L605">
        <f>YEAR(discount_impact_on_profit_2000_rows[[#This Row],[order date]])</f>
        <v>2023</v>
      </c>
      <c r="M605" t="str">
        <f>IF(discount_impact_on_profit_2000_rows[[#This Row],[Discount %]]=0,"Zero Discount",IF(discount_impact_on_profit_2000_rows[[#This Row],[Discount %]]&lt;=10,"Low Discount","High Discount"))</f>
        <v>Low Discount</v>
      </c>
      <c r="N605" t="str">
        <f t="shared" si="9"/>
        <v>0-10%</v>
      </c>
    </row>
    <row r="606" spans="1:14">
      <c r="A606" s="1">
        <v>45271</v>
      </c>
      <c r="B606" t="s">
        <v>668</v>
      </c>
      <c r="C606" t="s">
        <v>53</v>
      </c>
      <c r="D606" t="s">
        <v>59</v>
      </c>
      <c r="E606">
        <v>232.54</v>
      </c>
      <c r="F606" t="s">
        <v>23</v>
      </c>
      <c r="G606">
        <v>390.78</v>
      </c>
      <c r="H606">
        <v>158.24</v>
      </c>
      <c r="I606">
        <v>15</v>
      </c>
      <c r="J606">
        <v>1</v>
      </c>
      <c r="K606" t="str">
        <f>TEXT(discount_impact_on_profit_2000_rows[[#This Row],[order date]],"mmmm")</f>
        <v>December</v>
      </c>
      <c r="L606">
        <f>YEAR(discount_impact_on_profit_2000_rows[[#This Row],[order date]])</f>
        <v>2023</v>
      </c>
      <c r="M606" t="str">
        <f>IF(discount_impact_on_profit_2000_rows[[#This Row],[Discount %]]=0,"Zero Discount",IF(discount_impact_on_profit_2000_rows[[#This Row],[Discount %]]&lt;=10,"Low Discount","High Discount"))</f>
        <v>High Discount</v>
      </c>
      <c r="N606" t="str">
        <f t="shared" si="9"/>
        <v>10-20%</v>
      </c>
    </row>
    <row r="607" spans="1:14">
      <c r="A607" s="1">
        <v>45763</v>
      </c>
      <c r="B607" t="s">
        <v>669</v>
      </c>
      <c r="C607" t="s">
        <v>33</v>
      </c>
      <c r="D607" t="s">
        <v>92</v>
      </c>
      <c r="E607">
        <v>72436.5</v>
      </c>
      <c r="F607" t="s">
        <v>13</v>
      </c>
      <c r="G607">
        <v>103342.95</v>
      </c>
      <c r="H607">
        <v>30906.45</v>
      </c>
      <c r="I607">
        <v>10</v>
      </c>
      <c r="J607">
        <v>8</v>
      </c>
      <c r="K607" t="str">
        <f>TEXT(discount_impact_on_profit_2000_rows[[#This Row],[order date]],"mmmm")</f>
        <v>April</v>
      </c>
      <c r="L607">
        <f>YEAR(discount_impact_on_profit_2000_rows[[#This Row],[order date]])</f>
        <v>2025</v>
      </c>
      <c r="M607" t="str">
        <f>IF(discount_impact_on_profit_2000_rows[[#This Row],[Discount %]]=0,"Zero Discount",IF(discount_impact_on_profit_2000_rows[[#This Row],[Discount %]]&lt;=10,"Low Discount","High Discount"))</f>
        <v>Low Discount</v>
      </c>
      <c r="N607" t="str">
        <f t="shared" si="9"/>
        <v>0-10%</v>
      </c>
    </row>
    <row r="608" spans="1:14">
      <c r="A608" s="1">
        <v>45517</v>
      </c>
      <c r="B608" t="s">
        <v>670</v>
      </c>
      <c r="C608" t="s">
        <v>21</v>
      </c>
      <c r="D608" t="s">
        <v>123</v>
      </c>
      <c r="E608">
        <v>2984.49</v>
      </c>
      <c r="F608" t="s">
        <v>31</v>
      </c>
      <c r="G608">
        <v>3230.68</v>
      </c>
      <c r="H608">
        <v>246.19</v>
      </c>
      <c r="I608">
        <v>25</v>
      </c>
      <c r="J608">
        <v>1</v>
      </c>
      <c r="K608" t="str">
        <f>TEXT(discount_impact_on_profit_2000_rows[[#This Row],[order date]],"mmmm")</f>
        <v>August</v>
      </c>
      <c r="L608">
        <f>YEAR(discount_impact_on_profit_2000_rows[[#This Row],[order date]])</f>
        <v>2024</v>
      </c>
      <c r="M608" t="str">
        <f>IF(discount_impact_on_profit_2000_rows[[#This Row],[Discount %]]=0,"Zero Discount",IF(discount_impact_on_profit_2000_rows[[#This Row],[Discount %]]&lt;=10,"Low Discount","High Discount"))</f>
        <v>High Discount</v>
      </c>
      <c r="N608" t="str">
        <f t="shared" si="9"/>
        <v>20-30%</v>
      </c>
    </row>
    <row r="609" spans="1:14">
      <c r="A609" s="1">
        <v>45300</v>
      </c>
      <c r="B609" t="s">
        <v>671</v>
      </c>
      <c r="C609" t="s">
        <v>15</v>
      </c>
      <c r="D609" t="s">
        <v>84</v>
      </c>
      <c r="E609">
        <v>18546.55</v>
      </c>
      <c r="F609" t="s">
        <v>31</v>
      </c>
      <c r="G609">
        <v>25814.34</v>
      </c>
      <c r="H609">
        <v>7267.79</v>
      </c>
      <c r="I609">
        <v>0</v>
      </c>
      <c r="J609">
        <v>5</v>
      </c>
      <c r="K609" t="str">
        <f>TEXT(discount_impact_on_profit_2000_rows[[#This Row],[order date]],"mmmm")</f>
        <v>January</v>
      </c>
      <c r="L609">
        <f>YEAR(discount_impact_on_profit_2000_rows[[#This Row],[order date]])</f>
        <v>2024</v>
      </c>
      <c r="M609" t="str">
        <f>IF(discount_impact_on_profit_2000_rows[[#This Row],[Discount %]]=0,"Zero Discount",IF(discount_impact_on_profit_2000_rows[[#This Row],[Discount %]]&lt;=10,"Low Discount","High Discount"))</f>
        <v>Zero Discount</v>
      </c>
      <c r="N609" t="str">
        <f t="shared" si="9"/>
        <v>0-10%</v>
      </c>
    </row>
    <row r="610" spans="1:14">
      <c r="A610" s="1">
        <v>45525</v>
      </c>
      <c r="B610" t="s">
        <v>672</v>
      </c>
      <c r="C610" t="s">
        <v>11</v>
      </c>
      <c r="D610" t="s">
        <v>30</v>
      </c>
      <c r="E610">
        <v>888.76</v>
      </c>
      <c r="F610" t="s">
        <v>13</v>
      </c>
      <c r="G610">
        <v>1489.12</v>
      </c>
      <c r="H610">
        <v>600.36</v>
      </c>
      <c r="I610">
        <v>25</v>
      </c>
      <c r="J610">
        <v>1</v>
      </c>
      <c r="K610" t="str">
        <f>TEXT(discount_impact_on_profit_2000_rows[[#This Row],[order date]],"mmmm")</f>
        <v>August</v>
      </c>
      <c r="L610">
        <f>YEAR(discount_impact_on_profit_2000_rows[[#This Row],[order date]])</f>
        <v>2024</v>
      </c>
      <c r="M610" t="str">
        <f>IF(discount_impact_on_profit_2000_rows[[#This Row],[Discount %]]=0,"Zero Discount",IF(discount_impact_on_profit_2000_rows[[#This Row],[Discount %]]&lt;=10,"Low Discount","High Discount"))</f>
        <v>High Discount</v>
      </c>
      <c r="N610" t="str">
        <f t="shared" si="9"/>
        <v>20-30%</v>
      </c>
    </row>
    <row r="611" spans="1:14">
      <c r="A611" s="1">
        <v>45287</v>
      </c>
      <c r="B611" t="s">
        <v>673</v>
      </c>
      <c r="C611" t="s">
        <v>21</v>
      </c>
      <c r="D611" t="s">
        <v>97</v>
      </c>
      <c r="E611">
        <v>35293.81</v>
      </c>
      <c r="F611" t="s">
        <v>26</v>
      </c>
      <c r="G611">
        <v>49997.599999999999</v>
      </c>
      <c r="H611">
        <v>14703.79</v>
      </c>
      <c r="I611">
        <v>5</v>
      </c>
      <c r="J611">
        <v>3</v>
      </c>
      <c r="K611" t="str">
        <f>TEXT(discount_impact_on_profit_2000_rows[[#This Row],[order date]],"mmmm")</f>
        <v>December</v>
      </c>
      <c r="L611">
        <f>YEAR(discount_impact_on_profit_2000_rows[[#This Row],[order date]])</f>
        <v>2023</v>
      </c>
      <c r="M611" t="str">
        <f>IF(discount_impact_on_profit_2000_rows[[#This Row],[Discount %]]=0,"Zero Discount",IF(discount_impact_on_profit_2000_rows[[#This Row],[Discount %]]&lt;=10,"Low Discount","High Discount"))</f>
        <v>Low Discount</v>
      </c>
      <c r="N611" t="str">
        <f t="shared" si="9"/>
        <v>0-10%</v>
      </c>
    </row>
    <row r="612" spans="1:14">
      <c r="A612" s="1">
        <v>45394</v>
      </c>
      <c r="B612" t="s">
        <v>674</v>
      </c>
      <c r="C612" t="s">
        <v>53</v>
      </c>
      <c r="D612" t="s">
        <v>78</v>
      </c>
      <c r="E612">
        <v>4142.22</v>
      </c>
      <c r="F612" t="s">
        <v>13</v>
      </c>
      <c r="G612">
        <v>7980.46</v>
      </c>
      <c r="H612">
        <v>3838.24</v>
      </c>
      <c r="I612">
        <v>10</v>
      </c>
      <c r="J612">
        <v>4</v>
      </c>
      <c r="K612" t="str">
        <f>TEXT(discount_impact_on_profit_2000_rows[[#This Row],[order date]],"mmmm")</f>
        <v>April</v>
      </c>
      <c r="L612">
        <f>YEAR(discount_impact_on_profit_2000_rows[[#This Row],[order date]])</f>
        <v>2024</v>
      </c>
      <c r="M612" t="str">
        <f>IF(discount_impact_on_profit_2000_rows[[#This Row],[Discount %]]=0,"Zero Discount",IF(discount_impact_on_profit_2000_rows[[#This Row],[Discount %]]&lt;=10,"Low Discount","High Discount"))</f>
        <v>Low Discount</v>
      </c>
      <c r="N612" t="str">
        <f t="shared" si="9"/>
        <v>0-10%</v>
      </c>
    </row>
    <row r="613" spans="1:14">
      <c r="A613" s="1">
        <v>45057</v>
      </c>
      <c r="B613" t="s">
        <v>675</v>
      </c>
      <c r="C613" t="s">
        <v>18</v>
      </c>
      <c r="D613" t="s">
        <v>104</v>
      </c>
      <c r="E613">
        <v>1164.52</v>
      </c>
      <c r="F613" t="s">
        <v>23</v>
      </c>
      <c r="G613">
        <v>2273.84</v>
      </c>
      <c r="H613">
        <v>1109.32</v>
      </c>
      <c r="I613">
        <v>5</v>
      </c>
      <c r="J613">
        <v>2</v>
      </c>
      <c r="K613" t="str">
        <f>TEXT(discount_impact_on_profit_2000_rows[[#This Row],[order date]],"mmmm")</f>
        <v>May</v>
      </c>
      <c r="L613">
        <f>YEAR(discount_impact_on_profit_2000_rows[[#This Row],[order date]])</f>
        <v>2023</v>
      </c>
      <c r="M613" t="str">
        <f>IF(discount_impact_on_profit_2000_rows[[#This Row],[Discount %]]=0,"Zero Discount",IF(discount_impact_on_profit_2000_rows[[#This Row],[Discount %]]&lt;=10,"Low Discount","High Discount"))</f>
        <v>Low Discount</v>
      </c>
      <c r="N613" t="str">
        <f t="shared" si="9"/>
        <v>0-10%</v>
      </c>
    </row>
    <row r="614" spans="1:14">
      <c r="A614" s="1">
        <v>45587</v>
      </c>
      <c r="B614" t="s">
        <v>676</v>
      </c>
      <c r="C614" t="s">
        <v>21</v>
      </c>
      <c r="D614" t="s">
        <v>154</v>
      </c>
      <c r="E614">
        <v>190070.39</v>
      </c>
      <c r="F614" t="s">
        <v>31</v>
      </c>
      <c r="G614">
        <v>216202.04</v>
      </c>
      <c r="H614">
        <v>26131.65</v>
      </c>
      <c r="I614">
        <v>5</v>
      </c>
      <c r="J614">
        <v>10</v>
      </c>
      <c r="K614" t="str">
        <f>TEXT(discount_impact_on_profit_2000_rows[[#This Row],[order date]],"mmmm")</f>
        <v>October</v>
      </c>
      <c r="L614">
        <f>YEAR(discount_impact_on_profit_2000_rows[[#This Row],[order date]])</f>
        <v>2024</v>
      </c>
      <c r="M614" t="str">
        <f>IF(discount_impact_on_profit_2000_rows[[#This Row],[Discount %]]=0,"Zero Discount",IF(discount_impact_on_profit_2000_rows[[#This Row],[Discount %]]&lt;=10,"Low Discount","High Discount"))</f>
        <v>Low Discount</v>
      </c>
      <c r="N614" t="str">
        <f t="shared" si="9"/>
        <v>0-10%</v>
      </c>
    </row>
    <row r="615" spans="1:14">
      <c r="A615" s="1">
        <v>45277</v>
      </c>
      <c r="B615" t="s">
        <v>677</v>
      </c>
      <c r="C615" t="s">
        <v>15</v>
      </c>
      <c r="D615" t="s">
        <v>28</v>
      </c>
      <c r="E615">
        <v>7214.31</v>
      </c>
      <c r="F615" t="s">
        <v>13</v>
      </c>
      <c r="G615">
        <v>8593.33</v>
      </c>
      <c r="H615">
        <v>1379.02</v>
      </c>
      <c r="I615">
        <v>5</v>
      </c>
      <c r="J615">
        <v>1</v>
      </c>
      <c r="K615" t="str">
        <f>TEXT(discount_impact_on_profit_2000_rows[[#This Row],[order date]],"mmmm")</f>
        <v>December</v>
      </c>
      <c r="L615">
        <f>YEAR(discount_impact_on_profit_2000_rows[[#This Row],[order date]])</f>
        <v>2023</v>
      </c>
      <c r="M615" t="str">
        <f>IF(discount_impact_on_profit_2000_rows[[#This Row],[Discount %]]=0,"Zero Discount",IF(discount_impact_on_profit_2000_rows[[#This Row],[Discount %]]&lt;=10,"Low Discount","High Discount"))</f>
        <v>Low Discount</v>
      </c>
      <c r="N615" t="str">
        <f t="shared" si="9"/>
        <v>0-10%</v>
      </c>
    </row>
    <row r="616" spans="1:14">
      <c r="A616" s="1">
        <v>45588</v>
      </c>
      <c r="B616" t="s">
        <v>678</v>
      </c>
      <c r="C616" t="s">
        <v>53</v>
      </c>
      <c r="D616" t="s">
        <v>70</v>
      </c>
      <c r="E616">
        <v>1304.3599999999999</v>
      </c>
      <c r="F616" t="s">
        <v>13</v>
      </c>
      <c r="G616">
        <v>1836.73</v>
      </c>
      <c r="H616">
        <v>532.37</v>
      </c>
      <c r="I616">
        <v>5</v>
      </c>
      <c r="J616">
        <v>3</v>
      </c>
      <c r="K616" t="str">
        <f>TEXT(discount_impact_on_profit_2000_rows[[#This Row],[order date]],"mmmm")</f>
        <v>October</v>
      </c>
      <c r="L616">
        <f>YEAR(discount_impact_on_profit_2000_rows[[#This Row],[order date]])</f>
        <v>2024</v>
      </c>
      <c r="M616" t="str">
        <f>IF(discount_impact_on_profit_2000_rows[[#This Row],[Discount %]]=0,"Zero Discount",IF(discount_impact_on_profit_2000_rows[[#This Row],[Discount %]]&lt;=10,"Low Discount","High Discount"))</f>
        <v>Low Discount</v>
      </c>
      <c r="N616" t="str">
        <f t="shared" si="9"/>
        <v>0-10%</v>
      </c>
    </row>
    <row r="617" spans="1:14">
      <c r="A617" s="1">
        <v>45743</v>
      </c>
      <c r="B617" t="s">
        <v>679</v>
      </c>
      <c r="C617" t="s">
        <v>21</v>
      </c>
      <c r="D617" t="s">
        <v>109</v>
      </c>
      <c r="E617">
        <v>71062.52</v>
      </c>
      <c r="F617" t="s">
        <v>36</v>
      </c>
      <c r="G617">
        <v>92148.96</v>
      </c>
      <c r="H617">
        <v>21086.44</v>
      </c>
      <c r="I617">
        <v>0</v>
      </c>
      <c r="J617">
        <v>8</v>
      </c>
      <c r="K617" t="str">
        <f>TEXT(discount_impact_on_profit_2000_rows[[#This Row],[order date]],"mmmm")</f>
        <v>March</v>
      </c>
      <c r="L617">
        <f>YEAR(discount_impact_on_profit_2000_rows[[#This Row],[order date]])</f>
        <v>2025</v>
      </c>
      <c r="M617" t="str">
        <f>IF(discount_impact_on_profit_2000_rows[[#This Row],[Discount %]]=0,"Zero Discount",IF(discount_impact_on_profit_2000_rows[[#This Row],[Discount %]]&lt;=10,"Low Discount","High Discount"))</f>
        <v>Zero Discount</v>
      </c>
      <c r="N617" t="str">
        <f t="shared" si="9"/>
        <v>0-10%</v>
      </c>
    </row>
    <row r="618" spans="1:14">
      <c r="A618" s="1">
        <v>45955</v>
      </c>
      <c r="B618" t="s">
        <v>680</v>
      </c>
      <c r="C618" t="s">
        <v>18</v>
      </c>
      <c r="D618" t="s">
        <v>188</v>
      </c>
      <c r="E618">
        <v>1893.21</v>
      </c>
      <c r="F618" t="s">
        <v>31</v>
      </c>
      <c r="G618">
        <v>3056.51</v>
      </c>
      <c r="H618">
        <v>1163.3</v>
      </c>
      <c r="I618">
        <v>5</v>
      </c>
      <c r="J618">
        <v>4</v>
      </c>
      <c r="K618" t="str">
        <f>TEXT(discount_impact_on_profit_2000_rows[[#This Row],[order date]],"mmmm")</f>
        <v>October</v>
      </c>
      <c r="L618">
        <f>YEAR(discount_impact_on_profit_2000_rows[[#This Row],[order date]])</f>
        <v>2025</v>
      </c>
      <c r="M618" t="str">
        <f>IF(discount_impact_on_profit_2000_rows[[#This Row],[Discount %]]=0,"Zero Discount",IF(discount_impact_on_profit_2000_rows[[#This Row],[Discount %]]&lt;=10,"Low Discount","High Discount"))</f>
        <v>Low Discount</v>
      </c>
      <c r="N618" t="str">
        <f t="shared" si="9"/>
        <v>0-10%</v>
      </c>
    </row>
    <row r="619" spans="1:14">
      <c r="A619" s="1">
        <v>45539</v>
      </c>
      <c r="B619" t="s">
        <v>681</v>
      </c>
      <c r="C619" t="s">
        <v>53</v>
      </c>
      <c r="D619" t="s">
        <v>54</v>
      </c>
      <c r="E619">
        <v>3535.89</v>
      </c>
      <c r="F619" t="s">
        <v>26</v>
      </c>
      <c r="G619">
        <v>5545.49</v>
      </c>
      <c r="H619">
        <v>2009.6</v>
      </c>
      <c r="I619">
        <v>20</v>
      </c>
      <c r="J619">
        <v>10</v>
      </c>
      <c r="K619" t="str">
        <f>TEXT(discount_impact_on_profit_2000_rows[[#This Row],[order date]],"mmmm")</f>
        <v>September</v>
      </c>
      <c r="L619">
        <f>YEAR(discount_impact_on_profit_2000_rows[[#This Row],[order date]])</f>
        <v>2024</v>
      </c>
      <c r="M619" t="str">
        <f>IF(discount_impact_on_profit_2000_rows[[#This Row],[Discount %]]=0,"Zero Discount",IF(discount_impact_on_profit_2000_rows[[#This Row],[Discount %]]&lt;=10,"Low Discount","High Discount"))</f>
        <v>High Discount</v>
      </c>
      <c r="N619" t="str">
        <f t="shared" si="9"/>
        <v>10-20%</v>
      </c>
    </row>
    <row r="620" spans="1:14">
      <c r="A620" s="1">
        <v>45499</v>
      </c>
      <c r="B620" t="s">
        <v>682</v>
      </c>
      <c r="C620" t="s">
        <v>21</v>
      </c>
      <c r="D620" t="s">
        <v>46</v>
      </c>
      <c r="E620">
        <v>2529.86</v>
      </c>
      <c r="F620" t="s">
        <v>26</v>
      </c>
      <c r="G620">
        <v>2629</v>
      </c>
      <c r="H620">
        <v>99.14</v>
      </c>
      <c r="I620">
        <v>15</v>
      </c>
      <c r="J620">
        <v>1</v>
      </c>
      <c r="K620" t="str">
        <f>TEXT(discount_impact_on_profit_2000_rows[[#This Row],[order date]],"mmmm")</f>
        <v>July</v>
      </c>
      <c r="L620">
        <f>YEAR(discount_impact_on_profit_2000_rows[[#This Row],[order date]])</f>
        <v>2024</v>
      </c>
      <c r="M620" t="str">
        <f>IF(discount_impact_on_profit_2000_rows[[#This Row],[Discount %]]=0,"Zero Discount",IF(discount_impact_on_profit_2000_rows[[#This Row],[Discount %]]&lt;=10,"Low Discount","High Discount"))</f>
        <v>High Discount</v>
      </c>
      <c r="N620" t="str">
        <f t="shared" si="9"/>
        <v>10-20%</v>
      </c>
    </row>
    <row r="621" spans="1:14">
      <c r="A621" s="1">
        <v>45503</v>
      </c>
      <c r="B621" t="s">
        <v>683</v>
      </c>
      <c r="C621" t="s">
        <v>11</v>
      </c>
      <c r="D621" t="s">
        <v>30</v>
      </c>
      <c r="E621">
        <v>2547.62</v>
      </c>
      <c r="F621" t="s">
        <v>26</v>
      </c>
      <c r="G621">
        <v>5092.79</v>
      </c>
      <c r="H621">
        <v>2545.17</v>
      </c>
      <c r="I621">
        <v>15</v>
      </c>
      <c r="J621">
        <v>5</v>
      </c>
      <c r="K621" t="str">
        <f>TEXT(discount_impact_on_profit_2000_rows[[#This Row],[order date]],"mmmm")</f>
        <v>July</v>
      </c>
      <c r="L621">
        <f>YEAR(discount_impact_on_profit_2000_rows[[#This Row],[order date]])</f>
        <v>2024</v>
      </c>
      <c r="M621" t="str">
        <f>IF(discount_impact_on_profit_2000_rows[[#This Row],[Discount %]]=0,"Zero Discount",IF(discount_impact_on_profit_2000_rows[[#This Row],[Discount %]]&lt;=10,"Low Discount","High Discount"))</f>
        <v>High Discount</v>
      </c>
      <c r="N621" t="str">
        <f t="shared" si="9"/>
        <v>10-20%</v>
      </c>
    </row>
    <row r="622" spans="1:14">
      <c r="A622" s="1">
        <v>45559</v>
      </c>
      <c r="B622" t="s">
        <v>684</v>
      </c>
      <c r="C622" t="s">
        <v>53</v>
      </c>
      <c r="D622" t="s">
        <v>70</v>
      </c>
      <c r="E622">
        <v>201.84</v>
      </c>
      <c r="F622" t="s">
        <v>31</v>
      </c>
      <c r="G622">
        <v>425.28</v>
      </c>
      <c r="H622">
        <v>223.44</v>
      </c>
      <c r="I622">
        <v>10</v>
      </c>
      <c r="J622">
        <v>1</v>
      </c>
      <c r="K622" t="str">
        <f>TEXT(discount_impact_on_profit_2000_rows[[#This Row],[order date]],"mmmm")</f>
        <v>September</v>
      </c>
      <c r="L622">
        <f>YEAR(discount_impact_on_profit_2000_rows[[#This Row],[order date]])</f>
        <v>2024</v>
      </c>
      <c r="M622" t="str">
        <f>IF(discount_impact_on_profit_2000_rows[[#This Row],[Discount %]]=0,"Zero Discount",IF(discount_impact_on_profit_2000_rows[[#This Row],[Discount %]]&lt;=10,"Low Discount","High Discount"))</f>
        <v>Low Discount</v>
      </c>
      <c r="N622" t="str">
        <f t="shared" si="9"/>
        <v>0-10%</v>
      </c>
    </row>
    <row r="623" spans="1:14">
      <c r="A623" s="1">
        <v>45868</v>
      </c>
      <c r="B623" t="s">
        <v>685</v>
      </c>
      <c r="C623" t="s">
        <v>15</v>
      </c>
      <c r="D623" t="s">
        <v>16</v>
      </c>
      <c r="E623">
        <v>6372.52</v>
      </c>
      <c r="F623" t="s">
        <v>26</v>
      </c>
      <c r="G623">
        <v>8628.56</v>
      </c>
      <c r="H623">
        <v>2256.04</v>
      </c>
      <c r="I623">
        <v>5</v>
      </c>
      <c r="J623">
        <v>1</v>
      </c>
      <c r="K623" t="str">
        <f>TEXT(discount_impact_on_profit_2000_rows[[#This Row],[order date]],"mmmm")</f>
        <v>July</v>
      </c>
      <c r="L623">
        <f>YEAR(discount_impact_on_profit_2000_rows[[#This Row],[order date]])</f>
        <v>2025</v>
      </c>
      <c r="M623" t="str">
        <f>IF(discount_impact_on_profit_2000_rows[[#This Row],[Discount %]]=0,"Zero Discount",IF(discount_impact_on_profit_2000_rows[[#This Row],[Discount %]]&lt;=10,"Low Discount","High Discount"))</f>
        <v>Low Discount</v>
      </c>
      <c r="N623" t="str">
        <f t="shared" si="9"/>
        <v>0-10%</v>
      </c>
    </row>
    <row r="624" spans="1:14">
      <c r="A624" s="1">
        <v>45780</v>
      </c>
      <c r="B624" t="s">
        <v>686</v>
      </c>
      <c r="C624" t="s">
        <v>15</v>
      </c>
      <c r="D624" t="s">
        <v>40</v>
      </c>
      <c r="E624">
        <v>7166.69</v>
      </c>
      <c r="F624" t="s">
        <v>26</v>
      </c>
      <c r="G624">
        <v>9508.2000000000007</v>
      </c>
      <c r="H624">
        <v>2341.5100000000002</v>
      </c>
      <c r="I624">
        <v>0</v>
      </c>
      <c r="J624">
        <v>2</v>
      </c>
      <c r="K624" t="str">
        <f>TEXT(discount_impact_on_profit_2000_rows[[#This Row],[order date]],"mmmm")</f>
        <v>May</v>
      </c>
      <c r="L624">
        <f>YEAR(discount_impact_on_profit_2000_rows[[#This Row],[order date]])</f>
        <v>2025</v>
      </c>
      <c r="M624" t="str">
        <f>IF(discount_impact_on_profit_2000_rows[[#This Row],[Discount %]]=0,"Zero Discount",IF(discount_impact_on_profit_2000_rows[[#This Row],[Discount %]]&lt;=10,"Low Discount","High Discount"))</f>
        <v>Zero Discount</v>
      </c>
      <c r="N624" t="str">
        <f t="shared" si="9"/>
        <v>0-10%</v>
      </c>
    </row>
    <row r="625" spans="1:14">
      <c r="A625" s="1">
        <v>46012</v>
      </c>
      <c r="B625" t="s">
        <v>687</v>
      </c>
      <c r="C625" t="s">
        <v>53</v>
      </c>
      <c r="D625" t="s">
        <v>59</v>
      </c>
      <c r="E625">
        <v>8575.14</v>
      </c>
      <c r="F625" t="s">
        <v>23</v>
      </c>
      <c r="G625">
        <v>11271.19</v>
      </c>
      <c r="H625">
        <v>2696.05</v>
      </c>
      <c r="I625">
        <v>15</v>
      </c>
      <c r="J625">
        <v>3</v>
      </c>
      <c r="K625" t="str">
        <f>TEXT(discount_impact_on_profit_2000_rows[[#This Row],[order date]],"mmmm")</f>
        <v>December</v>
      </c>
      <c r="L625">
        <f>YEAR(discount_impact_on_profit_2000_rows[[#This Row],[order date]])</f>
        <v>2025</v>
      </c>
      <c r="M625" t="str">
        <f>IF(discount_impact_on_profit_2000_rows[[#This Row],[Discount %]]=0,"Zero Discount",IF(discount_impact_on_profit_2000_rows[[#This Row],[Discount %]]&lt;=10,"Low Discount","High Discount"))</f>
        <v>High Discount</v>
      </c>
      <c r="N625" t="str">
        <f t="shared" si="9"/>
        <v>10-20%</v>
      </c>
    </row>
    <row r="626" spans="1:14">
      <c r="A626" s="1">
        <v>45382</v>
      </c>
      <c r="B626" t="s">
        <v>688</v>
      </c>
      <c r="C626" t="s">
        <v>15</v>
      </c>
      <c r="D626" t="s">
        <v>28</v>
      </c>
      <c r="E626">
        <v>3600.81</v>
      </c>
      <c r="F626" t="s">
        <v>31</v>
      </c>
      <c r="G626">
        <v>5199.37</v>
      </c>
      <c r="H626">
        <v>1598.56</v>
      </c>
      <c r="I626">
        <v>10</v>
      </c>
      <c r="J626">
        <v>1</v>
      </c>
      <c r="K626" t="str">
        <f>TEXT(discount_impact_on_profit_2000_rows[[#This Row],[order date]],"mmmm")</f>
        <v>March</v>
      </c>
      <c r="L626">
        <f>YEAR(discount_impact_on_profit_2000_rows[[#This Row],[order date]])</f>
        <v>2024</v>
      </c>
      <c r="M626" t="str">
        <f>IF(discount_impact_on_profit_2000_rows[[#This Row],[Discount %]]=0,"Zero Discount",IF(discount_impact_on_profit_2000_rows[[#This Row],[Discount %]]&lt;=10,"Low Discount","High Discount"))</f>
        <v>Low Discount</v>
      </c>
      <c r="N626" t="str">
        <f t="shared" si="9"/>
        <v>0-10%</v>
      </c>
    </row>
    <row r="627" spans="1:14">
      <c r="A627" s="1">
        <v>45664</v>
      </c>
      <c r="B627" t="s">
        <v>689</v>
      </c>
      <c r="C627" t="s">
        <v>53</v>
      </c>
      <c r="D627" t="s">
        <v>54</v>
      </c>
      <c r="E627">
        <v>9772</v>
      </c>
      <c r="F627" t="s">
        <v>31</v>
      </c>
      <c r="G627">
        <v>18558.650000000001</v>
      </c>
      <c r="H627">
        <v>8786.65</v>
      </c>
      <c r="I627">
        <v>5</v>
      </c>
      <c r="J627">
        <v>4</v>
      </c>
      <c r="K627" t="str">
        <f>TEXT(discount_impact_on_profit_2000_rows[[#This Row],[order date]],"mmmm")</f>
        <v>January</v>
      </c>
      <c r="L627">
        <f>YEAR(discount_impact_on_profit_2000_rows[[#This Row],[order date]])</f>
        <v>2025</v>
      </c>
      <c r="M627" t="str">
        <f>IF(discount_impact_on_profit_2000_rows[[#This Row],[Discount %]]=0,"Zero Discount",IF(discount_impact_on_profit_2000_rows[[#This Row],[Discount %]]&lt;=10,"Low Discount","High Discount"))</f>
        <v>Low Discount</v>
      </c>
      <c r="N627" t="str">
        <f t="shared" si="9"/>
        <v>0-10%</v>
      </c>
    </row>
    <row r="628" spans="1:14">
      <c r="A628" s="1">
        <v>45182</v>
      </c>
      <c r="B628" t="s">
        <v>690</v>
      </c>
      <c r="C628" t="s">
        <v>21</v>
      </c>
      <c r="D628" t="s">
        <v>109</v>
      </c>
      <c r="E628">
        <v>1495.71</v>
      </c>
      <c r="F628" t="s">
        <v>13</v>
      </c>
      <c r="G628">
        <v>1873.85</v>
      </c>
      <c r="H628">
        <v>378.14</v>
      </c>
      <c r="I628">
        <v>0</v>
      </c>
      <c r="J628">
        <v>2</v>
      </c>
      <c r="K628" t="str">
        <f>TEXT(discount_impact_on_profit_2000_rows[[#This Row],[order date]],"mmmm")</f>
        <v>September</v>
      </c>
      <c r="L628">
        <f>YEAR(discount_impact_on_profit_2000_rows[[#This Row],[order date]])</f>
        <v>2023</v>
      </c>
      <c r="M628" t="str">
        <f>IF(discount_impact_on_profit_2000_rows[[#This Row],[Discount %]]=0,"Zero Discount",IF(discount_impact_on_profit_2000_rows[[#This Row],[Discount %]]&lt;=10,"Low Discount","High Discount"))</f>
        <v>Zero Discount</v>
      </c>
      <c r="N628" t="str">
        <f t="shared" si="9"/>
        <v>0-10%</v>
      </c>
    </row>
    <row r="629" spans="1:14">
      <c r="A629" s="1">
        <v>45168</v>
      </c>
      <c r="B629" t="s">
        <v>691</v>
      </c>
      <c r="C629" t="s">
        <v>21</v>
      </c>
      <c r="D629" t="s">
        <v>97</v>
      </c>
      <c r="E629">
        <v>2204.79</v>
      </c>
      <c r="F629" t="s">
        <v>13</v>
      </c>
      <c r="G629">
        <v>2239.12</v>
      </c>
      <c r="H629">
        <v>34.33</v>
      </c>
      <c r="I629">
        <v>20</v>
      </c>
      <c r="J629">
        <v>1</v>
      </c>
      <c r="K629" t="str">
        <f>TEXT(discount_impact_on_profit_2000_rows[[#This Row],[order date]],"mmmm")</f>
        <v>August</v>
      </c>
      <c r="L629">
        <f>YEAR(discount_impact_on_profit_2000_rows[[#This Row],[order date]])</f>
        <v>2023</v>
      </c>
      <c r="M629" t="str">
        <f>IF(discount_impact_on_profit_2000_rows[[#This Row],[Discount %]]=0,"Zero Discount",IF(discount_impact_on_profit_2000_rows[[#This Row],[Discount %]]&lt;=10,"Low Discount","High Discount"))</f>
        <v>High Discount</v>
      </c>
      <c r="N629" t="str">
        <f t="shared" si="9"/>
        <v>10-20%</v>
      </c>
    </row>
    <row r="630" spans="1:14">
      <c r="A630" s="1">
        <v>45798</v>
      </c>
      <c r="B630" t="s">
        <v>692</v>
      </c>
      <c r="C630" t="s">
        <v>11</v>
      </c>
      <c r="D630" t="s">
        <v>207</v>
      </c>
      <c r="E630">
        <v>6801.46</v>
      </c>
      <c r="F630" t="s">
        <v>13</v>
      </c>
      <c r="G630">
        <v>14136.77</v>
      </c>
      <c r="H630">
        <v>7335.31</v>
      </c>
      <c r="I630">
        <v>10</v>
      </c>
      <c r="J630">
        <v>4</v>
      </c>
      <c r="K630" t="str">
        <f>TEXT(discount_impact_on_profit_2000_rows[[#This Row],[order date]],"mmmm")</f>
        <v>May</v>
      </c>
      <c r="L630">
        <f>YEAR(discount_impact_on_profit_2000_rows[[#This Row],[order date]])</f>
        <v>2025</v>
      </c>
      <c r="M630" t="str">
        <f>IF(discount_impact_on_profit_2000_rows[[#This Row],[Discount %]]=0,"Zero Discount",IF(discount_impact_on_profit_2000_rows[[#This Row],[Discount %]]&lt;=10,"Low Discount","High Discount"))</f>
        <v>Low Discount</v>
      </c>
      <c r="N630" t="str">
        <f t="shared" si="9"/>
        <v>0-10%</v>
      </c>
    </row>
    <row r="631" spans="1:14">
      <c r="A631" s="1">
        <v>45915</v>
      </c>
      <c r="B631" t="s">
        <v>693</v>
      </c>
      <c r="C631" t="s">
        <v>18</v>
      </c>
      <c r="D631" t="s">
        <v>88</v>
      </c>
      <c r="E631">
        <v>71.73</v>
      </c>
      <c r="F631" t="s">
        <v>23</v>
      </c>
      <c r="G631">
        <v>77.510000000000005</v>
      </c>
      <c r="H631">
        <v>5.78</v>
      </c>
      <c r="I631">
        <v>25</v>
      </c>
      <c r="J631">
        <v>1</v>
      </c>
      <c r="K631" t="str">
        <f>TEXT(discount_impact_on_profit_2000_rows[[#This Row],[order date]],"mmmm")</f>
        <v>September</v>
      </c>
      <c r="L631">
        <f>YEAR(discount_impact_on_profit_2000_rows[[#This Row],[order date]])</f>
        <v>2025</v>
      </c>
      <c r="M631" t="str">
        <f>IF(discount_impact_on_profit_2000_rows[[#This Row],[Discount %]]=0,"Zero Discount",IF(discount_impact_on_profit_2000_rows[[#This Row],[Discount %]]&lt;=10,"Low Discount","High Discount"))</f>
        <v>High Discount</v>
      </c>
      <c r="N631" t="str">
        <f t="shared" si="9"/>
        <v>20-30%</v>
      </c>
    </row>
    <row r="632" spans="1:14">
      <c r="A632" s="1">
        <v>45792</v>
      </c>
      <c r="B632" t="s">
        <v>694</v>
      </c>
      <c r="C632" t="s">
        <v>21</v>
      </c>
      <c r="D632" t="s">
        <v>109</v>
      </c>
      <c r="E632">
        <v>16499.310000000001</v>
      </c>
      <c r="F632" t="s">
        <v>13</v>
      </c>
      <c r="G632">
        <v>16590.28</v>
      </c>
      <c r="H632">
        <v>90.97</v>
      </c>
      <c r="I632">
        <v>30</v>
      </c>
      <c r="J632">
        <v>2</v>
      </c>
      <c r="K632" t="str">
        <f>TEXT(discount_impact_on_profit_2000_rows[[#This Row],[order date]],"mmmm")</f>
        <v>May</v>
      </c>
      <c r="L632">
        <f>YEAR(discount_impact_on_profit_2000_rows[[#This Row],[order date]])</f>
        <v>2025</v>
      </c>
      <c r="M632" t="str">
        <f>IF(discount_impact_on_profit_2000_rows[[#This Row],[Discount %]]=0,"Zero Discount",IF(discount_impact_on_profit_2000_rows[[#This Row],[Discount %]]&lt;=10,"Low Discount","High Discount"))</f>
        <v>High Discount</v>
      </c>
      <c r="N632" t="str">
        <f t="shared" si="9"/>
        <v>20-30%</v>
      </c>
    </row>
    <row r="633" spans="1:14">
      <c r="A633" s="1">
        <v>46018</v>
      </c>
      <c r="B633" t="s">
        <v>695</v>
      </c>
      <c r="C633" t="s">
        <v>33</v>
      </c>
      <c r="D633" t="s">
        <v>34</v>
      </c>
      <c r="E633">
        <v>6885.02</v>
      </c>
      <c r="F633" t="s">
        <v>23</v>
      </c>
      <c r="G633">
        <v>7821</v>
      </c>
      <c r="H633">
        <v>935.98</v>
      </c>
      <c r="I633">
        <v>20</v>
      </c>
      <c r="J633">
        <v>4</v>
      </c>
      <c r="K633" t="str">
        <f>TEXT(discount_impact_on_profit_2000_rows[[#This Row],[order date]],"mmmm")</f>
        <v>December</v>
      </c>
      <c r="L633">
        <f>YEAR(discount_impact_on_profit_2000_rows[[#This Row],[order date]])</f>
        <v>2025</v>
      </c>
      <c r="M633" t="str">
        <f>IF(discount_impact_on_profit_2000_rows[[#This Row],[Discount %]]=0,"Zero Discount",IF(discount_impact_on_profit_2000_rows[[#This Row],[Discount %]]&lt;=10,"Low Discount","High Discount"))</f>
        <v>High Discount</v>
      </c>
      <c r="N633" t="str">
        <f t="shared" si="9"/>
        <v>10-20%</v>
      </c>
    </row>
    <row r="634" spans="1:14">
      <c r="A634" s="1">
        <v>45485</v>
      </c>
      <c r="B634" t="s">
        <v>696</v>
      </c>
      <c r="C634" t="s">
        <v>53</v>
      </c>
      <c r="D634" t="s">
        <v>152</v>
      </c>
      <c r="E634">
        <v>4101.3500000000004</v>
      </c>
      <c r="F634" t="s">
        <v>23</v>
      </c>
      <c r="G634">
        <v>5958.43</v>
      </c>
      <c r="H634">
        <v>1857.08</v>
      </c>
      <c r="I634">
        <v>20</v>
      </c>
      <c r="J634">
        <v>4</v>
      </c>
      <c r="K634" t="str">
        <f>TEXT(discount_impact_on_profit_2000_rows[[#This Row],[order date]],"mmmm")</f>
        <v>July</v>
      </c>
      <c r="L634">
        <f>YEAR(discount_impact_on_profit_2000_rows[[#This Row],[order date]])</f>
        <v>2024</v>
      </c>
      <c r="M634" t="str">
        <f>IF(discount_impact_on_profit_2000_rows[[#This Row],[Discount %]]=0,"Zero Discount",IF(discount_impact_on_profit_2000_rows[[#This Row],[Discount %]]&lt;=10,"Low Discount","High Discount"))</f>
        <v>High Discount</v>
      </c>
      <c r="N634" t="str">
        <f t="shared" si="9"/>
        <v>10-20%</v>
      </c>
    </row>
    <row r="635" spans="1:14">
      <c r="A635" s="1">
        <v>45723</v>
      </c>
      <c r="B635" t="s">
        <v>697</v>
      </c>
      <c r="C635" t="s">
        <v>33</v>
      </c>
      <c r="D635" t="s">
        <v>203</v>
      </c>
      <c r="E635">
        <v>8654.08</v>
      </c>
      <c r="F635" t="s">
        <v>26</v>
      </c>
      <c r="G635">
        <v>10417.299999999999</v>
      </c>
      <c r="H635">
        <v>1763.22</v>
      </c>
      <c r="I635">
        <v>30</v>
      </c>
      <c r="J635">
        <v>2</v>
      </c>
      <c r="K635" t="str">
        <f>TEXT(discount_impact_on_profit_2000_rows[[#This Row],[order date]],"mmmm")</f>
        <v>March</v>
      </c>
      <c r="L635">
        <f>YEAR(discount_impact_on_profit_2000_rows[[#This Row],[order date]])</f>
        <v>2025</v>
      </c>
      <c r="M635" t="str">
        <f>IF(discount_impact_on_profit_2000_rows[[#This Row],[Discount %]]=0,"Zero Discount",IF(discount_impact_on_profit_2000_rows[[#This Row],[Discount %]]&lt;=10,"Low Discount","High Discount"))</f>
        <v>High Discount</v>
      </c>
      <c r="N635" t="str">
        <f t="shared" si="9"/>
        <v>20-30%</v>
      </c>
    </row>
    <row r="636" spans="1:14">
      <c r="A636" s="1">
        <v>45126</v>
      </c>
      <c r="B636" t="s">
        <v>698</v>
      </c>
      <c r="C636" t="s">
        <v>18</v>
      </c>
      <c r="D636" t="s">
        <v>50</v>
      </c>
      <c r="E636">
        <v>6619.72</v>
      </c>
      <c r="F636" t="s">
        <v>36</v>
      </c>
      <c r="G636">
        <v>8627.9500000000007</v>
      </c>
      <c r="H636">
        <v>2008.23</v>
      </c>
      <c r="I636">
        <v>10</v>
      </c>
      <c r="J636">
        <v>6</v>
      </c>
      <c r="K636" t="str">
        <f>TEXT(discount_impact_on_profit_2000_rows[[#This Row],[order date]],"mmmm")</f>
        <v>July</v>
      </c>
      <c r="L636">
        <f>YEAR(discount_impact_on_profit_2000_rows[[#This Row],[order date]])</f>
        <v>2023</v>
      </c>
      <c r="M636" t="str">
        <f>IF(discount_impact_on_profit_2000_rows[[#This Row],[Discount %]]=0,"Zero Discount",IF(discount_impact_on_profit_2000_rows[[#This Row],[Discount %]]&lt;=10,"Low Discount","High Discount"))</f>
        <v>Low Discount</v>
      </c>
      <c r="N636" t="str">
        <f t="shared" si="9"/>
        <v>0-10%</v>
      </c>
    </row>
    <row r="637" spans="1:14">
      <c r="A637" s="1">
        <v>45512</v>
      </c>
      <c r="B637" t="s">
        <v>699</v>
      </c>
      <c r="C637" t="s">
        <v>15</v>
      </c>
      <c r="D637" t="s">
        <v>28</v>
      </c>
      <c r="E637">
        <v>5365.03</v>
      </c>
      <c r="F637" t="s">
        <v>26</v>
      </c>
      <c r="G637">
        <v>7797.66</v>
      </c>
      <c r="H637">
        <v>2432.63</v>
      </c>
      <c r="I637">
        <v>0</v>
      </c>
      <c r="J637">
        <v>3</v>
      </c>
      <c r="K637" t="str">
        <f>TEXT(discount_impact_on_profit_2000_rows[[#This Row],[order date]],"mmmm")</f>
        <v>August</v>
      </c>
      <c r="L637">
        <f>YEAR(discount_impact_on_profit_2000_rows[[#This Row],[order date]])</f>
        <v>2024</v>
      </c>
      <c r="M637" t="str">
        <f>IF(discount_impact_on_profit_2000_rows[[#This Row],[Discount %]]=0,"Zero Discount",IF(discount_impact_on_profit_2000_rows[[#This Row],[Discount %]]&lt;=10,"Low Discount","High Discount"))</f>
        <v>Zero Discount</v>
      </c>
      <c r="N637" t="str">
        <f t="shared" si="9"/>
        <v>0-10%</v>
      </c>
    </row>
    <row r="638" spans="1:14">
      <c r="A638" s="1">
        <v>45565</v>
      </c>
      <c r="B638" t="s">
        <v>700</v>
      </c>
      <c r="C638" t="s">
        <v>18</v>
      </c>
      <c r="D638" t="s">
        <v>104</v>
      </c>
      <c r="E638">
        <v>152.41</v>
      </c>
      <c r="F638" t="s">
        <v>23</v>
      </c>
      <c r="G638">
        <v>304.24</v>
      </c>
      <c r="H638">
        <v>151.83000000000001</v>
      </c>
      <c r="I638">
        <v>0</v>
      </c>
      <c r="J638">
        <v>3</v>
      </c>
      <c r="K638" t="str">
        <f>TEXT(discount_impact_on_profit_2000_rows[[#This Row],[order date]],"mmmm")</f>
        <v>September</v>
      </c>
      <c r="L638">
        <f>YEAR(discount_impact_on_profit_2000_rows[[#This Row],[order date]])</f>
        <v>2024</v>
      </c>
      <c r="M638" t="str">
        <f>IF(discount_impact_on_profit_2000_rows[[#This Row],[Discount %]]=0,"Zero Discount",IF(discount_impact_on_profit_2000_rows[[#This Row],[Discount %]]&lt;=10,"Low Discount","High Discount"))</f>
        <v>Zero Discount</v>
      </c>
      <c r="N638" t="str">
        <f t="shared" si="9"/>
        <v>0-10%</v>
      </c>
    </row>
    <row r="639" spans="1:14">
      <c r="A639" s="1">
        <v>45530</v>
      </c>
      <c r="B639" t="s">
        <v>701</v>
      </c>
      <c r="C639" t="s">
        <v>11</v>
      </c>
      <c r="D639" t="s">
        <v>30</v>
      </c>
      <c r="E639">
        <v>1282.26</v>
      </c>
      <c r="F639" t="s">
        <v>36</v>
      </c>
      <c r="G639">
        <v>2179.27</v>
      </c>
      <c r="H639">
        <v>897.01</v>
      </c>
      <c r="I639">
        <v>0</v>
      </c>
      <c r="J639">
        <v>4</v>
      </c>
      <c r="K639" t="str">
        <f>TEXT(discount_impact_on_profit_2000_rows[[#This Row],[order date]],"mmmm")</f>
        <v>August</v>
      </c>
      <c r="L639">
        <f>YEAR(discount_impact_on_profit_2000_rows[[#This Row],[order date]])</f>
        <v>2024</v>
      </c>
      <c r="M639" t="str">
        <f>IF(discount_impact_on_profit_2000_rows[[#This Row],[Discount %]]=0,"Zero Discount",IF(discount_impact_on_profit_2000_rows[[#This Row],[Discount %]]&lt;=10,"Low Discount","High Discount"))</f>
        <v>Zero Discount</v>
      </c>
      <c r="N639" t="str">
        <f t="shared" si="9"/>
        <v>0-10%</v>
      </c>
    </row>
    <row r="640" spans="1:14">
      <c r="A640" s="1">
        <v>45960</v>
      </c>
      <c r="B640" t="s">
        <v>702</v>
      </c>
      <c r="C640" t="s">
        <v>18</v>
      </c>
      <c r="D640" t="s">
        <v>50</v>
      </c>
      <c r="E640">
        <v>858.17</v>
      </c>
      <c r="F640" t="s">
        <v>36</v>
      </c>
      <c r="G640">
        <v>1207.96</v>
      </c>
      <c r="H640">
        <v>349.79</v>
      </c>
      <c r="I640">
        <v>15</v>
      </c>
      <c r="J640">
        <v>3</v>
      </c>
      <c r="K640" t="str">
        <f>TEXT(discount_impact_on_profit_2000_rows[[#This Row],[order date]],"mmmm")</f>
        <v>October</v>
      </c>
      <c r="L640">
        <f>YEAR(discount_impact_on_profit_2000_rows[[#This Row],[order date]])</f>
        <v>2025</v>
      </c>
      <c r="M640" t="str">
        <f>IF(discount_impact_on_profit_2000_rows[[#This Row],[Discount %]]=0,"Zero Discount",IF(discount_impact_on_profit_2000_rows[[#This Row],[Discount %]]&lt;=10,"Low Discount","High Discount"))</f>
        <v>High Discount</v>
      </c>
      <c r="N640" t="str">
        <f t="shared" si="9"/>
        <v>10-20%</v>
      </c>
    </row>
    <row r="641" spans="1:14">
      <c r="A641" s="1">
        <v>45006</v>
      </c>
      <c r="B641" t="s">
        <v>703</v>
      </c>
      <c r="C641" t="s">
        <v>11</v>
      </c>
      <c r="D641" t="s">
        <v>80</v>
      </c>
      <c r="E641">
        <v>790.04</v>
      </c>
      <c r="F641" t="s">
        <v>26</v>
      </c>
      <c r="G641">
        <v>1683.57</v>
      </c>
      <c r="H641">
        <v>893.53</v>
      </c>
      <c r="I641">
        <v>0</v>
      </c>
      <c r="J641">
        <v>4</v>
      </c>
      <c r="K641" t="str">
        <f>TEXT(discount_impact_on_profit_2000_rows[[#This Row],[order date]],"mmmm")</f>
        <v>March</v>
      </c>
      <c r="L641">
        <f>YEAR(discount_impact_on_profit_2000_rows[[#This Row],[order date]])</f>
        <v>2023</v>
      </c>
      <c r="M641" t="str">
        <f>IF(discount_impact_on_profit_2000_rows[[#This Row],[Discount %]]=0,"Zero Discount",IF(discount_impact_on_profit_2000_rows[[#This Row],[Discount %]]&lt;=10,"Low Discount","High Discount"))</f>
        <v>Zero Discount</v>
      </c>
      <c r="N641" t="str">
        <f t="shared" si="9"/>
        <v>0-10%</v>
      </c>
    </row>
    <row r="642" spans="1:14">
      <c r="A642" s="1">
        <v>45341</v>
      </c>
      <c r="B642" t="s">
        <v>704</v>
      </c>
      <c r="C642" t="s">
        <v>11</v>
      </c>
      <c r="D642" t="s">
        <v>25</v>
      </c>
      <c r="E642">
        <v>1090.9100000000001</v>
      </c>
      <c r="F642" t="s">
        <v>26</v>
      </c>
      <c r="G642">
        <v>1959.38</v>
      </c>
      <c r="H642">
        <v>868.47</v>
      </c>
      <c r="I642">
        <v>10</v>
      </c>
      <c r="J642">
        <v>6</v>
      </c>
      <c r="K642" t="str">
        <f>TEXT(discount_impact_on_profit_2000_rows[[#This Row],[order date]],"mmmm")</f>
        <v>February</v>
      </c>
      <c r="L642">
        <f>YEAR(discount_impact_on_profit_2000_rows[[#This Row],[order date]])</f>
        <v>2024</v>
      </c>
      <c r="M642" t="str">
        <f>IF(discount_impact_on_profit_2000_rows[[#This Row],[Discount %]]=0,"Zero Discount",IF(discount_impact_on_profit_2000_rows[[#This Row],[Discount %]]&lt;=10,"Low Discount","High Discount"))</f>
        <v>Low Discount</v>
      </c>
      <c r="N642" t="str">
        <f t="shared" ref="N642:N705" si="10">IF(I642&lt;=10,"0-10%",IF(I642&lt;=20,"10-20%",IF(I642&lt;=30,"20-30%","30%+")))</f>
        <v>0-10%</v>
      </c>
    </row>
    <row r="643" spans="1:14">
      <c r="A643" s="1">
        <v>45074</v>
      </c>
      <c r="B643" t="s">
        <v>705</v>
      </c>
      <c r="C643" t="s">
        <v>53</v>
      </c>
      <c r="D643" t="s">
        <v>95</v>
      </c>
      <c r="E643">
        <v>3190.94</v>
      </c>
      <c r="F643" t="s">
        <v>31</v>
      </c>
      <c r="G643">
        <v>3898.85</v>
      </c>
      <c r="H643">
        <v>707.91</v>
      </c>
      <c r="I643">
        <v>20</v>
      </c>
      <c r="J643">
        <v>4</v>
      </c>
      <c r="K643" t="str">
        <f>TEXT(discount_impact_on_profit_2000_rows[[#This Row],[order date]],"mmmm")</f>
        <v>May</v>
      </c>
      <c r="L643">
        <f>YEAR(discount_impact_on_profit_2000_rows[[#This Row],[order date]])</f>
        <v>2023</v>
      </c>
      <c r="M643" t="str">
        <f>IF(discount_impact_on_profit_2000_rows[[#This Row],[Discount %]]=0,"Zero Discount",IF(discount_impact_on_profit_2000_rows[[#This Row],[Discount %]]&lt;=10,"Low Discount","High Discount"))</f>
        <v>High Discount</v>
      </c>
      <c r="N643" t="str">
        <f t="shared" si="10"/>
        <v>10-20%</v>
      </c>
    </row>
    <row r="644" spans="1:14">
      <c r="A644" s="1">
        <v>45186</v>
      </c>
      <c r="B644" t="s">
        <v>706</v>
      </c>
      <c r="C644" t="s">
        <v>18</v>
      </c>
      <c r="D644" t="s">
        <v>140</v>
      </c>
      <c r="E644">
        <v>6055.01</v>
      </c>
      <c r="F644" t="s">
        <v>26</v>
      </c>
      <c r="G644">
        <v>8262.35</v>
      </c>
      <c r="H644">
        <v>2207.34</v>
      </c>
      <c r="I644">
        <v>5</v>
      </c>
      <c r="J644">
        <v>8</v>
      </c>
      <c r="K644" t="str">
        <f>TEXT(discount_impact_on_profit_2000_rows[[#This Row],[order date]],"mmmm")</f>
        <v>September</v>
      </c>
      <c r="L644">
        <f>YEAR(discount_impact_on_profit_2000_rows[[#This Row],[order date]])</f>
        <v>2023</v>
      </c>
      <c r="M644" t="str">
        <f>IF(discount_impact_on_profit_2000_rows[[#This Row],[Discount %]]=0,"Zero Discount",IF(discount_impact_on_profit_2000_rows[[#This Row],[Discount %]]&lt;=10,"Low Discount","High Discount"))</f>
        <v>Low Discount</v>
      </c>
      <c r="N644" t="str">
        <f t="shared" si="10"/>
        <v>0-10%</v>
      </c>
    </row>
    <row r="645" spans="1:14">
      <c r="A645" s="1">
        <v>45626</v>
      </c>
      <c r="B645" t="s">
        <v>707</v>
      </c>
      <c r="C645" t="s">
        <v>11</v>
      </c>
      <c r="D645" t="s">
        <v>38</v>
      </c>
      <c r="E645">
        <v>1753.54</v>
      </c>
      <c r="F645" t="s">
        <v>31</v>
      </c>
      <c r="G645">
        <v>2710.95</v>
      </c>
      <c r="H645">
        <v>957.41</v>
      </c>
      <c r="I645">
        <v>10</v>
      </c>
      <c r="J645">
        <v>1</v>
      </c>
      <c r="K645" t="str">
        <f>TEXT(discount_impact_on_profit_2000_rows[[#This Row],[order date]],"mmmm")</f>
        <v>November</v>
      </c>
      <c r="L645">
        <f>YEAR(discount_impact_on_profit_2000_rows[[#This Row],[order date]])</f>
        <v>2024</v>
      </c>
      <c r="M645" t="str">
        <f>IF(discount_impact_on_profit_2000_rows[[#This Row],[Discount %]]=0,"Zero Discount",IF(discount_impact_on_profit_2000_rows[[#This Row],[Discount %]]&lt;=10,"Low Discount","High Discount"))</f>
        <v>Low Discount</v>
      </c>
      <c r="N645" t="str">
        <f t="shared" si="10"/>
        <v>0-10%</v>
      </c>
    </row>
    <row r="646" spans="1:14">
      <c r="A646" s="1">
        <v>45044</v>
      </c>
      <c r="B646" t="s">
        <v>708</v>
      </c>
      <c r="C646" t="s">
        <v>21</v>
      </c>
      <c r="D646" t="s">
        <v>57</v>
      </c>
      <c r="E646">
        <v>32747.48</v>
      </c>
      <c r="F646" t="s">
        <v>23</v>
      </c>
      <c r="G646">
        <v>40475.57</v>
      </c>
      <c r="H646">
        <v>7728.09</v>
      </c>
      <c r="I646">
        <v>0</v>
      </c>
      <c r="J646">
        <v>2</v>
      </c>
      <c r="K646" t="str">
        <f>TEXT(discount_impact_on_profit_2000_rows[[#This Row],[order date]],"mmmm")</f>
        <v>April</v>
      </c>
      <c r="L646">
        <f>YEAR(discount_impact_on_profit_2000_rows[[#This Row],[order date]])</f>
        <v>2023</v>
      </c>
      <c r="M646" t="str">
        <f>IF(discount_impact_on_profit_2000_rows[[#This Row],[Discount %]]=0,"Zero Discount",IF(discount_impact_on_profit_2000_rows[[#This Row],[Discount %]]&lt;=10,"Low Discount","High Discount"))</f>
        <v>Zero Discount</v>
      </c>
      <c r="N646" t="str">
        <f t="shared" si="10"/>
        <v>0-10%</v>
      </c>
    </row>
    <row r="647" spans="1:14">
      <c r="A647" s="1">
        <v>45744</v>
      </c>
      <c r="B647" t="s">
        <v>709</v>
      </c>
      <c r="C647" t="s">
        <v>21</v>
      </c>
      <c r="D647" t="s">
        <v>109</v>
      </c>
      <c r="E647">
        <v>168996.94</v>
      </c>
      <c r="F647" t="s">
        <v>31</v>
      </c>
      <c r="G647">
        <v>236660.47</v>
      </c>
      <c r="H647">
        <v>67663.53</v>
      </c>
      <c r="I647">
        <v>5</v>
      </c>
      <c r="J647">
        <v>8</v>
      </c>
      <c r="K647" t="str">
        <f>TEXT(discount_impact_on_profit_2000_rows[[#This Row],[order date]],"mmmm")</f>
        <v>March</v>
      </c>
      <c r="L647">
        <f>YEAR(discount_impact_on_profit_2000_rows[[#This Row],[order date]])</f>
        <v>2025</v>
      </c>
      <c r="M647" t="str">
        <f>IF(discount_impact_on_profit_2000_rows[[#This Row],[Discount %]]=0,"Zero Discount",IF(discount_impact_on_profit_2000_rows[[#This Row],[Discount %]]&lt;=10,"Low Discount","High Discount"))</f>
        <v>Low Discount</v>
      </c>
      <c r="N647" t="str">
        <f t="shared" si="10"/>
        <v>0-10%</v>
      </c>
    </row>
    <row r="648" spans="1:14">
      <c r="A648" s="1">
        <v>45580</v>
      </c>
      <c r="B648" t="s">
        <v>710</v>
      </c>
      <c r="C648" t="s">
        <v>33</v>
      </c>
      <c r="D648" t="s">
        <v>203</v>
      </c>
      <c r="E648">
        <v>12272.12</v>
      </c>
      <c r="F648" t="s">
        <v>26</v>
      </c>
      <c r="G648">
        <v>17348.41</v>
      </c>
      <c r="H648">
        <v>5076.29</v>
      </c>
      <c r="I648">
        <v>5</v>
      </c>
      <c r="J648">
        <v>2</v>
      </c>
      <c r="K648" t="str">
        <f>TEXT(discount_impact_on_profit_2000_rows[[#This Row],[order date]],"mmmm")</f>
        <v>October</v>
      </c>
      <c r="L648">
        <f>YEAR(discount_impact_on_profit_2000_rows[[#This Row],[order date]])</f>
        <v>2024</v>
      </c>
      <c r="M648" t="str">
        <f>IF(discount_impact_on_profit_2000_rows[[#This Row],[Discount %]]=0,"Zero Discount",IF(discount_impact_on_profit_2000_rows[[#This Row],[Discount %]]&lt;=10,"Low Discount","High Discount"))</f>
        <v>Low Discount</v>
      </c>
      <c r="N648" t="str">
        <f t="shared" si="10"/>
        <v>0-10%</v>
      </c>
    </row>
    <row r="649" spans="1:14">
      <c r="A649" s="1">
        <v>45273</v>
      </c>
      <c r="B649" t="s">
        <v>711</v>
      </c>
      <c r="C649" t="s">
        <v>18</v>
      </c>
      <c r="D649" t="s">
        <v>188</v>
      </c>
      <c r="E649">
        <v>341.07</v>
      </c>
      <c r="F649" t="s">
        <v>26</v>
      </c>
      <c r="G649">
        <v>449.46</v>
      </c>
      <c r="H649">
        <v>108.39</v>
      </c>
      <c r="I649">
        <v>20</v>
      </c>
      <c r="J649">
        <v>5</v>
      </c>
      <c r="K649" t="str">
        <f>TEXT(discount_impact_on_profit_2000_rows[[#This Row],[order date]],"mmmm")</f>
        <v>December</v>
      </c>
      <c r="L649">
        <f>YEAR(discount_impact_on_profit_2000_rows[[#This Row],[order date]])</f>
        <v>2023</v>
      </c>
      <c r="M649" t="str">
        <f>IF(discount_impact_on_profit_2000_rows[[#This Row],[Discount %]]=0,"Zero Discount",IF(discount_impact_on_profit_2000_rows[[#This Row],[Discount %]]&lt;=10,"Low Discount","High Discount"))</f>
        <v>High Discount</v>
      </c>
      <c r="N649" t="str">
        <f t="shared" si="10"/>
        <v>10-20%</v>
      </c>
    </row>
    <row r="650" spans="1:14">
      <c r="A650" s="1">
        <v>45862</v>
      </c>
      <c r="B650" t="s">
        <v>712</v>
      </c>
      <c r="C650" t="s">
        <v>15</v>
      </c>
      <c r="D650" t="s">
        <v>86</v>
      </c>
      <c r="E650">
        <v>3601.09</v>
      </c>
      <c r="F650" t="s">
        <v>31</v>
      </c>
      <c r="G650">
        <v>3604.41</v>
      </c>
      <c r="H650">
        <v>3.32</v>
      </c>
      <c r="I650">
        <v>22</v>
      </c>
      <c r="J650">
        <v>3</v>
      </c>
      <c r="K650" t="str">
        <f>TEXT(discount_impact_on_profit_2000_rows[[#This Row],[order date]],"mmmm")</f>
        <v>July</v>
      </c>
      <c r="L650">
        <f>YEAR(discount_impact_on_profit_2000_rows[[#This Row],[order date]])</f>
        <v>2025</v>
      </c>
      <c r="M650" t="str">
        <f>IF(discount_impact_on_profit_2000_rows[[#This Row],[Discount %]]=0,"Zero Discount",IF(discount_impact_on_profit_2000_rows[[#This Row],[Discount %]]&lt;=10,"Low Discount","High Discount"))</f>
        <v>High Discount</v>
      </c>
      <c r="N650" t="str">
        <f t="shared" si="10"/>
        <v>20-30%</v>
      </c>
    </row>
    <row r="651" spans="1:14">
      <c r="A651" s="1">
        <v>45499</v>
      </c>
      <c r="B651" t="s">
        <v>713</v>
      </c>
      <c r="C651" t="s">
        <v>33</v>
      </c>
      <c r="D651" t="s">
        <v>92</v>
      </c>
      <c r="E651">
        <v>6313.74</v>
      </c>
      <c r="F651" t="s">
        <v>36</v>
      </c>
      <c r="G651">
        <v>10370.11</v>
      </c>
      <c r="H651">
        <v>4056.37</v>
      </c>
      <c r="I651">
        <v>0</v>
      </c>
      <c r="J651">
        <v>1</v>
      </c>
      <c r="K651" t="str">
        <f>TEXT(discount_impact_on_profit_2000_rows[[#This Row],[order date]],"mmmm")</f>
        <v>July</v>
      </c>
      <c r="L651">
        <f>YEAR(discount_impact_on_profit_2000_rows[[#This Row],[order date]])</f>
        <v>2024</v>
      </c>
      <c r="M651" t="str">
        <f>IF(discount_impact_on_profit_2000_rows[[#This Row],[Discount %]]=0,"Zero Discount",IF(discount_impact_on_profit_2000_rows[[#This Row],[Discount %]]&lt;=10,"Low Discount","High Discount"))</f>
        <v>Zero Discount</v>
      </c>
      <c r="N651" t="str">
        <f t="shared" si="10"/>
        <v>0-10%</v>
      </c>
    </row>
    <row r="652" spans="1:14">
      <c r="A652" s="1">
        <v>45621</v>
      </c>
      <c r="B652" t="s">
        <v>714</v>
      </c>
      <c r="C652" t="s">
        <v>21</v>
      </c>
      <c r="D652" t="s">
        <v>82</v>
      </c>
      <c r="E652">
        <v>2701.29</v>
      </c>
      <c r="F652" t="s">
        <v>13</v>
      </c>
      <c r="G652">
        <v>2878</v>
      </c>
      <c r="H652">
        <v>176.71</v>
      </c>
      <c r="I652">
        <v>10</v>
      </c>
      <c r="J652">
        <v>3</v>
      </c>
      <c r="K652" t="str">
        <f>TEXT(discount_impact_on_profit_2000_rows[[#This Row],[order date]],"mmmm")</f>
        <v>November</v>
      </c>
      <c r="L652">
        <f>YEAR(discount_impact_on_profit_2000_rows[[#This Row],[order date]])</f>
        <v>2024</v>
      </c>
      <c r="M652" t="str">
        <f>IF(discount_impact_on_profit_2000_rows[[#This Row],[Discount %]]=0,"Zero Discount",IF(discount_impact_on_profit_2000_rows[[#This Row],[Discount %]]&lt;=10,"Low Discount","High Discount"))</f>
        <v>Low Discount</v>
      </c>
      <c r="N652" t="str">
        <f t="shared" si="10"/>
        <v>0-10%</v>
      </c>
    </row>
    <row r="653" spans="1:14">
      <c r="A653" s="1">
        <v>45102</v>
      </c>
      <c r="B653" t="s">
        <v>715</v>
      </c>
      <c r="C653" t="s">
        <v>18</v>
      </c>
      <c r="D653" t="s">
        <v>188</v>
      </c>
      <c r="E653">
        <v>2924.91</v>
      </c>
      <c r="F653" t="s">
        <v>26</v>
      </c>
      <c r="G653">
        <v>3857.7</v>
      </c>
      <c r="H653">
        <v>932.79</v>
      </c>
      <c r="I653">
        <v>25</v>
      </c>
      <c r="J653">
        <v>3</v>
      </c>
      <c r="K653" t="str">
        <f>TEXT(discount_impact_on_profit_2000_rows[[#This Row],[order date]],"mmmm")</f>
        <v>June</v>
      </c>
      <c r="L653">
        <f>YEAR(discount_impact_on_profit_2000_rows[[#This Row],[order date]])</f>
        <v>2023</v>
      </c>
      <c r="M653" t="str">
        <f>IF(discount_impact_on_profit_2000_rows[[#This Row],[Discount %]]=0,"Zero Discount",IF(discount_impact_on_profit_2000_rows[[#This Row],[Discount %]]&lt;=10,"Low Discount","High Discount"))</f>
        <v>High Discount</v>
      </c>
      <c r="N653" t="str">
        <f t="shared" si="10"/>
        <v>20-30%</v>
      </c>
    </row>
    <row r="654" spans="1:14">
      <c r="A654" s="1">
        <v>45442</v>
      </c>
      <c r="B654" t="s">
        <v>716</v>
      </c>
      <c r="C654" t="s">
        <v>53</v>
      </c>
      <c r="D654" t="s">
        <v>113</v>
      </c>
      <c r="E654">
        <v>2644.05</v>
      </c>
      <c r="F654" t="s">
        <v>36</v>
      </c>
      <c r="G654">
        <v>4617.8999999999996</v>
      </c>
      <c r="H654">
        <v>1973.85</v>
      </c>
      <c r="I654">
        <v>10</v>
      </c>
      <c r="J654">
        <v>1</v>
      </c>
      <c r="K654" t="str">
        <f>TEXT(discount_impact_on_profit_2000_rows[[#This Row],[order date]],"mmmm")</f>
        <v>May</v>
      </c>
      <c r="L654">
        <f>YEAR(discount_impact_on_profit_2000_rows[[#This Row],[order date]])</f>
        <v>2024</v>
      </c>
      <c r="M654" t="str">
        <f>IF(discount_impact_on_profit_2000_rows[[#This Row],[Discount %]]=0,"Zero Discount",IF(discount_impact_on_profit_2000_rows[[#This Row],[Discount %]]&lt;=10,"Low Discount","High Discount"))</f>
        <v>Low Discount</v>
      </c>
      <c r="N654" t="str">
        <f t="shared" si="10"/>
        <v>0-10%</v>
      </c>
    </row>
    <row r="655" spans="1:14">
      <c r="A655" s="1">
        <v>45615</v>
      </c>
      <c r="B655" t="s">
        <v>717</v>
      </c>
      <c r="C655" t="s">
        <v>18</v>
      </c>
      <c r="D655" t="s">
        <v>140</v>
      </c>
      <c r="E655">
        <v>147.75</v>
      </c>
      <c r="F655" t="s">
        <v>31</v>
      </c>
      <c r="G655">
        <v>222.87</v>
      </c>
      <c r="H655">
        <v>75.12</v>
      </c>
      <c r="I655">
        <v>0</v>
      </c>
      <c r="J655">
        <v>1</v>
      </c>
      <c r="K655" t="str">
        <f>TEXT(discount_impact_on_profit_2000_rows[[#This Row],[order date]],"mmmm")</f>
        <v>November</v>
      </c>
      <c r="L655">
        <f>YEAR(discount_impact_on_profit_2000_rows[[#This Row],[order date]])</f>
        <v>2024</v>
      </c>
      <c r="M655" t="str">
        <f>IF(discount_impact_on_profit_2000_rows[[#This Row],[Discount %]]=0,"Zero Discount",IF(discount_impact_on_profit_2000_rows[[#This Row],[Discount %]]&lt;=10,"Low Discount","High Discount"))</f>
        <v>Zero Discount</v>
      </c>
      <c r="N655" t="str">
        <f t="shared" si="10"/>
        <v>0-10%</v>
      </c>
    </row>
    <row r="656" spans="1:14">
      <c r="A656" s="1">
        <v>45771</v>
      </c>
      <c r="B656" t="s">
        <v>718</v>
      </c>
      <c r="C656" t="s">
        <v>11</v>
      </c>
      <c r="D656" t="s">
        <v>12</v>
      </c>
      <c r="E656">
        <v>414.67</v>
      </c>
      <c r="F656" t="s">
        <v>23</v>
      </c>
      <c r="G656">
        <v>725</v>
      </c>
      <c r="H656">
        <v>310.33</v>
      </c>
      <c r="I656">
        <v>20</v>
      </c>
      <c r="J656">
        <v>1</v>
      </c>
      <c r="K656" t="str">
        <f>TEXT(discount_impact_on_profit_2000_rows[[#This Row],[order date]],"mmmm")</f>
        <v>April</v>
      </c>
      <c r="L656">
        <f>YEAR(discount_impact_on_profit_2000_rows[[#This Row],[order date]])</f>
        <v>2025</v>
      </c>
      <c r="M656" t="str">
        <f>IF(discount_impact_on_profit_2000_rows[[#This Row],[Discount %]]=0,"Zero Discount",IF(discount_impact_on_profit_2000_rows[[#This Row],[Discount %]]&lt;=10,"Low Discount","High Discount"))</f>
        <v>High Discount</v>
      </c>
      <c r="N656" t="str">
        <f t="shared" si="10"/>
        <v>10-20%</v>
      </c>
    </row>
    <row r="657" spans="1:14">
      <c r="A657" s="1">
        <v>45905</v>
      </c>
      <c r="B657" t="s">
        <v>719</v>
      </c>
      <c r="C657" t="s">
        <v>18</v>
      </c>
      <c r="D657" t="s">
        <v>50</v>
      </c>
      <c r="E657">
        <v>1275.24</v>
      </c>
      <c r="F657" t="s">
        <v>36</v>
      </c>
      <c r="G657">
        <v>1925.84</v>
      </c>
      <c r="H657">
        <v>650.6</v>
      </c>
      <c r="I657">
        <v>10</v>
      </c>
      <c r="J657">
        <v>10</v>
      </c>
      <c r="K657" t="str">
        <f>TEXT(discount_impact_on_profit_2000_rows[[#This Row],[order date]],"mmmm")</f>
        <v>September</v>
      </c>
      <c r="L657">
        <f>YEAR(discount_impact_on_profit_2000_rows[[#This Row],[order date]])</f>
        <v>2025</v>
      </c>
      <c r="M657" t="str">
        <f>IF(discount_impact_on_profit_2000_rows[[#This Row],[Discount %]]=0,"Zero Discount",IF(discount_impact_on_profit_2000_rows[[#This Row],[Discount %]]&lt;=10,"Low Discount","High Discount"))</f>
        <v>Low Discount</v>
      </c>
      <c r="N657" t="str">
        <f t="shared" si="10"/>
        <v>0-10%</v>
      </c>
    </row>
    <row r="658" spans="1:14">
      <c r="A658" s="1">
        <v>45882</v>
      </c>
      <c r="B658" t="s">
        <v>720</v>
      </c>
      <c r="C658" t="s">
        <v>21</v>
      </c>
      <c r="D658" t="s">
        <v>109</v>
      </c>
      <c r="E658">
        <v>7647.03</v>
      </c>
      <c r="F658" t="s">
        <v>31</v>
      </c>
      <c r="G658">
        <v>10248.69</v>
      </c>
      <c r="H658">
        <v>2601.66</v>
      </c>
      <c r="I658">
        <v>0</v>
      </c>
      <c r="J658">
        <v>1</v>
      </c>
      <c r="K658" t="str">
        <f>TEXT(discount_impact_on_profit_2000_rows[[#This Row],[order date]],"mmmm")</f>
        <v>August</v>
      </c>
      <c r="L658">
        <f>YEAR(discount_impact_on_profit_2000_rows[[#This Row],[order date]])</f>
        <v>2025</v>
      </c>
      <c r="M658" t="str">
        <f>IF(discount_impact_on_profit_2000_rows[[#This Row],[Discount %]]=0,"Zero Discount",IF(discount_impact_on_profit_2000_rows[[#This Row],[Discount %]]&lt;=10,"Low Discount","High Discount"))</f>
        <v>Zero Discount</v>
      </c>
      <c r="N658" t="str">
        <f t="shared" si="10"/>
        <v>0-10%</v>
      </c>
    </row>
    <row r="659" spans="1:14">
      <c r="A659" s="1">
        <v>45844</v>
      </c>
      <c r="B659" t="s">
        <v>721</v>
      </c>
      <c r="C659" t="s">
        <v>11</v>
      </c>
      <c r="D659" t="s">
        <v>12</v>
      </c>
      <c r="E659">
        <v>2092.9299999999998</v>
      </c>
      <c r="F659" t="s">
        <v>36</v>
      </c>
      <c r="G659">
        <v>4746.34</v>
      </c>
      <c r="H659">
        <v>2653.41</v>
      </c>
      <c r="I659">
        <v>0</v>
      </c>
      <c r="J659">
        <v>2</v>
      </c>
      <c r="K659" t="str">
        <f>TEXT(discount_impact_on_profit_2000_rows[[#This Row],[order date]],"mmmm")</f>
        <v>July</v>
      </c>
      <c r="L659">
        <f>YEAR(discount_impact_on_profit_2000_rows[[#This Row],[order date]])</f>
        <v>2025</v>
      </c>
      <c r="M659" t="str">
        <f>IF(discount_impact_on_profit_2000_rows[[#This Row],[Discount %]]=0,"Zero Discount",IF(discount_impact_on_profit_2000_rows[[#This Row],[Discount %]]&lt;=10,"Low Discount","High Discount"))</f>
        <v>Zero Discount</v>
      </c>
      <c r="N659" t="str">
        <f t="shared" si="10"/>
        <v>0-10%</v>
      </c>
    </row>
    <row r="660" spans="1:14">
      <c r="A660" s="1">
        <v>45212</v>
      </c>
      <c r="B660" t="s">
        <v>722</v>
      </c>
      <c r="C660" t="s">
        <v>15</v>
      </c>
      <c r="D660" t="s">
        <v>84</v>
      </c>
      <c r="E660">
        <v>2002.87</v>
      </c>
      <c r="F660" t="s">
        <v>23</v>
      </c>
      <c r="G660">
        <v>2935.67</v>
      </c>
      <c r="H660">
        <v>932.8</v>
      </c>
      <c r="I660">
        <v>5</v>
      </c>
      <c r="J660">
        <v>2</v>
      </c>
      <c r="K660" t="str">
        <f>TEXT(discount_impact_on_profit_2000_rows[[#This Row],[order date]],"mmmm")</f>
        <v>October</v>
      </c>
      <c r="L660">
        <f>YEAR(discount_impact_on_profit_2000_rows[[#This Row],[order date]])</f>
        <v>2023</v>
      </c>
      <c r="M660" t="str">
        <f>IF(discount_impact_on_profit_2000_rows[[#This Row],[Discount %]]=0,"Zero Discount",IF(discount_impact_on_profit_2000_rows[[#This Row],[Discount %]]&lt;=10,"Low Discount","High Discount"))</f>
        <v>Low Discount</v>
      </c>
      <c r="N660" t="str">
        <f t="shared" si="10"/>
        <v>0-10%</v>
      </c>
    </row>
    <row r="661" spans="1:14">
      <c r="A661" s="1">
        <v>44943</v>
      </c>
      <c r="B661" t="s">
        <v>723</v>
      </c>
      <c r="C661" t="s">
        <v>18</v>
      </c>
      <c r="D661" t="s">
        <v>140</v>
      </c>
      <c r="E661">
        <v>2373.5100000000002</v>
      </c>
      <c r="F661" t="s">
        <v>26</v>
      </c>
      <c r="G661">
        <v>2996</v>
      </c>
      <c r="H661">
        <v>622.49</v>
      </c>
      <c r="I661">
        <v>15</v>
      </c>
      <c r="J661">
        <v>2</v>
      </c>
      <c r="K661" t="str">
        <f>TEXT(discount_impact_on_profit_2000_rows[[#This Row],[order date]],"mmmm")</f>
        <v>January</v>
      </c>
      <c r="L661">
        <f>YEAR(discount_impact_on_profit_2000_rows[[#This Row],[order date]])</f>
        <v>2023</v>
      </c>
      <c r="M661" t="str">
        <f>IF(discount_impact_on_profit_2000_rows[[#This Row],[Discount %]]=0,"Zero Discount",IF(discount_impact_on_profit_2000_rows[[#This Row],[Discount %]]&lt;=10,"Low Discount","High Discount"))</f>
        <v>High Discount</v>
      </c>
      <c r="N661" t="str">
        <f t="shared" si="10"/>
        <v>10-20%</v>
      </c>
    </row>
    <row r="662" spans="1:14">
      <c r="A662" s="1">
        <v>45700</v>
      </c>
      <c r="B662" t="s">
        <v>724</v>
      </c>
      <c r="C662" t="s">
        <v>33</v>
      </c>
      <c r="D662" t="s">
        <v>34</v>
      </c>
      <c r="E662">
        <v>11751.15</v>
      </c>
      <c r="F662" t="s">
        <v>31</v>
      </c>
      <c r="G662">
        <v>17502.07</v>
      </c>
      <c r="H662">
        <v>5750.92</v>
      </c>
      <c r="I662">
        <v>10</v>
      </c>
      <c r="J662">
        <v>1</v>
      </c>
      <c r="K662" t="str">
        <f>TEXT(discount_impact_on_profit_2000_rows[[#This Row],[order date]],"mmmm")</f>
        <v>February</v>
      </c>
      <c r="L662">
        <f>YEAR(discount_impact_on_profit_2000_rows[[#This Row],[order date]])</f>
        <v>2025</v>
      </c>
      <c r="M662" t="str">
        <f>IF(discount_impact_on_profit_2000_rows[[#This Row],[Discount %]]=0,"Zero Discount",IF(discount_impact_on_profit_2000_rows[[#This Row],[Discount %]]&lt;=10,"Low Discount","High Discount"))</f>
        <v>Low Discount</v>
      </c>
      <c r="N662" t="str">
        <f t="shared" si="10"/>
        <v>0-10%</v>
      </c>
    </row>
    <row r="663" spans="1:14">
      <c r="A663" s="1">
        <v>45997</v>
      </c>
      <c r="B663" t="s">
        <v>725</v>
      </c>
      <c r="C663" t="s">
        <v>11</v>
      </c>
      <c r="D663" t="s">
        <v>30</v>
      </c>
      <c r="E663">
        <v>1181.21</v>
      </c>
      <c r="F663" t="s">
        <v>23</v>
      </c>
      <c r="G663">
        <v>1618.19</v>
      </c>
      <c r="H663">
        <v>436.98</v>
      </c>
      <c r="I663">
        <v>15</v>
      </c>
      <c r="J663">
        <v>4</v>
      </c>
      <c r="K663" t="str">
        <f>TEXT(discount_impact_on_profit_2000_rows[[#This Row],[order date]],"mmmm")</f>
        <v>December</v>
      </c>
      <c r="L663">
        <f>YEAR(discount_impact_on_profit_2000_rows[[#This Row],[order date]])</f>
        <v>2025</v>
      </c>
      <c r="M663" t="str">
        <f>IF(discount_impact_on_profit_2000_rows[[#This Row],[Discount %]]=0,"Zero Discount",IF(discount_impact_on_profit_2000_rows[[#This Row],[Discount %]]&lt;=10,"Low Discount","High Discount"))</f>
        <v>High Discount</v>
      </c>
      <c r="N663" t="str">
        <f t="shared" si="10"/>
        <v>10-20%</v>
      </c>
    </row>
    <row r="664" spans="1:14">
      <c r="A664" s="1">
        <v>45445</v>
      </c>
      <c r="B664" t="s">
        <v>726</v>
      </c>
      <c r="C664" t="s">
        <v>15</v>
      </c>
      <c r="D664" t="s">
        <v>40</v>
      </c>
      <c r="E664">
        <v>4738</v>
      </c>
      <c r="F664" t="s">
        <v>13</v>
      </c>
      <c r="G664">
        <v>5397.16</v>
      </c>
      <c r="H664">
        <v>659.16</v>
      </c>
      <c r="I664">
        <v>15</v>
      </c>
      <c r="J664">
        <v>3</v>
      </c>
      <c r="K664" t="str">
        <f>TEXT(discount_impact_on_profit_2000_rows[[#This Row],[order date]],"mmmm")</f>
        <v>June</v>
      </c>
      <c r="L664">
        <f>YEAR(discount_impact_on_profit_2000_rows[[#This Row],[order date]])</f>
        <v>2024</v>
      </c>
      <c r="M664" t="str">
        <f>IF(discount_impact_on_profit_2000_rows[[#This Row],[Discount %]]=0,"Zero Discount",IF(discount_impact_on_profit_2000_rows[[#This Row],[Discount %]]&lt;=10,"Low Discount","High Discount"))</f>
        <v>High Discount</v>
      </c>
      <c r="N664" t="str">
        <f t="shared" si="10"/>
        <v>10-20%</v>
      </c>
    </row>
    <row r="665" spans="1:14">
      <c r="A665" s="1">
        <v>45412</v>
      </c>
      <c r="B665" t="s">
        <v>727</v>
      </c>
      <c r="C665" t="s">
        <v>18</v>
      </c>
      <c r="D665" t="s">
        <v>50</v>
      </c>
      <c r="E665">
        <v>740.35</v>
      </c>
      <c r="F665" t="s">
        <v>36</v>
      </c>
      <c r="G665">
        <v>1269.01</v>
      </c>
      <c r="H665">
        <v>528.66</v>
      </c>
      <c r="I665">
        <v>5</v>
      </c>
      <c r="J665">
        <v>1</v>
      </c>
      <c r="K665" t="str">
        <f>TEXT(discount_impact_on_profit_2000_rows[[#This Row],[order date]],"mmmm")</f>
        <v>April</v>
      </c>
      <c r="L665">
        <f>YEAR(discount_impact_on_profit_2000_rows[[#This Row],[order date]])</f>
        <v>2024</v>
      </c>
      <c r="M665" t="str">
        <f>IF(discount_impact_on_profit_2000_rows[[#This Row],[Discount %]]=0,"Zero Discount",IF(discount_impact_on_profit_2000_rows[[#This Row],[Discount %]]&lt;=10,"Low Discount","High Discount"))</f>
        <v>Low Discount</v>
      </c>
      <c r="N665" t="str">
        <f t="shared" si="10"/>
        <v>0-10%</v>
      </c>
    </row>
    <row r="666" spans="1:14">
      <c r="A666" s="1">
        <v>45434</v>
      </c>
      <c r="B666" t="s">
        <v>728</v>
      </c>
      <c r="C666" t="s">
        <v>21</v>
      </c>
      <c r="D666" t="s">
        <v>97</v>
      </c>
      <c r="E666">
        <v>8396.8799999999992</v>
      </c>
      <c r="F666" t="s">
        <v>23</v>
      </c>
      <c r="G666">
        <v>10008.4</v>
      </c>
      <c r="H666">
        <v>1611.52</v>
      </c>
      <c r="I666">
        <v>5</v>
      </c>
      <c r="J666">
        <v>3</v>
      </c>
      <c r="K666" t="str">
        <f>TEXT(discount_impact_on_profit_2000_rows[[#This Row],[order date]],"mmmm")</f>
        <v>May</v>
      </c>
      <c r="L666">
        <f>YEAR(discount_impact_on_profit_2000_rows[[#This Row],[order date]])</f>
        <v>2024</v>
      </c>
      <c r="M666" t="str">
        <f>IF(discount_impact_on_profit_2000_rows[[#This Row],[Discount %]]=0,"Zero Discount",IF(discount_impact_on_profit_2000_rows[[#This Row],[Discount %]]&lt;=10,"Low Discount","High Discount"))</f>
        <v>Low Discount</v>
      </c>
      <c r="N666" t="str">
        <f t="shared" si="10"/>
        <v>0-10%</v>
      </c>
    </row>
    <row r="667" spans="1:14">
      <c r="A667" s="1">
        <v>45938</v>
      </c>
      <c r="B667" t="s">
        <v>729</v>
      </c>
      <c r="C667" t="s">
        <v>15</v>
      </c>
      <c r="D667" t="s">
        <v>84</v>
      </c>
      <c r="E667">
        <v>1986.12</v>
      </c>
      <c r="F667" t="s">
        <v>36</v>
      </c>
      <c r="G667">
        <v>2634.26</v>
      </c>
      <c r="H667">
        <v>648.14</v>
      </c>
      <c r="I667">
        <v>5</v>
      </c>
      <c r="J667">
        <v>2</v>
      </c>
      <c r="K667" t="str">
        <f>TEXT(discount_impact_on_profit_2000_rows[[#This Row],[order date]],"mmmm")</f>
        <v>October</v>
      </c>
      <c r="L667">
        <f>YEAR(discount_impact_on_profit_2000_rows[[#This Row],[order date]])</f>
        <v>2025</v>
      </c>
      <c r="M667" t="str">
        <f>IF(discount_impact_on_profit_2000_rows[[#This Row],[Discount %]]=0,"Zero Discount",IF(discount_impact_on_profit_2000_rows[[#This Row],[Discount %]]&lt;=10,"Low Discount","High Discount"))</f>
        <v>Low Discount</v>
      </c>
      <c r="N667" t="str">
        <f t="shared" si="10"/>
        <v>0-10%</v>
      </c>
    </row>
    <row r="668" spans="1:14">
      <c r="A668" s="1">
        <v>45733</v>
      </c>
      <c r="B668" t="s">
        <v>730</v>
      </c>
      <c r="C668" t="s">
        <v>18</v>
      </c>
      <c r="D668" t="s">
        <v>42</v>
      </c>
      <c r="E668">
        <v>107.84</v>
      </c>
      <c r="F668" t="s">
        <v>36</v>
      </c>
      <c r="G668">
        <v>177.4</v>
      </c>
      <c r="H668">
        <v>69.56</v>
      </c>
      <c r="I668">
        <v>0</v>
      </c>
      <c r="J668">
        <v>1</v>
      </c>
      <c r="K668" t="str">
        <f>TEXT(discount_impact_on_profit_2000_rows[[#This Row],[order date]],"mmmm")</f>
        <v>March</v>
      </c>
      <c r="L668">
        <f>YEAR(discount_impact_on_profit_2000_rows[[#This Row],[order date]])</f>
        <v>2025</v>
      </c>
      <c r="M668" t="str">
        <f>IF(discount_impact_on_profit_2000_rows[[#This Row],[Discount %]]=0,"Zero Discount",IF(discount_impact_on_profit_2000_rows[[#This Row],[Discount %]]&lt;=10,"Low Discount","High Discount"))</f>
        <v>Zero Discount</v>
      </c>
      <c r="N668" t="str">
        <f t="shared" si="10"/>
        <v>0-10%</v>
      </c>
    </row>
    <row r="669" spans="1:14">
      <c r="A669" s="1">
        <v>44979</v>
      </c>
      <c r="B669" t="s">
        <v>731</v>
      </c>
      <c r="C669" t="s">
        <v>21</v>
      </c>
      <c r="D669" t="s">
        <v>154</v>
      </c>
      <c r="E669">
        <v>18125.38</v>
      </c>
      <c r="F669" t="s">
        <v>23</v>
      </c>
      <c r="G669">
        <v>24628.41</v>
      </c>
      <c r="H669">
        <v>6503.03</v>
      </c>
      <c r="I669">
        <v>0</v>
      </c>
      <c r="J669">
        <v>1</v>
      </c>
      <c r="K669" t="str">
        <f>TEXT(discount_impact_on_profit_2000_rows[[#This Row],[order date]],"mmmm")</f>
        <v>February</v>
      </c>
      <c r="L669">
        <f>YEAR(discount_impact_on_profit_2000_rows[[#This Row],[order date]])</f>
        <v>2023</v>
      </c>
      <c r="M669" t="str">
        <f>IF(discount_impact_on_profit_2000_rows[[#This Row],[Discount %]]=0,"Zero Discount",IF(discount_impact_on_profit_2000_rows[[#This Row],[Discount %]]&lt;=10,"Low Discount","High Discount"))</f>
        <v>Zero Discount</v>
      </c>
      <c r="N669" t="str">
        <f t="shared" si="10"/>
        <v>0-10%</v>
      </c>
    </row>
    <row r="670" spans="1:14">
      <c r="A670" s="1">
        <v>45842</v>
      </c>
      <c r="B670" t="s">
        <v>732</v>
      </c>
      <c r="C670" t="s">
        <v>21</v>
      </c>
      <c r="D670" t="s">
        <v>123</v>
      </c>
      <c r="E670">
        <v>2748.27</v>
      </c>
      <c r="F670" t="s">
        <v>23</v>
      </c>
      <c r="G670">
        <v>3104.44</v>
      </c>
      <c r="H670">
        <v>356.17</v>
      </c>
      <c r="I670">
        <v>20</v>
      </c>
      <c r="J670">
        <v>2</v>
      </c>
      <c r="K670" t="str">
        <f>TEXT(discount_impact_on_profit_2000_rows[[#This Row],[order date]],"mmmm")</f>
        <v>July</v>
      </c>
      <c r="L670">
        <f>YEAR(discount_impact_on_profit_2000_rows[[#This Row],[order date]])</f>
        <v>2025</v>
      </c>
      <c r="M670" t="str">
        <f>IF(discount_impact_on_profit_2000_rows[[#This Row],[Discount %]]=0,"Zero Discount",IF(discount_impact_on_profit_2000_rows[[#This Row],[Discount %]]&lt;=10,"Low Discount","High Discount"))</f>
        <v>High Discount</v>
      </c>
      <c r="N670" t="str">
        <f t="shared" si="10"/>
        <v>10-20%</v>
      </c>
    </row>
    <row r="671" spans="1:14">
      <c r="A671" s="1">
        <v>45446</v>
      </c>
      <c r="B671" t="s">
        <v>733</v>
      </c>
      <c r="C671" t="s">
        <v>18</v>
      </c>
      <c r="D671" t="s">
        <v>188</v>
      </c>
      <c r="E671">
        <v>298.74</v>
      </c>
      <c r="F671" t="s">
        <v>31</v>
      </c>
      <c r="G671">
        <v>530.09</v>
      </c>
      <c r="H671">
        <v>231.35</v>
      </c>
      <c r="I671">
        <v>0</v>
      </c>
      <c r="J671">
        <v>6</v>
      </c>
      <c r="K671" t="str">
        <f>TEXT(discount_impact_on_profit_2000_rows[[#This Row],[order date]],"mmmm")</f>
        <v>June</v>
      </c>
      <c r="L671">
        <f>YEAR(discount_impact_on_profit_2000_rows[[#This Row],[order date]])</f>
        <v>2024</v>
      </c>
      <c r="M671" t="str">
        <f>IF(discount_impact_on_profit_2000_rows[[#This Row],[Discount %]]=0,"Zero Discount",IF(discount_impact_on_profit_2000_rows[[#This Row],[Discount %]]&lt;=10,"Low Discount","High Discount"))</f>
        <v>Zero Discount</v>
      </c>
      <c r="N671" t="str">
        <f t="shared" si="10"/>
        <v>0-10%</v>
      </c>
    </row>
    <row r="672" spans="1:14">
      <c r="A672" s="1">
        <v>45710</v>
      </c>
      <c r="B672" t="s">
        <v>734</v>
      </c>
      <c r="C672" t="s">
        <v>53</v>
      </c>
      <c r="D672" t="s">
        <v>78</v>
      </c>
      <c r="E672">
        <v>2370.36</v>
      </c>
      <c r="F672" t="s">
        <v>31</v>
      </c>
      <c r="G672">
        <v>5033.76</v>
      </c>
      <c r="H672">
        <v>2663.4</v>
      </c>
      <c r="I672">
        <v>15</v>
      </c>
      <c r="J672">
        <v>2</v>
      </c>
      <c r="K672" t="str">
        <f>TEXT(discount_impact_on_profit_2000_rows[[#This Row],[order date]],"mmmm")</f>
        <v>February</v>
      </c>
      <c r="L672">
        <f>YEAR(discount_impact_on_profit_2000_rows[[#This Row],[order date]])</f>
        <v>2025</v>
      </c>
      <c r="M672" t="str">
        <f>IF(discount_impact_on_profit_2000_rows[[#This Row],[Discount %]]=0,"Zero Discount",IF(discount_impact_on_profit_2000_rows[[#This Row],[Discount %]]&lt;=10,"Low Discount","High Discount"))</f>
        <v>High Discount</v>
      </c>
      <c r="N672" t="str">
        <f t="shared" si="10"/>
        <v>10-20%</v>
      </c>
    </row>
    <row r="673" spans="1:14">
      <c r="A673" s="1">
        <v>45921</v>
      </c>
      <c r="B673" t="s">
        <v>735</v>
      </c>
      <c r="C673" t="s">
        <v>15</v>
      </c>
      <c r="D673" t="s">
        <v>86</v>
      </c>
      <c r="E673">
        <v>16672.419999999998</v>
      </c>
      <c r="F673" t="s">
        <v>23</v>
      </c>
      <c r="G673">
        <v>20628.38</v>
      </c>
      <c r="H673">
        <v>3955.96</v>
      </c>
      <c r="I673">
        <v>0</v>
      </c>
      <c r="J673">
        <v>4</v>
      </c>
      <c r="K673" t="str">
        <f>TEXT(discount_impact_on_profit_2000_rows[[#This Row],[order date]],"mmmm")</f>
        <v>September</v>
      </c>
      <c r="L673">
        <f>YEAR(discount_impact_on_profit_2000_rows[[#This Row],[order date]])</f>
        <v>2025</v>
      </c>
      <c r="M673" t="str">
        <f>IF(discount_impact_on_profit_2000_rows[[#This Row],[Discount %]]=0,"Zero Discount",IF(discount_impact_on_profit_2000_rows[[#This Row],[Discount %]]&lt;=10,"Low Discount","High Discount"))</f>
        <v>Zero Discount</v>
      </c>
      <c r="N673" t="str">
        <f t="shared" si="10"/>
        <v>0-10%</v>
      </c>
    </row>
    <row r="674" spans="1:14">
      <c r="A674" s="1">
        <v>45098</v>
      </c>
      <c r="B674" t="s">
        <v>736</v>
      </c>
      <c r="C674" t="s">
        <v>53</v>
      </c>
      <c r="D674" t="s">
        <v>54</v>
      </c>
      <c r="E674">
        <v>673.09</v>
      </c>
      <c r="F674" t="s">
        <v>26</v>
      </c>
      <c r="G674">
        <v>1158.42</v>
      </c>
      <c r="H674">
        <v>485.33</v>
      </c>
      <c r="I674">
        <v>10</v>
      </c>
      <c r="J674">
        <v>1</v>
      </c>
      <c r="K674" t="str">
        <f>TEXT(discount_impact_on_profit_2000_rows[[#This Row],[order date]],"mmmm")</f>
        <v>June</v>
      </c>
      <c r="L674">
        <f>YEAR(discount_impact_on_profit_2000_rows[[#This Row],[order date]])</f>
        <v>2023</v>
      </c>
      <c r="M674" t="str">
        <f>IF(discount_impact_on_profit_2000_rows[[#This Row],[Discount %]]=0,"Zero Discount",IF(discount_impact_on_profit_2000_rows[[#This Row],[Discount %]]&lt;=10,"Low Discount","High Discount"))</f>
        <v>Low Discount</v>
      </c>
      <c r="N674" t="str">
        <f t="shared" si="10"/>
        <v>0-10%</v>
      </c>
    </row>
    <row r="675" spans="1:14">
      <c r="A675" s="1">
        <v>45959</v>
      </c>
      <c r="B675" t="s">
        <v>737</v>
      </c>
      <c r="C675" t="s">
        <v>21</v>
      </c>
      <c r="D675" t="s">
        <v>154</v>
      </c>
      <c r="E675">
        <v>13563.71</v>
      </c>
      <c r="F675" t="s">
        <v>36</v>
      </c>
      <c r="G675">
        <v>15295.74</v>
      </c>
      <c r="H675">
        <v>1732.03</v>
      </c>
      <c r="I675">
        <v>20</v>
      </c>
      <c r="J675">
        <v>1</v>
      </c>
      <c r="K675" t="str">
        <f>TEXT(discount_impact_on_profit_2000_rows[[#This Row],[order date]],"mmmm")</f>
        <v>October</v>
      </c>
      <c r="L675">
        <f>YEAR(discount_impact_on_profit_2000_rows[[#This Row],[order date]])</f>
        <v>2025</v>
      </c>
      <c r="M675" t="str">
        <f>IF(discount_impact_on_profit_2000_rows[[#This Row],[Discount %]]=0,"Zero Discount",IF(discount_impact_on_profit_2000_rows[[#This Row],[Discount %]]&lt;=10,"Low Discount","High Discount"))</f>
        <v>High Discount</v>
      </c>
      <c r="N675" t="str">
        <f t="shared" si="10"/>
        <v>10-20%</v>
      </c>
    </row>
    <row r="676" spans="1:14">
      <c r="A676" s="1">
        <v>44995</v>
      </c>
      <c r="B676" t="s">
        <v>738</v>
      </c>
      <c r="C676" t="s">
        <v>18</v>
      </c>
      <c r="D676" t="s">
        <v>188</v>
      </c>
      <c r="E676">
        <v>637.55999999999995</v>
      </c>
      <c r="F676" t="s">
        <v>36</v>
      </c>
      <c r="G676">
        <v>1044.7</v>
      </c>
      <c r="H676">
        <v>407.14</v>
      </c>
      <c r="I676">
        <v>0</v>
      </c>
      <c r="J676">
        <v>6</v>
      </c>
      <c r="K676" t="str">
        <f>TEXT(discount_impact_on_profit_2000_rows[[#This Row],[order date]],"mmmm")</f>
        <v>March</v>
      </c>
      <c r="L676">
        <f>YEAR(discount_impact_on_profit_2000_rows[[#This Row],[order date]])</f>
        <v>2023</v>
      </c>
      <c r="M676" t="str">
        <f>IF(discount_impact_on_profit_2000_rows[[#This Row],[Discount %]]=0,"Zero Discount",IF(discount_impact_on_profit_2000_rows[[#This Row],[Discount %]]&lt;=10,"Low Discount","High Discount"))</f>
        <v>Zero Discount</v>
      </c>
      <c r="N676" t="str">
        <f t="shared" si="10"/>
        <v>0-10%</v>
      </c>
    </row>
    <row r="677" spans="1:14">
      <c r="A677" s="1">
        <v>45720</v>
      </c>
      <c r="B677" t="s">
        <v>739</v>
      </c>
      <c r="C677" t="s">
        <v>18</v>
      </c>
      <c r="D677" t="s">
        <v>50</v>
      </c>
      <c r="E677">
        <v>978.93</v>
      </c>
      <c r="F677" t="s">
        <v>23</v>
      </c>
      <c r="G677">
        <v>2131.79</v>
      </c>
      <c r="H677">
        <v>1152.8599999999999</v>
      </c>
      <c r="I677">
        <v>5</v>
      </c>
      <c r="J677">
        <v>3</v>
      </c>
      <c r="K677" t="str">
        <f>TEXT(discount_impact_on_profit_2000_rows[[#This Row],[order date]],"mmmm")</f>
        <v>March</v>
      </c>
      <c r="L677">
        <f>YEAR(discount_impact_on_profit_2000_rows[[#This Row],[order date]])</f>
        <v>2025</v>
      </c>
      <c r="M677" t="str">
        <f>IF(discount_impact_on_profit_2000_rows[[#This Row],[Discount %]]=0,"Zero Discount",IF(discount_impact_on_profit_2000_rows[[#This Row],[Discount %]]&lt;=10,"Low Discount","High Discount"))</f>
        <v>Low Discount</v>
      </c>
      <c r="N677" t="str">
        <f t="shared" si="10"/>
        <v>0-10%</v>
      </c>
    </row>
    <row r="678" spans="1:14">
      <c r="A678" s="1">
        <v>45058</v>
      </c>
      <c r="B678" t="s">
        <v>740</v>
      </c>
      <c r="C678" t="s">
        <v>11</v>
      </c>
      <c r="D678" t="s">
        <v>12</v>
      </c>
      <c r="E678">
        <v>763.02</v>
      </c>
      <c r="F678" t="s">
        <v>26</v>
      </c>
      <c r="G678">
        <v>1395.75</v>
      </c>
      <c r="H678">
        <v>632.73</v>
      </c>
      <c r="I678">
        <v>0</v>
      </c>
      <c r="J678">
        <v>2</v>
      </c>
      <c r="K678" t="str">
        <f>TEXT(discount_impact_on_profit_2000_rows[[#This Row],[order date]],"mmmm")</f>
        <v>May</v>
      </c>
      <c r="L678">
        <f>YEAR(discount_impact_on_profit_2000_rows[[#This Row],[order date]])</f>
        <v>2023</v>
      </c>
      <c r="M678" t="str">
        <f>IF(discount_impact_on_profit_2000_rows[[#This Row],[Discount %]]=0,"Zero Discount",IF(discount_impact_on_profit_2000_rows[[#This Row],[Discount %]]&lt;=10,"Low Discount","High Discount"))</f>
        <v>Zero Discount</v>
      </c>
      <c r="N678" t="str">
        <f t="shared" si="10"/>
        <v>0-10%</v>
      </c>
    </row>
    <row r="679" spans="1:14">
      <c r="A679" s="1">
        <v>45526</v>
      </c>
      <c r="B679" t="s">
        <v>741</v>
      </c>
      <c r="C679" t="s">
        <v>53</v>
      </c>
      <c r="D679" t="s">
        <v>59</v>
      </c>
      <c r="E679">
        <v>1297.2</v>
      </c>
      <c r="F679" t="s">
        <v>31</v>
      </c>
      <c r="G679">
        <v>1738.15</v>
      </c>
      <c r="H679">
        <v>440.95</v>
      </c>
      <c r="I679">
        <v>10</v>
      </c>
      <c r="J679">
        <v>3</v>
      </c>
      <c r="K679" t="str">
        <f>TEXT(discount_impact_on_profit_2000_rows[[#This Row],[order date]],"mmmm")</f>
        <v>August</v>
      </c>
      <c r="L679">
        <f>YEAR(discount_impact_on_profit_2000_rows[[#This Row],[order date]])</f>
        <v>2024</v>
      </c>
      <c r="M679" t="str">
        <f>IF(discount_impact_on_profit_2000_rows[[#This Row],[Discount %]]=0,"Zero Discount",IF(discount_impact_on_profit_2000_rows[[#This Row],[Discount %]]&lt;=10,"Low Discount","High Discount"))</f>
        <v>Low Discount</v>
      </c>
      <c r="N679" t="str">
        <f t="shared" si="10"/>
        <v>0-10%</v>
      </c>
    </row>
    <row r="680" spans="1:14">
      <c r="A680" s="1">
        <v>45408</v>
      </c>
      <c r="B680" t="s">
        <v>742</v>
      </c>
      <c r="C680" t="s">
        <v>21</v>
      </c>
      <c r="D680" t="s">
        <v>57</v>
      </c>
      <c r="E680">
        <v>1788.33</v>
      </c>
      <c r="F680" t="s">
        <v>36</v>
      </c>
      <c r="G680">
        <v>2241.12</v>
      </c>
      <c r="H680">
        <v>452.79</v>
      </c>
      <c r="I680">
        <v>5</v>
      </c>
      <c r="J680">
        <v>2</v>
      </c>
      <c r="K680" t="str">
        <f>TEXT(discount_impact_on_profit_2000_rows[[#This Row],[order date]],"mmmm")</f>
        <v>April</v>
      </c>
      <c r="L680">
        <f>YEAR(discount_impact_on_profit_2000_rows[[#This Row],[order date]])</f>
        <v>2024</v>
      </c>
      <c r="M680" t="str">
        <f>IF(discount_impact_on_profit_2000_rows[[#This Row],[Discount %]]=0,"Zero Discount",IF(discount_impact_on_profit_2000_rows[[#This Row],[Discount %]]&lt;=10,"Low Discount","High Discount"))</f>
        <v>Low Discount</v>
      </c>
      <c r="N680" t="str">
        <f t="shared" si="10"/>
        <v>0-10%</v>
      </c>
    </row>
    <row r="681" spans="1:14">
      <c r="A681" s="1">
        <v>45823</v>
      </c>
      <c r="B681" t="s">
        <v>743</v>
      </c>
      <c r="C681" t="s">
        <v>33</v>
      </c>
      <c r="D681" t="s">
        <v>92</v>
      </c>
      <c r="E681">
        <v>3785.14</v>
      </c>
      <c r="F681" t="s">
        <v>31</v>
      </c>
      <c r="G681">
        <v>5563.87</v>
      </c>
      <c r="H681">
        <v>1778.73</v>
      </c>
      <c r="I681">
        <v>5</v>
      </c>
      <c r="J681">
        <v>1</v>
      </c>
      <c r="K681" t="str">
        <f>TEXT(discount_impact_on_profit_2000_rows[[#This Row],[order date]],"mmmm")</f>
        <v>June</v>
      </c>
      <c r="L681">
        <f>YEAR(discount_impact_on_profit_2000_rows[[#This Row],[order date]])</f>
        <v>2025</v>
      </c>
      <c r="M681" t="str">
        <f>IF(discount_impact_on_profit_2000_rows[[#This Row],[Discount %]]=0,"Zero Discount",IF(discount_impact_on_profit_2000_rows[[#This Row],[Discount %]]&lt;=10,"Low Discount","High Discount"))</f>
        <v>Low Discount</v>
      </c>
      <c r="N681" t="str">
        <f t="shared" si="10"/>
        <v>0-10%</v>
      </c>
    </row>
    <row r="682" spans="1:14">
      <c r="A682" s="1">
        <v>45443</v>
      </c>
      <c r="B682" t="s">
        <v>744</v>
      </c>
      <c r="C682" t="s">
        <v>53</v>
      </c>
      <c r="D682" t="s">
        <v>59</v>
      </c>
      <c r="E682">
        <v>2204.7199999999998</v>
      </c>
      <c r="F682" t="s">
        <v>26</v>
      </c>
      <c r="G682">
        <v>4995.0200000000004</v>
      </c>
      <c r="H682">
        <v>2790.3</v>
      </c>
      <c r="I682">
        <v>0</v>
      </c>
      <c r="J682">
        <v>2</v>
      </c>
      <c r="K682" t="str">
        <f>TEXT(discount_impact_on_profit_2000_rows[[#This Row],[order date]],"mmmm")</f>
        <v>May</v>
      </c>
      <c r="L682">
        <f>YEAR(discount_impact_on_profit_2000_rows[[#This Row],[order date]])</f>
        <v>2024</v>
      </c>
      <c r="M682" t="str">
        <f>IF(discount_impact_on_profit_2000_rows[[#This Row],[Discount %]]=0,"Zero Discount",IF(discount_impact_on_profit_2000_rows[[#This Row],[Discount %]]&lt;=10,"Low Discount","High Discount"))</f>
        <v>Zero Discount</v>
      </c>
      <c r="N682" t="str">
        <f t="shared" si="10"/>
        <v>0-10%</v>
      </c>
    </row>
    <row r="683" spans="1:14">
      <c r="A683" s="1">
        <v>45756</v>
      </c>
      <c r="B683" t="s">
        <v>745</v>
      </c>
      <c r="C683" t="s">
        <v>33</v>
      </c>
      <c r="D683" t="s">
        <v>44</v>
      </c>
      <c r="E683">
        <v>15898.05</v>
      </c>
      <c r="F683" t="s">
        <v>26</v>
      </c>
      <c r="G683">
        <v>20593.46</v>
      </c>
      <c r="H683">
        <v>4695.41</v>
      </c>
      <c r="I683">
        <v>5</v>
      </c>
      <c r="J683">
        <v>1</v>
      </c>
      <c r="K683" t="str">
        <f>TEXT(discount_impact_on_profit_2000_rows[[#This Row],[order date]],"mmmm")</f>
        <v>April</v>
      </c>
      <c r="L683">
        <f>YEAR(discount_impact_on_profit_2000_rows[[#This Row],[order date]])</f>
        <v>2025</v>
      </c>
      <c r="M683" t="str">
        <f>IF(discount_impact_on_profit_2000_rows[[#This Row],[Discount %]]=0,"Zero Discount",IF(discount_impact_on_profit_2000_rows[[#This Row],[Discount %]]&lt;=10,"Low Discount","High Discount"))</f>
        <v>Low Discount</v>
      </c>
      <c r="N683" t="str">
        <f t="shared" si="10"/>
        <v>0-10%</v>
      </c>
    </row>
    <row r="684" spans="1:14">
      <c r="A684" s="1">
        <v>46011</v>
      </c>
      <c r="B684" t="s">
        <v>746</v>
      </c>
      <c r="C684" t="s">
        <v>33</v>
      </c>
      <c r="D684" t="s">
        <v>273</v>
      </c>
      <c r="E684">
        <v>2075.04</v>
      </c>
      <c r="F684" t="s">
        <v>36</v>
      </c>
      <c r="G684">
        <v>3317.42</v>
      </c>
      <c r="H684">
        <v>1242.3800000000001</v>
      </c>
      <c r="I684">
        <v>0</v>
      </c>
      <c r="J684">
        <v>1</v>
      </c>
      <c r="K684" t="str">
        <f>TEXT(discount_impact_on_profit_2000_rows[[#This Row],[order date]],"mmmm")</f>
        <v>December</v>
      </c>
      <c r="L684">
        <f>YEAR(discount_impact_on_profit_2000_rows[[#This Row],[order date]])</f>
        <v>2025</v>
      </c>
      <c r="M684" t="str">
        <f>IF(discount_impact_on_profit_2000_rows[[#This Row],[Discount %]]=0,"Zero Discount",IF(discount_impact_on_profit_2000_rows[[#This Row],[Discount %]]&lt;=10,"Low Discount","High Discount"))</f>
        <v>Zero Discount</v>
      </c>
      <c r="N684" t="str">
        <f t="shared" si="10"/>
        <v>0-10%</v>
      </c>
    </row>
    <row r="685" spans="1:14">
      <c r="A685" s="1">
        <v>45386</v>
      </c>
      <c r="B685" t="s">
        <v>747</v>
      </c>
      <c r="C685" t="s">
        <v>11</v>
      </c>
      <c r="D685" t="s">
        <v>207</v>
      </c>
      <c r="E685">
        <v>1639.53</v>
      </c>
      <c r="F685" t="s">
        <v>26</v>
      </c>
      <c r="G685">
        <v>3022.4</v>
      </c>
      <c r="H685">
        <v>1382.87</v>
      </c>
      <c r="I685">
        <v>5</v>
      </c>
      <c r="J685">
        <v>6</v>
      </c>
      <c r="K685" t="str">
        <f>TEXT(discount_impact_on_profit_2000_rows[[#This Row],[order date]],"mmmm")</f>
        <v>April</v>
      </c>
      <c r="L685">
        <f>YEAR(discount_impact_on_profit_2000_rows[[#This Row],[order date]])</f>
        <v>2024</v>
      </c>
      <c r="M685" t="str">
        <f>IF(discount_impact_on_profit_2000_rows[[#This Row],[Discount %]]=0,"Zero Discount",IF(discount_impact_on_profit_2000_rows[[#This Row],[Discount %]]&lt;=10,"Low Discount","High Discount"))</f>
        <v>Low Discount</v>
      </c>
      <c r="N685" t="str">
        <f t="shared" si="10"/>
        <v>0-10%</v>
      </c>
    </row>
    <row r="686" spans="1:14">
      <c r="A686" s="1">
        <v>45656</v>
      </c>
      <c r="B686" t="s">
        <v>748</v>
      </c>
      <c r="C686" t="s">
        <v>15</v>
      </c>
      <c r="D686" t="s">
        <v>84</v>
      </c>
      <c r="E686">
        <v>1964.06</v>
      </c>
      <c r="F686" t="s">
        <v>13</v>
      </c>
      <c r="G686">
        <v>2043.03</v>
      </c>
      <c r="H686">
        <v>78.97</v>
      </c>
      <c r="I686">
        <v>30</v>
      </c>
      <c r="J686">
        <v>2</v>
      </c>
      <c r="K686" t="str">
        <f>TEXT(discount_impact_on_profit_2000_rows[[#This Row],[order date]],"mmmm")</f>
        <v>December</v>
      </c>
      <c r="L686">
        <f>YEAR(discount_impact_on_profit_2000_rows[[#This Row],[order date]])</f>
        <v>2024</v>
      </c>
      <c r="M686" t="str">
        <f>IF(discount_impact_on_profit_2000_rows[[#This Row],[Discount %]]=0,"Zero Discount",IF(discount_impact_on_profit_2000_rows[[#This Row],[Discount %]]&lt;=10,"Low Discount","High Discount"))</f>
        <v>High Discount</v>
      </c>
      <c r="N686" t="str">
        <f t="shared" si="10"/>
        <v>20-30%</v>
      </c>
    </row>
    <row r="687" spans="1:14">
      <c r="A687" s="1">
        <v>45233</v>
      </c>
      <c r="B687" t="s">
        <v>749</v>
      </c>
      <c r="C687" t="s">
        <v>11</v>
      </c>
      <c r="D687" t="s">
        <v>12</v>
      </c>
      <c r="E687">
        <v>3697.47</v>
      </c>
      <c r="F687" t="s">
        <v>23</v>
      </c>
      <c r="G687">
        <v>5388.58</v>
      </c>
      <c r="H687">
        <v>1691.11</v>
      </c>
      <c r="I687">
        <v>20</v>
      </c>
      <c r="J687">
        <v>2</v>
      </c>
      <c r="K687" t="str">
        <f>TEXT(discount_impact_on_profit_2000_rows[[#This Row],[order date]],"mmmm")</f>
        <v>November</v>
      </c>
      <c r="L687">
        <f>YEAR(discount_impact_on_profit_2000_rows[[#This Row],[order date]])</f>
        <v>2023</v>
      </c>
      <c r="M687" t="str">
        <f>IF(discount_impact_on_profit_2000_rows[[#This Row],[Discount %]]=0,"Zero Discount",IF(discount_impact_on_profit_2000_rows[[#This Row],[Discount %]]&lt;=10,"Low Discount","High Discount"))</f>
        <v>High Discount</v>
      </c>
      <c r="N687" t="str">
        <f t="shared" si="10"/>
        <v>10-20%</v>
      </c>
    </row>
    <row r="688" spans="1:14">
      <c r="A688" s="1">
        <v>45464</v>
      </c>
      <c r="B688" t="s">
        <v>750</v>
      </c>
      <c r="C688" t="s">
        <v>11</v>
      </c>
      <c r="D688" t="s">
        <v>64</v>
      </c>
      <c r="E688">
        <v>4603.8900000000003</v>
      </c>
      <c r="F688" t="s">
        <v>26</v>
      </c>
      <c r="G688">
        <v>7188.69</v>
      </c>
      <c r="H688">
        <v>2584.8000000000002</v>
      </c>
      <c r="I688">
        <v>0</v>
      </c>
      <c r="J688">
        <v>2</v>
      </c>
      <c r="K688" t="str">
        <f>TEXT(discount_impact_on_profit_2000_rows[[#This Row],[order date]],"mmmm")</f>
        <v>June</v>
      </c>
      <c r="L688">
        <f>YEAR(discount_impact_on_profit_2000_rows[[#This Row],[order date]])</f>
        <v>2024</v>
      </c>
      <c r="M688" t="str">
        <f>IF(discount_impact_on_profit_2000_rows[[#This Row],[Discount %]]=0,"Zero Discount",IF(discount_impact_on_profit_2000_rows[[#This Row],[Discount %]]&lt;=10,"Low Discount","High Discount"))</f>
        <v>Zero Discount</v>
      </c>
      <c r="N688" t="str">
        <f t="shared" si="10"/>
        <v>0-10%</v>
      </c>
    </row>
    <row r="689" spans="1:14">
      <c r="A689" s="1">
        <v>45088</v>
      </c>
      <c r="B689" t="s">
        <v>751</v>
      </c>
      <c r="C689" t="s">
        <v>33</v>
      </c>
      <c r="D689" t="s">
        <v>203</v>
      </c>
      <c r="E689">
        <v>13581.48</v>
      </c>
      <c r="F689" t="s">
        <v>36</v>
      </c>
      <c r="G689">
        <v>17542.18</v>
      </c>
      <c r="H689">
        <v>3960.7</v>
      </c>
      <c r="I689">
        <v>0</v>
      </c>
      <c r="J689">
        <v>2</v>
      </c>
      <c r="K689" t="str">
        <f>TEXT(discount_impact_on_profit_2000_rows[[#This Row],[order date]],"mmmm")</f>
        <v>June</v>
      </c>
      <c r="L689">
        <f>YEAR(discount_impact_on_profit_2000_rows[[#This Row],[order date]])</f>
        <v>2023</v>
      </c>
      <c r="M689" t="str">
        <f>IF(discount_impact_on_profit_2000_rows[[#This Row],[Discount %]]=0,"Zero Discount",IF(discount_impact_on_profit_2000_rows[[#This Row],[Discount %]]&lt;=10,"Low Discount","High Discount"))</f>
        <v>Zero Discount</v>
      </c>
      <c r="N689" t="str">
        <f t="shared" si="10"/>
        <v>0-10%</v>
      </c>
    </row>
    <row r="690" spans="1:14">
      <c r="A690" s="1">
        <v>45399</v>
      </c>
      <c r="B690" t="s">
        <v>752</v>
      </c>
      <c r="C690" t="s">
        <v>53</v>
      </c>
      <c r="D690" t="s">
        <v>70</v>
      </c>
      <c r="E690">
        <v>2635.46</v>
      </c>
      <c r="F690" t="s">
        <v>23</v>
      </c>
      <c r="G690">
        <v>3790.82</v>
      </c>
      <c r="H690">
        <v>1155.3599999999999</v>
      </c>
      <c r="I690">
        <v>20</v>
      </c>
      <c r="J690">
        <v>6</v>
      </c>
      <c r="K690" t="str">
        <f>TEXT(discount_impact_on_profit_2000_rows[[#This Row],[order date]],"mmmm")</f>
        <v>April</v>
      </c>
      <c r="L690">
        <f>YEAR(discount_impact_on_profit_2000_rows[[#This Row],[order date]])</f>
        <v>2024</v>
      </c>
      <c r="M690" t="str">
        <f>IF(discount_impact_on_profit_2000_rows[[#This Row],[Discount %]]=0,"Zero Discount",IF(discount_impact_on_profit_2000_rows[[#This Row],[Discount %]]&lt;=10,"Low Discount","High Discount"))</f>
        <v>High Discount</v>
      </c>
      <c r="N690" t="str">
        <f t="shared" si="10"/>
        <v>10-20%</v>
      </c>
    </row>
    <row r="691" spans="1:14">
      <c r="A691" s="1">
        <v>45100</v>
      </c>
      <c r="B691" t="s">
        <v>753</v>
      </c>
      <c r="C691" t="s">
        <v>15</v>
      </c>
      <c r="D691" t="s">
        <v>86</v>
      </c>
      <c r="E691">
        <v>8779.18</v>
      </c>
      <c r="F691" t="s">
        <v>36</v>
      </c>
      <c r="G691">
        <v>9994.26</v>
      </c>
      <c r="H691">
        <v>1215.08</v>
      </c>
      <c r="I691">
        <v>20</v>
      </c>
      <c r="J691">
        <v>3</v>
      </c>
      <c r="K691" t="str">
        <f>TEXT(discount_impact_on_profit_2000_rows[[#This Row],[order date]],"mmmm")</f>
        <v>June</v>
      </c>
      <c r="L691">
        <f>YEAR(discount_impact_on_profit_2000_rows[[#This Row],[order date]])</f>
        <v>2023</v>
      </c>
      <c r="M691" t="str">
        <f>IF(discount_impact_on_profit_2000_rows[[#This Row],[Discount %]]=0,"Zero Discount",IF(discount_impact_on_profit_2000_rows[[#This Row],[Discount %]]&lt;=10,"Low Discount","High Discount"))</f>
        <v>High Discount</v>
      </c>
      <c r="N691" t="str">
        <f t="shared" si="10"/>
        <v>10-20%</v>
      </c>
    </row>
    <row r="692" spans="1:14">
      <c r="A692" s="1">
        <v>45920</v>
      </c>
      <c r="B692" t="s">
        <v>754</v>
      </c>
      <c r="C692" t="s">
        <v>33</v>
      </c>
      <c r="D692" t="s">
        <v>44</v>
      </c>
      <c r="E692">
        <v>17408.400000000001</v>
      </c>
      <c r="F692" t="s">
        <v>23</v>
      </c>
      <c r="G692">
        <v>20594.04</v>
      </c>
      <c r="H692">
        <v>3185.64</v>
      </c>
      <c r="I692">
        <v>20</v>
      </c>
      <c r="J692">
        <v>6</v>
      </c>
      <c r="K692" t="str">
        <f>TEXT(discount_impact_on_profit_2000_rows[[#This Row],[order date]],"mmmm")</f>
        <v>September</v>
      </c>
      <c r="L692">
        <f>YEAR(discount_impact_on_profit_2000_rows[[#This Row],[order date]])</f>
        <v>2025</v>
      </c>
      <c r="M692" t="str">
        <f>IF(discount_impact_on_profit_2000_rows[[#This Row],[Discount %]]=0,"Zero Discount",IF(discount_impact_on_profit_2000_rows[[#This Row],[Discount %]]&lt;=10,"Low Discount","High Discount"))</f>
        <v>High Discount</v>
      </c>
      <c r="N692" t="str">
        <f t="shared" si="10"/>
        <v>10-20%</v>
      </c>
    </row>
    <row r="693" spans="1:14">
      <c r="A693" s="1">
        <v>44974</v>
      </c>
      <c r="B693" t="s">
        <v>755</v>
      </c>
      <c r="C693" t="s">
        <v>53</v>
      </c>
      <c r="D693" t="s">
        <v>78</v>
      </c>
      <c r="E693">
        <v>1685.86</v>
      </c>
      <c r="F693" t="s">
        <v>23</v>
      </c>
      <c r="G693">
        <v>2269.2800000000002</v>
      </c>
      <c r="H693">
        <v>583.41999999999996</v>
      </c>
      <c r="I693">
        <v>25</v>
      </c>
      <c r="J693">
        <v>1</v>
      </c>
      <c r="K693" t="str">
        <f>TEXT(discount_impact_on_profit_2000_rows[[#This Row],[order date]],"mmmm")</f>
        <v>February</v>
      </c>
      <c r="L693">
        <f>YEAR(discount_impact_on_profit_2000_rows[[#This Row],[order date]])</f>
        <v>2023</v>
      </c>
      <c r="M693" t="str">
        <f>IF(discount_impact_on_profit_2000_rows[[#This Row],[Discount %]]=0,"Zero Discount",IF(discount_impact_on_profit_2000_rows[[#This Row],[Discount %]]&lt;=10,"Low Discount","High Discount"))</f>
        <v>High Discount</v>
      </c>
      <c r="N693" t="str">
        <f t="shared" si="10"/>
        <v>20-30%</v>
      </c>
    </row>
    <row r="694" spans="1:14">
      <c r="A694" s="1">
        <v>45477</v>
      </c>
      <c r="B694" t="s">
        <v>756</v>
      </c>
      <c r="C694" t="s">
        <v>18</v>
      </c>
      <c r="D694" t="s">
        <v>19</v>
      </c>
      <c r="E694">
        <v>537.1</v>
      </c>
      <c r="F694" t="s">
        <v>13</v>
      </c>
      <c r="G694">
        <v>888.07</v>
      </c>
      <c r="H694">
        <v>350.97</v>
      </c>
      <c r="I694">
        <v>0</v>
      </c>
      <c r="J694">
        <v>4</v>
      </c>
      <c r="K694" t="str">
        <f>TEXT(discount_impact_on_profit_2000_rows[[#This Row],[order date]],"mmmm")</f>
        <v>July</v>
      </c>
      <c r="L694">
        <f>YEAR(discount_impact_on_profit_2000_rows[[#This Row],[order date]])</f>
        <v>2024</v>
      </c>
      <c r="M694" t="str">
        <f>IF(discount_impact_on_profit_2000_rows[[#This Row],[Discount %]]=0,"Zero Discount",IF(discount_impact_on_profit_2000_rows[[#This Row],[Discount %]]&lt;=10,"Low Discount","High Discount"))</f>
        <v>Zero Discount</v>
      </c>
      <c r="N694" t="str">
        <f t="shared" si="10"/>
        <v>0-10%</v>
      </c>
    </row>
    <row r="695" spans="1:14">
      <c r="A695" s="1">
        <v>45289</v>
      </c>
      <c r="B695" t="s">
        <v>757</v>
      </c>
      <c r="C695" t="s">
        <v>18</v>
      </c>
      <c r="D695" t="s">
        <v>188</v>
      </c>
      <c r="E695">
        <v>476.66</v>
      </c>
      <c r="F695" t="s">
        <v>31</v>
      </c>
      <c r="G695">
        <v>730.67</v>
      </c>
      <c r="H695">
        <v>254.01</v>
      </c>
      <c r="I695">
        <v>10</v>
      </c>
      <c r="J695">
        <v>3</v>
      </c>
      <c r="K695" t="str">
        <f>TEXT(discount_impact_on_profit_2000_rows[[#This Row],[order date]],"mmmm")</f>
        <v>December</v>
      </c>
      <c r="L695">
        <f>YEAR(discount_impact_on_profit_2000_rows[[#This Row],[order date]])</f>
        <v>2023</v>
      </c>
      <c r="M695" t="str">
        <f>IF(discount_impact_on_profit_2000_rows[[#This Row],[Discount %]]=0,"Zero Discount",IF(discount_impact_on_profit_2000_rows[[#This Row],[Discount %]]&lt;=10,"Low Discount","High Discount"))</f>
        <v>Low Discount</v>
      </c>
      <c r="N695" t="str">
        <f t="shared" si="10"/>
        <v>0-10%</v>
      </c>
    </row>
    <row r="696" spans="1:14">
      <c r="A696" s="1">
        <v>45202</v>
      </c>
      <c r="B696" t="s">
        <v>758</v>
      </c>
      <c r="C696" t="s">
        <v>53</v>
      </c>
      <c r="D696" t="s">
        <v>70</v>
      </c>
      <c r="E696">
        <v>2020.52</v>
      </c>
      <c r="F696" t="s">
        <v>36</v>
      </c>
      <c r="G696">
        <v>3840.24</v>
      </c>
      <c r="H696">
        <v>1819.72</v>
      </c>
      <c r="I696">
        <v>5</v>
      </c>
      <c r="J696">
        <v>1</v>
      </c>
      <c r="K696" t="str">
        <f>TEXT(discount_impact_on_profit_2000_rows[[#This Row],[order date]],"mmmm")</f>
        <v>October</v>
      </c>
      <c r="L696">
        <f>YEAR(discount_impact_on_profit_2000_rows[[#This Row],[order date]])</f>
        <v>2023</v>
      </c>
      <c r="M696" t="str">
        <f>IF(discount_impact_on_profit_2000_rows[[#This Row],[Discount %]]=0,"Zero Discount",IF(discount_impact_on_profit_2000_rows[[#This Row],[Discount %]]&lt;=10,"Low Discount","High Discount"))</f>
        <v>Low Discount</v>
      </c>
      <c r="N696" t="str">
        <f t="shared" si="10"/>
        <v>0-10%</v>
      </c>
    </row>
    <row r="697" spans="1:14">
      <c r="A697" s="1">
        <v>45485</v>
      </c>
      <c r="B697" t="s">
        <v>759</v>
      </c>
      <c r="C697" t="s">
        <v>21</v>
      </c>
      <c r="D697" t="s">
        <v>22</v>
      </c>
      <c r="E697">
        <v>11099.51</v>
      </c>
      <c r="F697" t="s">
        <v>36</v>
      </c>
      <c r="G697">
        <v>12822.66</v>
      </c>
      <c r="H697">
        <v>1723.15</v>
      </c>
      <c r="I697">
        <v>10</v>
      </c>
      <c r="J697">
        <v>2</v>
      </c>
      <c r="K697" t="str">
        <f>TEXT(discount_impact_on_profit_2000_rows[[#This Row],[order date]],"mmmm")</f>
        <v>July</v>
      </c>
      <c r="L697">
        <f>YEAR(discount_impact_on_profit_2000_rows[[#This Row],[order date]])</f>
        <v>2024</v>
      </c>
      <c r="M697" t="str">
        <f>IF(discount_impact_on_profit_2000_rows[[#This Row],[Discount %]]=0,"Zero Discount",IF(discount_impact_on_profit_2000_rows[[#This Row],[Discount %]]&lt;=10,"Low Discount","High Discount"))</f>
        <v>Low Discount</v>
      </c>
      <c r="N697" t="str">
        <f t="shared" si="10"/>
        <v>0-10%</v>
      </c>
    </row>
    <row r="698" spans="1:14">
      <c r="A698" s="1">
        <v>45231</v>
      </c>
      <c r="B698" t="s">
        <v>760</v>
      </c>
      <c r="C698" t="s">
        <v>15</v>
      </c>
      <c r="D698" t="s">
        <v>86</v>
      </c>
      <c r="E698">
        <v>1062.83</v>
      </c>
      <c r="F698" t="s">
        <v>13</v>
      </c>
      <c r="G698">
        <v>1575.56</v>
      </c>
      <c r="H698">
        <v>512.73</v>
      </c>
      <c r="I698">
        <v>5</v>
      </c>
      <c r="J698">
        <v>1</v>
      </c>
      <c r="K698" t="str">
        <f>TEXT(discount_impact_on_profit_2000_rows[[#This Row],[order date]],"mmmm")</f>
        <v>November</v>
      </c>
      <c r="L698">
        <f>YEAR(discount_impact_on_profit_2000_rows[[#This Row],[order date]])</f>
        <v>2023</v>
      </c>
      <c r="M698" t="str">
        <f>IF(discount_impact_on_profit_2000_rows[[#This Row],[Discount %]]=0,"Zero Discount",IF(discount_impact_on_profit_2000_rows[[#This Row],[Discount %]]&lt;=10,"Low Discount","High Discount"))</f>
        <v>Low Discount</v>
      </c>
      <c r="N698" t="str">
        <f t="shared" si="10"/>
        <v>0-10%</v>
      </c>
    </row>
    <row r="699" spans="1:14">
      <c r="A699" s="1">
        <v>45830</v>
      </c>
      <c r="B699" t="s">
        <v>761</v>
      </c>
      <c r="C699" t="s">
        <v>15</v>
      </c>
      <c r="D699" t="s">
        <v>40</v>
      </c>
      <c r="E699">
        <v>1822.16</v>
      </c>
      <c r="F699" t="s">
        <v>31</v>
      </c>
      <c r="G699">
        <v>2334.3000000000002</v>
      </c>
      <c r="H699">
        <v>512.14</v>
      </c>
      <c r="I699">
        <v>20</v>
      </c>
      <c r="J699">
        <v>1</v>
      </c>
      <c r="K699" t="str">
        <f>TEXT(discount_impact_on_profit_2000_rows[[#This Row],[order date]],"mmmm")</f>
        <v>June</v>
      </c>
      <c r="L699">
        <f>YEAR(discount_impact_on_profit_2000_rows[[#This Row],[order date]])</f>
        <v>2025</v>
      </c>
      <c r="M699" t="str">
        <f>IF(discount_impact_on_profit_2000_rows[[#This Row],[Discount %]]=0,"Zero Discount",IF(discount_impact_on_profit_2000_rows[[#This Row],[Discount %]]&lt;=10,"Low Discount","High Discount"))</f>
        <v>High Discount</v>
      </c>
      <c r="N699" t="str">
        <f t="shared" si="10"/>
        <v>10-20%</v>
      </c>
    </row>
    <row r="700" spans="1:14">
      <c r="A700" s="1">
        <v>45477</v>
      </c>
      <c r="B700" t="s">
        <v>762</v>
      </c>
      <c r="C700" t="s">
        <v>33</v>
      </c>
      <c r="D700" t="s">
        <v>44</v>
      </c>
      <c r="E700">
        <v>5496.87</v>
      </c>
      <c r="F700" t="s">
        <v>36</v>
      </c>
      <c r="G700">
        <v>8098.22</v>
      </c>
      <c r="H700">
        <v>2601.35</v>
      </c>
      <c r="I700">
        <v>10</v>
      </c>
      <c r="J700">
        <v>4</v>
      </c>
      <c r="K700" t="str">
        <f>TEXT(discount_impact_on_profit_2000_rows[[#This Row],[order date]],"mmmm")</f>
        <v>July</v>
      </c>
      <c r="L700">
        <f>YEAR(discount_impact_on_profit_2000_rows[[#This Row],[order date]])</f>
        <v>2024</v>
      </c>
      <c r="M700" t="str">
        <f>IF(discount_impact_on_profit_2000_rows[[#This Row],[Discount %]]=0,"Zero Discount",IF(discount_impact_on_profit_2000_rows[[#This Row],[Discount %]]&lt;=10,"Low Discount","High Discount"))</f>
        <v>Low Discount</v>
      </c>
      <c r="N700" t="str">
        <f t="shared" si="10"/>
        <v>0-10%</v>
      </c>
    </row>
    <row r="701" spans="1:14">
      <c r="A701" s="1">
        <v>45425</v>
      </c>
      <c r="B701" t="s">
        <v>763</v>
      </c>
      <c r="C701" t="s">
        <v>11</v>
      </c>
      <c r="D701" t="s">
        <v>64</v>
      </c>
      <c r="E701">
        <v>1463.8</v>
      </c>
      <c r="F701" t="s">
        <v>23</v>
      </c>
      <c r="G701">
        <v>1948.47</v>
      </c>
      <c r="H701">
        <v>484.67</v>
      </c>
      <c r="I701">
        <v>15</v>
      </c>
      <c r="J701">
        <v>1</v>
      </c>
      <c r="K701" t="str">
        <f>TEXT(discount_impact_on_profit_2000_rows[[#This Row],[order date]],"mmmm")</f>
        <v>May</v>
      </c>
      <c r="L701">
        <f>YEAR(discount_impact_on_profit_2000_rows[[#This Row],[order date]])</f>
        <v>2024</v>
      </c>
      <c r="M701" t="str">
        <f>IF(discount_impact_on_profit_2000_rows[[#This Row],[Discount %]]=0,"Zero Discount",IF(discount_impact_on_profit_2000_rows[[#This Row],[Discount %]]&lt;=10,"Low Discount","High Discount"))</f>
        <v>High Discount</v>
      </c>
      <c r="N701" t="str">
        <f t="shared" si="10"/>
        <v>10-20%</v>
      </c>
    </row>
    <row r="702" spans="1:14">
      <c r="A702" s="1">
        <v>45545</v>
      </c>
      <c r="B702" t="s">
        <v>764</v>
      </c>
      <c r="C702" t="s">
        <v>33</v>
      </c>
      <c r="D702" t="s">
        <v>102</v>
      </c>
      <c r="E702">
        <v>14911.36</v>
      </c>
      <c r="F702" t="s">
        <v>13</v>
      </c>
      <c r="G702">
        <v>18383.38</v>
      </c>
      <c r="H702">
        <v>3472.02</v>
      </c>
      <c r="I702">
        <v>20</v>
      </c>
      <c r="J702">
        <v>4</v>
      </c>
      <c r="K702" t="str">
        <f>TEXT(discount_impact_on_profit_2000_rows[[#This Row],[order date]],"mmmm")</f>
        <v>September</v>
      </c>
      <c r="L702">
        <f>YEAR(discount_impact_on_profit_2000_rows[[#This Row],[order date]])</f>
        <v>2024</v>
      </c>
      <c r="M702" t="str">
        <f>IF(discount_impact_on_profit_2000_rows[[#This Row],[Discount %]]=0,"Zero Discount",IF(discount_impact_on_profit_2000_rows[[#This Row],[Discount %]]&lt;=10,"Low Discount","High Discount"))</f>
        <v>High Discount</v>
      </c>
      <c r="N702" t="str">
        <f t="shared" si="10"/>
        <v>10-20%</v>
      </c>
    </row>
    <row r="703" spans="1:14">
      <c r="A703" s="1">
        <v>45125</v>
      </c>
      <c r="B703" t="s">
        <v>765</v>
      </c>
      <c r="C703" t="s">
        <v>21</v>
      </c>
      <c r="D703" t="s">
        <v>123</v>
      </c>
      <c r="E703">
        <v>6614.52</v>
      </c>
      <c r="F703" t="s">
        <v>36</v>
      </c>
      <c r="G703">
        <v>8139.48</v>
      </c>
      <c r="H703">
        <v>1524.96</v>
      </c>
      <c r="I703">
        <v>5</v>
      </c>
      <c r="J703">
        <v>3</v>
      </c>
      <c r="K703" t="str">
        <f>TEXT(discount_impact_on_profit_2000_rows[[#This Row],[order date]],"mmmm")</f>
        <v>July</v>
      </c>
      <c r="L703">
        <f>YEAR(discount_impact_on_profit_2000_rows[[#This Row],[order date]])</f>
        <v>2023</v>
      </c>
      <c r="M703" t="str">
        <f>IF(discount_impact_on_profit_2000_rows[[#This Row],[Discount %]]=0,"Zero Discount",IF(discount_impact_on_profit_2000_rows[[#This Row],[Discount %]]&lt;=10,"Low Discount","High Discount"))</f>
        <v>Low Discount</v>
      </c>
      <c r="N703" t="str">
        <f t="shared" si="10"/>
        <v>0-10%</v>
      </c>
    </row>
    <row r="704" spans="1:14">
      <c r="A704" s="1">
        <v>45325</v>
      </c>
      <c r="B704" t="s">
        <v>766</v>
      </c>
      <c r="C704" t="s">
        <v>33</v>
      </c>
      <c r="D704" t="s">
        <v>102</v>
      </c>
      <c r="E704">
        <v>13650.07</v>
      </c>
      <c r="F704" t="s">
        <v>23</v>
      </c>
      <c r="G704">
        <v>22673.22</v>
      </c>
      <c r="H704">
        <v>9023.15</v>
      </c>
      <c r="I704">
        <v>0</v>
      </c>
      <c r="J704">
        <v>2</v>
      </c>
      <c r="K704" t="str">
        <f>TEXT(discount_impact_on_profit_2000_rows[[#This Row],[order date]],"mmmm")</f>
        <v>February</v>
      </c>
      <c r="L704">
        <f>YEAR(discount_impact_on_profit_2000_rows[[#This Row],[order date]])</f>
        <v>2024</v>
      </c>
      <c r="M704" t="str">
        <f>IF(discount_impact_on_profit_2000_rows[[#This Row],[Discount %]]=0,"Zero Discount",IF(discount_impact_on_profit_2000_rows[[#This Row],[Discount %]]&lt;=10,"Low Discount","High Discount"))</f>
        <v>Zero Discount</v>
      </c>
      <c r="N704" t="str">
        <f t="shared" si="10"/>
        <v>0-10%</v>
      </c>
    </row>
    <row r="705" spans="1:14">
      <c r="A705" s="1">
        <v>45354</v>
      </c>
      <c r="B705" t="s">
        <v>767</v>
      </c>
      <c r="C705" t="s">
        <v>53</v>
      </c>
      <c r="D705" t="s">
        <v>54</v>
      </c>
      <c r="E705">
        <v>2027.02</v>
      </c>
      <c r="F705" t="s">
        <v>13</v>
      </c>
      <c r="G705">
        <v>2545.58</v>
      </c>
      <c r="H705">
        <v>518.55999999999995</v>
      </c>
      <c r="I705">
        <v>15</v>
      </c>
      <c r="J705">
        <v>2</v>
      </c>
      <c r="K705" t="str">
        <f>TEXT(discount_impact_on_profit_2000_rows[[#This Row],[order date]],"mmmm")</f>
        <v>March</v>
      </c>
      <c r="L705">
        <f>YEAR(discount_impact_on_profit_2000_rows[[#This Row],[order date]])</f>
        <v>2024</v>
      </c>
      <c r="M705" t="str">
        <f>IF(discount_impact_on_profit_2000_rows[[#This Row],[Discount %]]=0,"Zero Discount",IF(discount_impact_on_profit_2000_rows[[#This Row],[Discount %]]&lt;=10,"Low Discount","High Discount"))</f>
        <v>High Discount</v>
      </c>
      <c r="N705" t="str">
        <f t="shared" si="10"/>
        <v>10-20%</v>
      </c>
    </row>
    <row r="706" spans="1:14">
      <c r="A706" s="1">
        <v>45215</v>
      </c>
      <c r="B706" t="s">
        <v>768</v>
      </c>
      <c r="C706" t="s">
        <v>11</v>
      </c>
      <c r="D706" t="s">
        <v>207</v>
      </c>
      <c r="E706">
        <v>732.07</v>
      </c>
      <c r="F706" t="s">
        <v>26</v>
      </c>
      <c r="G706">
        <v>1095.23</v>
      </c>
      <c r="H706">
        <v>363.16</v>
      </c>
      <c r="I706">
        <v>15</v>
      </c>
      <c r="J706">
        <v>2</v>
      </c>
      <c r="K706" t="str">
        <f>TEXT(discount_impact_on_profit_2000_rows[[#This Row],[order date]],"mmmm")</f>
        <v>October</v>
      </c>
      <c r="L706">
        <f>YEAR(discount_impact_on_profit_2000_rows[[#This Row],[order date]])</f>
        <v>2023</v>
      </c>
      <c r="M706" t="str">
        <f>IF(discount_impact_on_profit_2000_rows[[#This Row],[Discount %]]=0,"Zero Discount",IF(discount_impact_on_profit_2000_rows[[#This Row],[Discount %]]&lt;=10,"Low Discount","High Discount"))</f>
        <v>High Discount</v>
      </c>
      <c r="N706" t="str">
        <f t="shared" ref="N706:N769" si="11">IF(I706&lt;=10,"0-10%",IF(I706&lt;=20,"10-20%",IF(I706&lt;=30,"20-30%","30%+")))</f>
        <v>10-20%</v>
      </c>
    </row>
    <row r="707" spans="1:14">
      <c r="A707" s="1">
        <v>45894</v>
      </c>
      <c r="B707" t="s">
        <v>769</v>
      </c>
      <c r="C707" t="s">
        <v>18</v>
      </c>
      <c r="D707" t="s">
        <v>50</v>
      </c>
      <c r="E707">
        <v>2171.8000000000002</v>
      </c>
      <c r="F707" t="s">
        <v>36</v>
      </c>
      <c r="G707">
        <v>3064.06</v>
      </c>
      <c r="H707">
        <v>892.26</v>
      </c>
      <c r="I707">
        <v>30</v>
      </c>
      <c r="J707">
        <v>3</v>
      </c>
      <c r="K707" t="str">
        <f>TEXT(discount_impact_on_profit_2000_rows[[#This Row],[order date]],"mmmm")</f>
        <v>August</v>
      </c>
      <c r="L707">
        <f>YEAR(discount_impact_on_profit_2000_rows[[#This Row],[order date]])</f>
        <v>2025</v>
      </c>
      <c r="M707" t="str">
        <f>IF(discount_impact_on_profit_2000_rows[[#This Row],[Discount %]]=0,"Zero Discount",IF(discount_impact_on_profit_2000_rows[[#This Row],[Discount %]]&lt;=10,"Low Discount","High Discount"))</f>
        <v>High Discount</v>
      </c>
      <c r="N707" t="str">
        <f t="shared" si="11"/>
        <v>20-30%</v>
      </c>
    </row>
    <row r="708" spans="1:14">
      <c r="A708" s="1">
        <v>45698</v>
      </c>
      <c r="B708" t="s">
        <v>770</v>
      </c>
      <c r="C708" t="s">
        <v>53</v>
      </c>
      <c r="D708" t="s">
        <v>59</v>
      </c>
      <c r="E708">
        <v>7826.92</v>
      </c>
      <c r="F708" t="s">
        <v>23</v>
      </c>
      <c r="G708">
        <v>11547.71</v>
      </c>
      <c r="H708">
        <v>3720.79</v>
      </c>
      <c r="I708">
        <v>0</v>
      </c>
      <c r="J708">
        <v>3</v>
      </c>
      <c r="K708" t="str">
        <f>TEXT(discount_impact_on_profit_2000_rows[[#This Row],[order date]],"mmmm")</f>
        <v>February</v>
      </c>
      <c r="L708">
        <f>YEAR(discount_impact_on_profit_2000_rows[[#This Row],[order date]])</f>
        <v>2025</v>
      </c>
      <c r="M708" t="str">
        <f>IF(discount_impact_on_profit_2000_rows[[#This Row],[Discount %]]=0,"Zero Discount",IF(discount_impact_on_profit_2000_rows[[#This Row],[Discount %]]&lt;=10,"Low Discount","High Discount"))</f>
        <v>Zero Discount</v>
      </c>
      <c r="N708" t="str">
        <f t="shared" si="11"/>
        <v>0-10%</v>
      </c>
    </row>
    <row r="709" spans="1:14">
      <c r="A709" s="1">
        <v>45768</v>
      </c>
      <c r="B709" t="s">
        <v>771</v>
      </c>
      <c r="C709" t="s">
        <v>11</v>
      </c>
      <c r="D709" t="s">
        <v>80</v>
      </c>
      <c r="E709">
        <v>4084.26</v>
      </c>
      <c r="F709" t="s">
        <v>36</v>
      </c>
      <c r="G709">
        <v>9089.7800000000007</v>
      </c>
      <c r="H709">
        <v>5005.5200000000004</v>
      </c>
      <c r="I709">
        <v>0</v>
      </c>
      <c r="J709">
        <v>2</v>
      </c>
      <c r="K709" t="str">
        <f>TEXT(discount_impact_on_profit_2000_rows[[#This Row],[order date]],"mmmm")</f>
        <v>April</v>
      </c>
      <c r="L709">
        <f>YEAR(discount_impact_on_profit_2000_rows[[#This Row],[order date]])</f>
        <v>2025</v>
      </c>
      <c r="M709" t="str">
        <f>IF(discount_impact_on_profit_2000_rows[[#This Row],[Discount %]]=0,"Zero Discount",IF(discount_impact_on_profit_2000_rows[[#This Row],[Discount %]]&lt;=10,"Low Discount","High Discount"))</f>
        <v>Zero Discount</v>
      </c>
      <c r="N709" t="str">
        <f t="shared" si="11"/>
        <v>0-10%</v>
      </c>
    </row>
    <row r="710" spans="1:14">
      <c r="A710" s="1">
        <v>45995</v>
      </c>
      <c r="B710" t="s">
        <v>772</v>
      </c>
      <c r="C710" t="s">
        <v>53</v>
      </c>
      <c r="D710" t="s">
        <v>152</v>
      </c>
      <c r="E710">
        <v>4387.33</v>
      </c>
      <c r="F710" t="s">
        <v>13</v>
      </c>
      <c r="G710">
        <v>6839.85</v>
      </c>
      <c r="H710">
        <v>2452.52</v>
      </c>
      <c r="I710">
        <v>5</v>
      </c>
      <c r="J710">
        <v>4</v>
      </c>
      <c r="K710" t="str">
        <f>TEXT(discount_impact_on_profit_2000_rows[[#This Row],[order date]],"mmmm")</f>
        <v>December</v>
      </c>
      <c r="L710">
        <f>YEAR(discount_impact_on_profit_2000_rows[[#This Row],[order date]])</f>
        <v>2025</v>
      </c>
      <c r="M710" t="str">
        <f>IF(discount_impact_on_profit_2000_rows[[#This Row],[Discount %]]=0,"Zero Discount",IF(discount_impact_on_profit_2000_rows[[#This Row],[Discount %]]&lt;=10,"Low Discount","High Discount"))</f>
        <v>Low Discount</v>
      </c>
      <c r="N710" t="str">
        <f t="shared" si="11"/>
        <v>0-10%</v>
      </c>
    </row>
    <row r="711" spans="1:14">
      <c r="A711" s="1">
        <v>45956</v>
      </c>
      <c r="B711" t="s">
        <v>773</v>
      </c>
      <c r="C711" t="s">
        <v>15</v>
      </c>
      <c r="D711" t="s">
        <v>99</v>
      </c>
      <c r="E711">
        <v>67352.639999999999</v>
      </c>
      <c r="F711" t="s">
        <v>31</v>
      </c>
      <c r="G711">
        <v>78431.360000000001</v>
      </c>
      <c r="H711">
        <v>11078.72</v>
      </c>
      <c r="I711">
        <v>5</v>
      </c>
      <c r="J711">
        <v>5</v>
      </c>
      <c r="K711" t="str">
        <f>TEXT(discount_impact_on_profit_2000_rows[[#This Row],[order date]],"mmmm")</f>
        <v>October</v>
      </c>
      <c r="L711">
        <f>YEAR(discount_impact_on_profit_2000_rows[[#This Row],[order date]])</f>
        <v>2025</v>
      </c>
      <c r="M711" t="str">
        <f>IF(discount_impact_on_profit_2000_rows[[#This Row],[Discount %]]=0,"Zero Discount",IF(discount_impact_on_profit_2000_rows[[#This Row],[Discount %]]&lt;=10,"Low Discount","High Discount"))</f>
        <v>Low Discount</v>
      </c>
      <c r="N711" t="str">
        <f t="shared" si="11"/>
        <v>0-10%</v>
      </c>
    </row>
    <row r="712" spans="1:14">
      <c r="A712" s="1">
        <v>45148</v>
      </c>
      <c r="B712" t="s">
        <v>774</v>
      </c>
      <c r="C712" t="s">
        <v>18</v>
      </c>
      <c r="D712" t="s">
        <v>140</v>
      </c>
      <c r="E712">
        <v>258.04000000000002</v>
      </c>
      <c r="F712" t="s">
        <v>31</v>
      </c>
      <c r="G712">
        <v>444.29</v>
      </c>
      <c r="H712">
        <v>186.25</v>
      </c>
      <c r="I712">
        <v>15</v>
      </c>
      <c r="J712">
        <v>2</v>
      </c>
      <c r="K712" t="str">
        <f>TEXT(discount_impact_on_profit_2000_rows[[#This Row],[order date]],"mmmm")</f>
        <v>August</v>
      </c>
      <c r="L712">
        <f>YEAR(discount_impact_on_profit_2000_rows[[#This Row],[order date]])</f>
        <v>2023</v>
      </c>
      <c r="M712" t="str">
        <f>IF(discount_impact_on_profit_2000_rows[[#This Row],[Discount %]]=0,"Zero Discount",IF(discount_impact_on_profit_2000_rows[[#This Row],[Discount %]]&lt;=10,"Low Discount","High Discount"))</f>
        <v>High Discount</v>
      </c>
      <c r="N712" t="str">
        <f t="shared" si="11"/>
        <v>10-20%</v>
      </c>
    </row>
    <row r="713" spans="1:14">
      <c r="A713" s="1">
        <v>44981</v>
      </c>
      <c r="B713" t="s">
        <v>775</v>
      </c>
      <c r="C713" t="s">
        <v>53</v>
      </c>
      <c r="D713" t="s">
        <v>152</v>
      </c>
      <c r="E713">
        <v>479.42</v>
      </c>
      <c r="F713" t="s">
        <v>23</v>
      </c>
      <c r="G713">
        <v>855.94</v>
      </c>
      <c r="H713">
        <v>376.52</v>
      </c>
      <c r="I713">
        <v>15</v>
      </c>
      <c r="J713">
        <v>2</v>
      </c>
      <c r="K713" t="str">
        <f>TEXT(discount_impact_on_profit_2000_rows[[#This Row],[order date]],"mmmm")</f>
        <v>February</v>
      </c>
      <c r="L713">
        <f>YEAR(discount_impact_on_profit_2000_rows[[#This Row],[order date]])</f>
        <v>2023</v>
      </c>
      <c r="M713" t="str">
        <f>IF(discount_impact_on_profit_2000_rows[[#This Row],[Discount %]]=0,"Zero Discount",IF(discount_impact_on_profit_2000_rows[[#This Row],[Discount %]]&lt;=10,"Low Discount","High Discount"))</f>
        <v>High Discount</v>
      </c>
      <c r="N713" t="str">
        <f t="shared" si="11"/>
        <v>10-20%</v>
      </c>
    </row>
    <row r="714" spans="1:14">
      <c r="A714" s="1">
        <v>45048</v>
      </c>
      <c r="B714" t="s">
        <v>776</v>
      </c>
      <c r="C714" t="s">
        <v>53</v>
      </c>
      <c r="D714" t="s">
        <v>152</v>
      </c>
      <c r="E714">
        <v>3667.18</v>
      </c>
      <c r="F714" t="s">
        <v>31</v>
      </c>
      <c r="G714">
        <v>4827.55</v>
      </c>
      <c r="H714">
        <v>1160.3699999999999</v>
      </c>
      <c r="I714">
        <v>20</v>
      </c>
      <c r="J714">
        <v>5</v>
      </c>
      <c r="K714" t="str">
        <f>TEXT(discount_impact_on_profit_2000_rows[[#This Row],[order date]],"mmmm")</f>
        <v>May</v>
      </c>
      <c r="L714">
        <f>YEAR(discount_impact_on_profit_2000_rows[[#This Row],[order date]])</f>
        <v>2023</v>
      </c>
      <c r="M714" t="str">
        <f>IF(discount_impact_on_profit_2000_rows[[#This Row],[Discount %]]=0,"Zero Discount",IF(discount_impact_on_profit_2000_rows[[#This Row],[Discount %]]&lt;=10,"Low Discount","High Discount"))</f>
        <v>High Discount</v>
      </c>
      <c r="N714" t="str">
        <f t="shared" si="11"/>
        <v>10-20%</v>
      </c>
    </row>
    <row r="715" spans="1:14">
      <c r="A715" s="1">
        <v>45652</v>
      </c>
      <c r="B715" t="s">
        <v>777</v>
      </c>
      <c r="C715" t="s">
        <v>53</v>
      </c>
      <c r="D715" t="s">
        <v>95</v>
      </c>
      <c r="E715">
        <v>4127.28</v>
      </c>
      <c r="F715" t="s">
        <v>31</v>
      </c>
      <c r="G715">
        <v>7569.56</v>
      </c>
      <c r="H715">
        <v>3442.28</v>
      </c>
      <c r="I715">
        <v>10</v>
      </c>
      <c r="J715">
        <v>2</v>
      </c>
      <c r="K715" t="str">
        <f>TEXT(discount_impact_on_profit_2000_rows[[#This Row],[order date]],"mmmm")</f>
        <v>December</v>
      </c>
      <c r="L715">
        <f>YEAR(discount_impact_on_profit_2000_rows[[#This Row],[order date]])</f>
        <v>2024</v>
      </c>
      <c r="M715" t="str">
        <f>IF(discount_impact_on_profit_2000_rows[[#This Row],[Discount %]]=0,"Zero Discount",IF(discount_impact_on_profit_2000_rows[[#This Row],[Discount %]]&lt;=10,"Low Discount","High Discount"))</f>
        <v>Low Discount</v>
      </c>
      <c r="N715" t="str">
        <f t="shared" si="11"/>
        <v>0-10%</v>
      </c>
    </row>
    <row r="716" spans="1:14">
      <c r="A716" s="1">
        <v>45842</v>
      </c>
      <c r="B716" t="s">
        <v>778</v>
      </c>
      <c r="C716" t="s">
        <v>21</v>
      </c>
      <c r="D716" t="s">
        <v>22</v>
      </c>
      <c r="E716">
        <v>19125.73</v>
      </c>
      <c r="F716" t="s">
        <v>36</v>
      </c>
      <c r="G716">
        <v>21662.31</v>
      </c>
      <c r="H716">
        <v>2536.58</v>
      </c>
      <c r="I716">
        <v>10</v>
      </c>
      <c r="J716">
        <v>2</v>
      </c>
      <c r="K716" t="str">
        <f>TEXT(discount_impact_on_profit_2000_rows[[#This Row],[order date]],"mmmm")</f>
        <v>July</v>
      </c>
      <c r="L716">
        <f>YEAR(discount_impact_on_profit_2000_rows[[#This Row],[order date]])</f>
        <v>2025</v>
      </c>
      <c r="M716" t="str">
        <f>IF(discount_impact_on_profit_2000_rows[[#This Row],[Discount %]]=0,"Zero Discount",IF(discount_impact_on_profit_2000_rows[[#This Row],[Discount %]]&lt;=10,"Low Discount","High Discount"))</f>
        <v>Low Discount</v>
      </c>
      <c r="N716" t="str">
        <f t="shared" si="11"/>
        <v>0-10%</v>
      </c>
    </row>
    <row r="717" spans="1:14">
      <c r="A717" s="1">
        <v>45691</v>
      </c>
      <c r="B717" t="s">
        <v>779</v>
      </c>
      <c r="C717" t="s">
        <v>21</v>
      </c>
      <c r="D717" t="s">
        <v>97</v>
      </c>
      <c r="E717">
        <v>14180.47</v>
      </c>
      <c r="F717" t="s">
        <v>36</v>
      </c>
      <c r="G717">
        <v>17154.77</v>
      </c>
      <c r="H717">
        <v>2974.3</v>
      </c>
      <c r="I717">
        <v>10</v>
      </c>
      <c r="J717">
        <v>3</v>
      </c>
      <c r="K717" t="str">
        <f>TEXT(discount_impact_on_profit_2000_rows[[#This Row],[order date]],"mmmm")</f>
        <v>February</v>
      </c>
      <c r="L717">
        <f>YEAR(discount_impact_on_profit_2000_rows[[#This Row],[order date]])</f>
        <v>2025</v>
      </c>
      <c r="M717" t="str">
        <f>IF(discount_impact_on_profit_2000_rows[[#This Row],[Discount %]]=0,"Zero Discount",IF(discount_impact_on_profit_2000_rows[[#This Row],[Discount %]]&lt;=10,"Low Discount","High Discount"))</f>
        <v>Low Discount</v>
      </c>
      <c r="N717" t="str">
        <f t="shared" si="11"/>
        <v>0-10%</v>
      </c>
    </row>
    <row r="718" spans="1:14">
      <c r="A718" s="1">
        <v>45226</v>
      </c>
      <c r="B718" t="s">
        <v>780</v>
      </c>
      <c r="C718" t="s">
        <v>18</v>
      </c>
      <c r="D718" t="s">
        <v>50</v>
      </c>
      <c r="E718">
        <v>2442.8000000000002</v>
      </c>
      <c r="F718" t="s">
        <v>36</v>
      </c>
      <c r="G718">
        <v>4636.4799999999996</v>
      </c>
      <c r="H718">
        <v>2193.6799999999998</v>
      </c>
      <c r="I718">
        <v>0</v>
      </c>
      <c r="J718">
        <v>5</v>
      </c>
      <c r="K718" t="str">
        <f>TEXT(discount_impact_on_profit_2000_rows[[#This Row],[order date]],"mmmm")</f>
        <v>October</v>
      </c>
      <c r="L718">
        <f>YEAR(discount_impact_on_profit_2000_rows[[#This Row],[order date]])</f>
        <v>2023</v>
      </c>
      <c r="M718" t="str">
        <f>IF(discount_impact_on_profit_2000_rows[[#This Row],[Discount %]]=0,"Zero Discount",IF(discount_impact_on_profit_2000_rows[[#This Row],[Discount %]]&lt;=10,"Low Discount","High Discount"))</f>
        <v>Zero Discount</v>
      </c>
      <c r="N718" t="str">
        <f t="shared" si="11"/>
        <v>0-10%</v>
      </c>
    </row>
    <row r="719" spans="1:14">
      <c r="A719" s="1">
        <v>45951</v>
      </c>
      <c r="B719" t="s">
        <v>781</v>
      </c>
      <c r="C719" t="s">
        <v>53</v>
      </c>
      <c r="D719" t="s">
        <v>113</v>
      </c>
      <c r="E719">
        <v>2843.08</v>
      </c>
      <c r="F719" t="s">
        <v>23</v>
      </c>
      <c r="G719">
        <v>4025.08</v>
      </c>
      <c r="H719">
        <v>1182</v>
      </c>
      <c r="I719">
        <v>5</v>
      </c>
      <c r="J719">
        <v>1</v>
      </c>
      <c r="K719" t="str">
        <f>TEXT(discount_impact_on_profit_2000_rows[[#This Row],[order date]],"mmmm")</f>
        <v>October</v>
      </c>
      <c r="L719">
        <f>YEAR(discount_impact_on_profit_2000_rows[[#This Row],[order date]])</f>
        <v>2025</v>
      </c>
      <c r="M719" t="str">
        <f>IF(discount_impact_on_profit_2000_rows[[#This Row],[Discount %]]=0,"Zero Discount",IF(discount_impact_on_profit_2000_rows[[#This Row],[Discount %]]&lt;=10,"Low Discount","High Discount"))</f>
        <v>Low Discount</v>
      </c>
      <c r="N719" t="str">
        <f t="shared" si="11"/>
        <v>0-10%</v>
      </c>
    </row>
    <row r="720" spans="1:14">
      <c r="A720" s="1">
        <v>45367</v>
      </c>
      <c r="B720" t="s">
        <v>782</v>
      </c>
      <c r="C720" t="s">
        <v>21</v>
      </c>
      <c r="D720" t="s">
        <v>97</v>
      </c>
      <c r="E720">
        <v>1167.1400000000001</v>
      </c>
      <c r="F720" t="s">
        <v>36</v>
      </c>
      <c r="G720">
        <v>1402.03</v>
      </c>
      <c r="H720">
        <v>234.89</v>
      </c>
      <c r="I720">
        <v>0</v>
      </c>
      <c r="J720">
        <v>1</v>
      </c>
      <c r="K720" t="str">
        <f>TEXT(discount_impact_on_profit_2000_rows[[#This Row],[order date]],"mmmm")</f>
        <v>March</v>
      </c>
      <c r="L720">
        <f>YEAR(discount_impact_on_profit_2000_rows[[#This Row],[order date]])</f>
        <v>2024</v>
      </c>
      <c r="M720" t="str">
        <f>IF(discount_impact_on_profit_2000_rows[[#This Row],[Discount %]]=0,"Zero Discount",IF(discount_impact_on_profit_2000_rows[[#This Row],[Discount %]]&lt;=10,"Low Discount","High Discount"))</f>
        <v>Zero Discount</v>
      </c>
      <c r="N720" t="str">
        <f t="shared" si="11"/>
        <v>0-10%</v>
      </c>
    </row>
    <row r="721" spans="1:14">
      <c r="A721" s="1">
        <v>44942</v>
      </c>
      <c r="B721" t="s">
        <v>783</v>
      </c>
      <c r="C721" t="s">
        <v>33</v>
      </c>
      <c r="D721" t="s">
        <v>92</v>
      </c>
      <c r="E721">
        <v>2170.4299999999998</v>
      </c>
      <c r="F721" t="s">
        <v>31</v>
      </c>
      <c r="G721">
        <v>2468.62</v>
      </c>
      <c r="H721">
        <v>298.19</v>
      </c>
      <c r="I721">
        <v>30</v>
      </c>
      <c r="J721">
        <v>1</v>
      </c>
      <c r="K721" t="str">
        <f>TEXT(discount_impact_on_profit_2000_rows[[#This Row],[order date]],"mmmm")</f>
        <v>January</v>
      </c>
      <c r="L721">
        <f>YEAR(discount_impact_on_profit_2000_rows[[#This Row],[order date]])</f>
        <v>2023</v>
      </c>
      <c r="M721" t="str">
        <f>IF(discount_impact_on_profit_2000_rows[[#This Row],[Discount %]]=0,"Zero Discount",IF(discount_impact_on_profit_2000_rows[[#This Row],[Discount %]]&lt;=10,"Low Discount","High Discount"))</f>
        <v>High Discount</v>
      </c>
      <c r="N721" t="str">
        <f t="shared" si="11"/>
        <v>20-30%</v>
      </c>
    </row>
    <row r="722" spans="1:14">
      <c r="A722" s="1">
        <v>45164</v>
      </c>
      <c r="B722" t="s">
        <v>784</v>
      </c>
      <c r="C722" t="s">
        <v>11</v>
      </c>
      <c r="D722" t="s">
        <v>207</v>
      </c>
      <c r="E722">
        <v>14625.27</v>
      </c>
      <c r="F722" t="s">
        <v>13</v>
      </c>
      <c r="G722">
        <v>22616.34</v>
      </c>
      <c r="H722">
        <v>7991.07</v>
      </c>
      <c r="I722">
        <v>0</v>
      </c>
      <c r="J722">
        <v>6</v>
      </c>
      <c r="K722" t="str">
        <f>TEXT(discount_impact_on_profit_2000_rows[[#This Row],[order date]],"mmmm")</f>
        <v>August</v>
      </c>
      <c r="L722">
        <f>YEAR(discount_impact_on_profit_2000_rows[[#This Row],[order date]])</f>
        <v>2023</v>
      </c>
      <c r="M722" t="str">
        <f>IF(discount_impact_on_profit_2000_rows[[#This Row],[Discount %]]=0,"Zero Discount",IF(discount_impact_on_profit_2000_rows[[#This Row],[Discount %]]&lt;=10,"Low Discount","High Discount"))</f>
        <v>Zero Discount</v>
      </c>
      <c r="N722" t="str">
        <f t="shared" si="11"/>
        <v>0-10%</v>
      </c>
    </row>
    <row r="723" spans="1:14">
      <c r="A723" s="1">
        <v>45637</v>
      </c>
      <c r="B723" t="s">
        <v>785</v>
      </c>
      <c r="C723" t="s">
        <v>18</v>
      </c>
      <c r="D723" t="s">
        <v>42</v>
      </c>
      <c r="E723">
        <v>222.07</v>
      </c>
      <c r="F723" t="s">
        <v>31</v>
      </c>
      <c r="G723">
        <v>374.88</v>
      </c>
      <c r="H723">
        <v>152.81</v>
      </c>
      <c r="I723">
        <v>5</v>
      </c>
      <c r="J723">
        <v>3</v>
      </c>
      <c r="K723" t="str">
        <f>TEXT(discount_impact_on_profit_2000_rows[[#This Row],[order date]],"mmmm")</f>
        <v>December</v>
      </c>
      <c r="L723">
        <f>YEAR(discount_impact_on_profit_2000_rows[[#This Row],[order date]])</f>
        <v>2024</v>
      </c>
      <c r="M723" t="str">
        <f>IF(discount_impact_on_profit_2000_rows[[#This Row],[Discount %]]=0,"Zero Discount",IF(discount_impact_on_profit_2000_rows[[#This Row],[Discount %]]&lt;=10,"Low Discount","High Discount"))</f>
        <v>Low Discount</v>
      </c>
      <c r="N723" t="str">
        <f t="shared" si="11"/>
        <v>0-10%</v>
      </c>
    </row>
    <row r="724" spans="1:14">
      <c r="A724" s="1">
        <v>45586</v>
      </c>
      <c r="B724" t="s">
        <v>786</v>
      </c>
      <c r="C724" t="s">
        <v>18</v>
      </c>
      <c r="D724" t="s">
        <v>140</v>
      </c>
      <c r="E724">
        <v>267.49</v>
      </c>
      <c r="F724" t="s">
        <v>31</v>
      </c>
      <c r="G724">
        <v>409.85</v>
      </c>
      <c r="H724">
        <v>142.36000000000001</v>
      </c>
      <c r="I724">
        <v>10</v>
      </c>
      <c r="J724">
        <v>4</v>
      </c>
      <c r="K724" t="str">
        <f>TEXT(discount_impact_on_profit_2000_rows[[#This Row],[order date]],"mmmm")</f>
        <v>October</v>
      </c>
      <c r="L724">
        <f>YEAR(discount_impact_on_profit_2000_rows[[#This Row],[order date]])</f>
        <v>2024</v>
      </c>
      <c r="M724" t="str">
        <f>IF(discount_impact_on_profit_2000_rows[[#This Row],[Discount %]]=0,"Zero Discount",IF(discount_impact_on_profit_2000_rows[[#This Row],[Discount %]]&lt;=10,"Low Discount","High Discount"))</f>
        <v>Low Discount</v>
      </c>
      <c r="N724" t="str">
        <f t="shared" si="11"/>
        <v>0-10%</v>
      </c>
    </row>
    <row r="725" spans="1:14">
      <c r="A725" s="1">
        <v>45491</v>
      </c>
      <c r="B725" t="s">
        <v>787</v>
      </c>
      <c r="C725" t="s">
        <v>53</v>
      </c>
      <c r="D725" t="s">
        <v>59</v>
      </c>
      <c r="E725">
        <v>1659.65</v>
      </c>
      <c r="F725" t="s">
        <v>36</v>
      </c>
      <c r="G725">
        <v>3412.57</v>
      </c>
      <c r="H725">
        <v>1752.92</v>
      </c>
      <c r="I725">
        <v>0</v>
      </c>
      <c r="J725">
        <v>3</v>
      </c>
      <c r="K725" t="str">
        <f>TEXT(discount_impact_on_profit_2000_rows[[#This Row],[order date]],"mmmm")</f>
        <v>July</v>
      </c>
      <c r="L725">
        <f>YEAR(discount_impact_on_profit_2000_rows[[#This Row],[order date]])</f>
        <v>2024</v>
      </c>
      <c r="M725" t="str">
        <f>IF(discount_impact_on_profit_2000_rows[[#This Row],[Discount %]]=0,"Zero Discount",IF(discount_impact_on_profit_2000_rows[[#This Row],[Discount %]]&lt;=10,"Low Discount","High Discount"))</f>
        <v>Zero Discount</v>
      </c>
      <c r="N725" t="str">
        <f t="shared" si="11"/>
        <v>0-10%</v>
      </c>
    </row>
    <row r="726" spans="1:14">
      <c r="A726" s="1">
        <v>44969</v>
      </c>
      <c r="B726" t="s">
        <v>788</v>
      </c>
      <c r="C726" t="s">
        <v>18</v>
      </c>
      <c r="D726" t="s">
        <v>188</v>
      </c>
      <c r="E726">
        <v>468.92</v>
      </c>
      <c r="F726" t="s">
        <v>26</v>
      </c>
      <c r="G726">
        <v>830.45</v>
      </c>
      <c r="H726">
        <v>361.53</v>
      </c>
      <c r="I726">
        <v>20</v>
      </c>
      <c r="J726">
        <v>5</v>
      </c>
      <c r="K726" t="str">
        <f>TEXT(discount_impact_on_profit_2000_rows[[#This Row],[order date]],"mmmm")</f>
        <v>February</v>
      </c>
      <c r="L726">
        <f>YEAR(discount_impact_on_profit_2000_rows[[#This Row],[order date]])</f>
        <v>2023</v>
      </c>
      <c r="M726" t="str">
        <f>IF(discount_impact_on_profit_2000_rows[[#This Row],[Discount %]]=0,"Zero Discount",IF(discount_impact_on_profit_2000_rows[[#This Row],[Discount %]]&lt;=10,"Low Discount","High Discount"))</f>
        <v>High Discount</v>
      </c>
      <c r="N726" t="str">
        <f t="shared" si="11"/>
        <v>10-20%</v>
      </c>
    </row>
    <row r="727" spans="1:14">
      <c r="A727" s="1">
        <v>45785</v>
      </c>
      <c r="B727" t="s">
        <v>789</v>
      </c>
      <c r="C727" t="s">
        <v>21</v>
      </c>
      <c r="D727" t="s">
        <v>123</v>
      </c>
      <c r="E727">
        <v>5077.72</v>
      </c>
      <c r="F727" t="s">
        <v>26</v>
      </c>
      <c r="G727">
        <v>5088.1400000000003</v>
      </c>
      <c r="H727">
        <v>10.42</v>
      </c>
      <c r="I727">
        <v>29</v>
      </c>
      <c r="J727">
        <v>2</v>
      </c>
      <c r="K727" t="str">
        <f>TEXT(discount_impact_on_profit_2000_rows[[#This Row],[order date]],"mmmm")</f>
        <v>May</v>
      </c>
      <c r="L727">
        <f>YEAR(discount_impact_on_profit_2000_rows[[#This Row],[order date]])</f>
        <v>2025</v>
      </c>
      <c r="M727" t="str">
        <f>IF(discount_impact_on_profit_2000_rows[[#This Row],[Discount %]]=0,"Zero Discount",IF(discount_impact_on_profit_2000_rows[[#This Row],[Discount %]]&lt;=10,"Low Discount","High Discount"))</f>
        <v>High Discount</v>
      </c>
      <c r="N727" t="str">
        <f t="shared" si="11"/>
        <v>20-30%</v>
      </c>
    </row>
    <row r="728" spans="1:14">
      <c r="A728" s="1">
        <v>45925</v>
      </c>
      <c r="B728" t="s">
        <v>790</v>
      </c>
      <c r="C728" t="s">
        <v>33</v>
      </c>
      <c r="D728" t="s">
        <v>102</v>
      </c>
      <c r="E728">
        <v>13652.72</v>
      </c>
      <c r="F728" t="s">
        <v>13</v>
      </c>
      <c r="G728">
        <v>17958</v>
      </c>
      <c r="H728">
        <v>4305.28</v>
      </c>
      <c r="I728">
        <v>15</v>
      </c>
      <c r="J728">
        <v>2</v>
      </c>
      <c r="K728" t="str">
        <f>TEXT(discount_impact_on_profit_2000_rows[[#This Row],[order date]],"mmmm")</f>
        <v>September</v>
      </c>
      <c r="L728">
        <f>YEAR(discount_impact_on_profit_2000_rows[[#This Row],[order date]])</f>
        <v>2025</v>
      </c>
      <c r="M728" t="str">
        <f>IF(discount_impact_on_profit_2000_rows[[#This Row],[Discount %]]=0,"Zero Discount",IF(discount_impact_on_profit_2000_rows[[#This Row],[Discount %]]&lt;=10,"Low Discount","High Discount"))</f>
        <v>High Discount</v>
      </c>
      <c r="N728" t="str">
        <f t="shared" si="11"/>
        <v>10-20%</v>
      </c>
    </row>
    <row r="729" spans="1:14">
      <c r="A729" s="1">
        <v>45281</v>
      </c>
      <c r="B729" t="s">
        <v>791</v>
      </c>
      <c r="C729" t="s">
        <v>18</v>
      </c>
      <c r="D729" t="s">
        <v>88</v>
      </c>
      <c r="E729">
        <v>1184.0999999999999</v>
      </c>
      <c r="F729" t="s">
        <v>31</v>
      </c>
      <c r="G729">
        <v>2280.29</v>
      </c>
      <c r="H729">
        <v>1096.19</v>
      </c>
      <c r="I729">
        <v>10</v>
      </c>
      <c r="J729">
        <v>6</v>
      </c>
      <c r="K729" t="str">
        <f>TEXT(discount_impact_on_profit_2000_rows[[#This Row],[order date]],"mmmm")</f>
        <v>December</v>
      </c>
      <c r="L729">
        <f>YEAR(discount_impact_on_profit_2000_rows[[#This Row],[order date]])</f>
        <v>2023</v>
      </c>
      <c r="M729" t="str">
        <f>IF(discount_impact_on_profit_2000_rows[[#This Row],[Discount %]]=0,"Zero Discount",IF(discount_impact_on_profit_2000_rows[[#This Row],[Discount %]]&lt;=10,"Low Discount","High Discount"))</f>
        <v>Low Discount</v>
      </c>
      <c r="N729" t="str">
        <f t="shared" si="11"/>
        <v>0-10%</v>
      </c>
    </row>
    <row r="730" spans="1:14">
      <c r="A730" s="1">
        <v>45738</v>
      </c>
      <c r="B730" t="s">
        <v>792</v>
      </c>
      <c r="C730" t="s">
        <v>33</v>
      </c>
      <c r="D730" t="s">
        <v>92</v>
      </c>
      <c r="E730">
        <v>68021.009999999995</v>
      </c>
      <c r="F730" t="s">
        <v>36</v>
      </c>
      <c r="G730">
        <v>74996.460000000006</v>
      </c>
      <c r="H730">
        <v>6975.45</v>
      </c>
      <c r="I730">
        <v>20</v>
      </c>
      <c r="J730">
        <v>6</v>
      </c>
      <c r="K730" t="str">
        <f>TEXT(discount_impact_on_profit_2000_rows[[#This Row],[order date]],"mmmm")</f>
        <v>March</v>
      </c>
      <c r="L730">
        <f>YEAR(discount_impact_on_profit_2000_rows[[#This Row],[order date]])</f>
        <v>2025</v>
      </c>
      <c r="M730" t="str">
        <f>IF(discount_impact_on_profit_2000_rows[[#This Row],[Discount %]]=0,"Zero Discount",IF(discount_impact_on_profit_2000_rows[[#This Row],[Discount %]]&lt;=10,"Low Discount","High Discount"))</f>
        <v>High Discount</v>
      </c>
      <c r="N730" t="str">
        <f t="shared" si="11"/>
        <v>10-20%</v>
      </c>
    </row>
    <row r="731" spans="1:14">
      <c r="A731" s="1">
        <v>45977</v>
      </c>
      <c r="B731" t="s">
        <v>793</v>
      </c>
      <c r="C731" t="s">
        <v>21</v>
      </c>
      <c r="D731" t="s">
        <v>57</v>
      </c>
      <c r="E731">
        <v>70193.5</v>
      </c>
      <c r="F731" t="s">
        <v>31</v>
      </c>
      <c r="G731">
        <v>73627.45</v>
      </c>
      <c r="H731">
        <v>3433.95</v>
      </c>
      <c r="I731">
        <v>15</v>
      </c>
      <c r="J731">
        <v>3</v>
      </c>
      <c r="K731" t="str">
        <f>TEXT(discount_impact_on_profit_2000_rows[[#This Row],[order date]],"mmmm")</f>
        <v>November</v>
      </c>
      <c r="L731">
        <f>YEAR(discount_impact_on_profit_2000_rows[[#This Row],[order date]])</f>
        <v>2025</v>
      </c>
      <c r="M731" t="str">
        <f>IF(discount_impact_on_profit_2000_rows[[#This Row],[Discount %]]=0,"Zero Discount",IF(discount_impact_on_profit_2000_rows[[#This Row],[Discount %]]&lt;=10,"Low Discount","High Discount"))</f>
        <v>High Discount</v>
      </c>
      <c r="N731" t="str">
        <f t="shared" si="11"/>
        <v>10-20%</v>
      </c>
    </row>
    <row r="732" spans="1:14">
      <c r="A732" s="1">
        <v>45169</v>
      </c>
      <c r="B732" t="s">
        <v>794</v>
      </c>
      <c r="C732" t="s">
        <v>53</v>
      </c>
      <c r="D732" t="s">
        <v>78</v>
      </c>
      <c r="E732">
        <v>1812.03</v>
      </c>
      <c r="F732" t="s">
        <v>13</v>
      </c>
      <c r="G732">
        <v>3194.38</v>
      </c>
      <c r="H732">
        <v>1382.35</v>
      </c>
      <c r="I732">
        <v>20</v>
      </c>
      <c r="J732">
        <v>4</v>
      </c>
      <c r="K732" t="str">
        <f>TEXT(discount_impact_on_profit_2000_rows[[#This Row],[order date]],"mmmm")</f>
        <v>August</v>
      </c>
      <c r="L732">
        <f>YEAR(discount_impact_on_profit_2000_rows[[#This Row],[order date]])</f>
        <v>2023</v>
      </c>
      <c r="M732" t="str">
        <f>IF(discount_impact_on_profit_2000_rows[[#This Row],[Discount %]]=0,"Zero Discount",IF(discount_impact_on_profit_2000_rows[[#This Row],[Discount %]]&lt;=10,"Low Discount","High Discount"))</f>
        <v>High Discount</v>
      </c>
      <c r="N732" t="str">
        <f t="shared" si="11"/>
        <v>10-20%</v>
      </c>
    </row>
    <row r="733" spans="1:14">
      <c r="A733" s="1">
        <v>45643</v>
      </c>
      <c r="B733" t="s">
        <v>795</v>
      </c>
      <c r="C733" t="s">
        <v>53</v>
      </c>
      <c r="D733" t="s">
        <v>70</v>
      </c>
      <c r="E733">
        <v>10636.91</v>
      </c>
      <c r="F733" t="s">
        <v>26</v>
      </c>
      <c r="G733">
        <v>13521.03</v>
      </c>
      <c r="H733">
        <v>2884.12</v>
      </c>
      <c r="I733">
        <v>25</v>
      </c>
      <c r="J733">
        <v>3</v>
      </c>
      <c r="K733" t="str">
        <f>TEXT(discount_impact_on_profit_2000_rows[[#This Row],[order date]],"mmmm")</f>
        <v>December</v>
      </c>
      <c r="L733">
        <f>YEAR(discount_impact_on_profit_2000_rows[[#This Row],[order date]])</f>
        <v>2024</v>
      </c>
      <c r="M733" t="str">
        <f>IF(discount_impact_on_profit_2000_rows[[#This Row],[Discount %]]=0,"Zero Discount",IF(discount_impact_on_profit_2000_rows[[#This Row],[Discount %]]&lt;=10,"Low Discount","High Discount"))</f>
        <v>High Discount</v>
      </c>
      <c r="N733" t="str">
        <f t="shared" si="11"/>
        <v>20-30%</v>
      </c>
    </row>
    <row r="734" spans="1:14">
      <c r="A734" s="1">
        <v>45353</v>
      </c>
      <c r="B734" t="s">
        <v>796</v>
      </c>
      <c r="C734" t="s">
        <v>15</v>
      </c>
      <c r="D734" t="s">
        <v>86</v>
      </c>
      <c r="E734">
        <v>34091.839999999997</v>
      </c>
      <c r="F734" t="s">
        <v>13</v>
      </c>
      <c r="G734">
        <v>48435.67</v>
      </c>
      <c r="H734">
        <v>14343.83</v>
      </c>
      <c r="I734">
        <v>5</v>
      </c>
      <c r="J734">
        <v>3</v>
      </c>
      <c r="K734" t="str">
        <f>TEXT(discount_impact_on_profit_2000_rows[[#This Row],[order date]],"mmmm")</f>
        <v>March</v>
      </c>
      <c r="L734">
        <f>YEAR(discount_impact_on_profit_2000_rows[[#This Row],[order date]])</f>
        <v>2024</v>
      </c>
      <c r="M734" t="str">
        <f>IF(discount_impact_on_profit_2000_rows[[#This Row],[Discount %]]=0,"Zero Discount",IF(discount_impact_on_profit_2000_rows[[#This Row],[Discount %]]&lt;=10,"Low Discount","High Discount"))</f>
        <v>Low Discount</v>
      </c>
      <c r="N734" t="str">
        <f t="shared" si="11"/>
        <v>0-10%</v>
      </c>
    </row>
    <row r="735" spans="1:14">
      <c r="A735" s="1">
        <v>45207</v>
      </c>
      <c r="B735" t="s">
        <v>797</v>
      </c>
      <c r="C735" t="s">
        <v>53</v>
      </c>
      <c r="D735" t="s">
        <v>70</v>
      </c>
      <c r="E735">
        <v>1063.3399999999999</v>
      </c>
      <c r="F735" t="s">
        <v>26</v>
      </c>
      <c r="G735">
        <v>2133.6999999999998</v>
      </c>
      <c r="H735">
        <v>1070.3599999999999</v>
      </c>
      <c r="I735">
        <v>0</v>
      </c>
      <c r="J735">
        <v>1</v>
      </c>
      <c r="K735" t="str">
        <f>TEXT(discount_impact_on_profit_2000_rows[[#This Row],[order date]],"mmmm")</f>
        <v>October</v>
      </c>
      <c r="L735">
        <f>YEAR(discount_impact_on_profit_2000_rows[[#This Row],[order date]])</f>
        <v>2023</v>
      </c>
      <c r="M735" t="str">
        <f>IF(discount_impact_on_profit_2000_rows[[#This Row],[Discount %]]=0,"Zero Discount",IF(discount_impact_on_profit_2000_rows[[#This Row],[Discount %]]&lt;=10,"Low Discount","High Discount"))</f>
        <v>Zero Discount</v>
      </c>
      <c r="N735" t="str">
        <f t="shared" si="11"/>
        <v>0-10%</v>
      </c>
    </row>
    <row r="736" spans="1:14">
      <c r="A736" s="1">
        <v>45278</v>
      </c>
      <c r="B736" t="s">
        <v>798</v>
      </c>
      <c r="C736" t="s">
        <v>33</v>
      </c>
      <c r="D736" t="s">
        <v>34</v>
      </c>
      <c r="E736">
        <v>9409.4</v>
      </c>
      <c r="F736" t="s">
        <v>31</v>
      </c>
      <c r="G736">
        <v>10129.64</v>
      </c>
      <c r="H736">
        <v>720.24</v>
      </c>
      <c r="I736">
        <v>20</v>
      </c>
      <c r="J736">
        <v>2</v>
      </c>
      <c r="K736" t="str">
        <f>TEXT(discount_impact_on_profit_2000_rows[[#This Row],[order date]],"mmmm")</f>
        <v>December</v>
      </c>
      <c r="L736">
        <f>YEAR(discount_impact_on_profit_2000_rows[[#This Row],[order date]])</f>
        <v>2023</v>
      </c>
      <c r="M736" t="str">
        <f>IF(discount_impact_on_profit_2000_rows[[#This Row],[Discount %]]=0,"Zero Discount",IF(discount_impact_on_profit_2000_rows[[#This Row],[Discount %]]&lt;=10,"Low Discount","High Discount"))</f>
        <v>High Discount</v>
      </c>
      <c r="N736" t="str">
        <f t="shared" si="11"/>
        <v>10-20%</v>
      </c>
    </row>
    <row r="737" spans="1:14">
      <c r="A737" s="1">
        <v>45165</v>
      </c>
      <c r="B737" t="s">
        <v>799</v>
      </c>
      <c r="C737" t="s">
        <v>15</v>
      </c>
      <c r="D737" t="s">
        <v>84</v>
      </c>
      <c r="E737">
        <v>3625.82</v>
      </c>
      <c r="F737" t="s">
        <v>36</v>
      </c>
      <c r="G737">
        <v>4791</v>
      </c>
      <c r="H737">
        <v>1165.18</v>
      </c>
      <c r="I737">
        <v>10</v>
      </c>
      <c r="J737">
        <v>2</v>
      </c>
      <c r="K737" t="str">
        <f>TEXT(discount_impact_on_profit_2000_rows[[#This Row],[order date]],"mmmm")</f>
        <v>August</v>
      </c>
      <c r="L737">
        <f>YEAR(discount_impact_on_profit_2000_rows[[#This Row],[order date]])</f>
        <v>2023</v>
      </c>
      <c r="M737" t="str">
        <f>IF(discount_impact_on_profit_2000_rows[[#This Row],[Discount %]]=0,"Zero Discount",IF(discount_impact_on_profit_2000_rows[[#This Row],[Discount %]]&lt;=10,"Low Discount","High Discount"))</f>
        <v>Low Discount</v>
      </c>
      <c r="N737" t="str">
        <f t="shared" si="11"/>
        <v>0-10%</v>
      </c>
    </row>
    <row r="738" spans="1:14">
      <c r="A738" s="1">
        <v>45693</v>
      </c>
      <c r="B738" t="s">
        <v>800</v>
      </c>
      <c r="C738" t="s">
        <v>18</v>
      </c>
      <c r="D738" t="s">
        <v>104</v>
      </c>
      <c r="E738">
        <v>1465.04</v>
      </c>
      <c r="F738" t="s">
        <v>36</v>
      </c>
      <c r="G738">
        <v>2505.69</v>
      </c>
      <c r="H738">
        <v>1040.6500000000001</v>
      </c>
      <c r="I738">
        <v>5</v>
      </c>
      <c r="J738">
        <v>2</v>
      </c>
      <c r="K738" t="str">
        <f>TEXT(discount_impact_on_profit_2000_rows[[#This Row],[order date]],"mmmm")</f>
        <v>February</v>
      </c>
      <c r="L738">
        <f>YEAR(discount_impact_on_profit_2000_rows[[#This Row],[order date]])</f>
        <v>2025</v>
      </c>
      <c r="M738" t="str">
        <f>IF(discount_impact_on_profit_2000_rows[[#This Row],[Discount %]]=0,"Zero Discount",IF(discount_impact_on_profit_2000_rows[[#This Row],[Discount %]]&lt;=10,"Low Discount","High Discount"))</f>
        <v>Low Discount</v>
      </c>
      <c r="N738" t="str">
        <f t="shared" si="11"/>
        <v>0-10%</v>
      </c>
    </row>
    <row r="739" spans="1:14">
      <c r="A739" s="1">
        <v>45291</v>
      </c>
      <c r="B739" t="s">
        <v>801</v>
      </c>
      <c r="C739" t="s">
        <v>33</v>
      </c>
      <c r="D739" t="s">
        <v>92</v>
      </c>
      <c r="E739">
        <v>15590.08</v>
      </c>
      <c r="F739" t="s">
        <v>31</v>
      </c>
      <c r="G739">
        <v>22117.56</v>
      </c>
      <c r="H739">
        <v>6527.48</v>
      </c>
      <c r="I739">
        <v>10</v>
      </c>
      <c r="J739">
        <v>1</v>
      </c>
      <c r="K739" t="str">
        <f>TEXT(discount_impact_on_profit_2000_rows[[#This Row],[order date]],"mmmm")</f>
        <v>December</v>
      </c>
      <c r="L739">
        <f>YEAR(discount_impact_on_profit_2000_rows[[#This Row],[order date]])</f>
        <v>2023</v>
      </c>
      <c r="M739" t="str">
        <f>IF(discount_impact_on_profit_2000_rows[[#This Row],[Discount %]]=0,"Zero Discount",IF(discount_impact_on_profit_2000_rows[[#This Row],[Discount %]]&lt;=10,"Low Discount","High Discount"))</f>
        <v>Low Discount</v>
      </c>
      <c r="N739" t="str">
        <f t="shared" si="11"/>
        <v>0-10%</v>
      </c>
    </row>
    <row r="740" spans="1:14">
      <c r="A740" s="1">
        <v>45574</v>
      </c>
      <c r="B740" t="s">
        <v>802</v>
      </c>
      <c r="C740" t="s">
        <v>11</v>
      </c>
      <c r="D740" t="s">
        <v>64</v>
      </c>
      <c r="E740">
        <v>7211.36</v>
      </c>
      <c r="F740" t="s">
        <v>23</v>
      </c>
      <c r="G740">
        <v>13594.17</v>
      </c>
      <c r="H740">
        <v>6382.81</v>
      </c>
      <c r="I740">
        <v>0</v>
      </c>
      <c r="J740">
        <v>4</v>
      </c>
      <c r="K740" t="str">
        <f>TEXT(discount_impact_on_profit_2000_rows[[#This Row],[order date]],"mmmm")</f>
        <v>October</v>
      </c>
      <c r="L740">
        <f>YEAR(discount_impact_on_profit_2000_rows[[#This Row],[order date]])</f>
        <v>2024</v>
      </c>
      <c r="M740" t="str">
        <f>IF(discount_impact_on_profit_2000_rows[[#This Row],[Discount %]]=0,"Zero Discount",IF(discount_impact_on_profit_2000_rows[[#This Row],[Discount %]]&lt;=10,"Low Discount","High Discount"))</f>
        <v>Zero Discount</v>
      </c>
      <c r="N740" t="str">
        <f t="shared" si="11"/>
        <v>0-10%</v>
      </c>
    </row>
    <row r="741" spans="1:14">
      <c r="A741" s="1">
        <v>44991</v>
      </c>
      <c r="B741" t="s">
        <v>803</v>
      </c>
      <c r="C741" t="s">
        <v>21</v>
      </c>
      <c r="D741" t="s">
        <v>123</v>
      </c>
      <c r="E741">
        <v>5447.02</v>
      </c>
      <c r="F741" t="s">
        <v>36</v>
      </c>
      <c r="G741">
        <v>6083.74</v>
      </c>
      <c r="H741">
        <v>636.72</v>
      </c>
      <c r="I741">
        <v>25</v>
      </c>
      <c r="J741">
        <v>4</v>
      </c>
      <c r="K741" t="str">
        <f>TEXT(discount_impact_on_profit_2000_rows[[#This Row],[order date]],"mmmm")</f>
        <v>March</v>
      </c>
      <c r="L741">
        <f>YEAR(discount_impact_on_profit_2000_rows[[#This Row],[order date]])</f>
        <v>2023</v>
      </c>
      <c r="M741" t="str">
        <f>IF(discount_impact_on_profit_2000_rows[[#This Row],[Discount %]]=0,"Zero Discount",IF(discount_impact_on_profit_2000_rows[[#This Row],[Discount %]]&lt;=10,"Low Discount","High Discount"))</f>
        <v>High Discount</v>
      </c>
      <c r="N741" t="str">
        <f t="shared" si="11"/>
        <v>20-30%</v>
      </c>
    </row>
    <row r="742" spans="1:14">
      <c r="A742" s="1">
        <v>45619</v>
      </c>
      <c r="B742" t="s">
        <v>804</v>
      </c>
      <c r="C742" t="s">
        <v>21</v>
      </c>
      <c r="D742" t="s">
        <v>22</v>
      </c>
      <c r="E742">
        <v>3968.76</v>
      </c>
      <c r="F742" t="s">
        <v>13</v>
      </c>
      <c r="G742">
        <v>4087.82</v>
      </c>
      <c r="H742">
        <v>119.06</v>
      </c>
      <c r="I742">
        <v>16</v>
      </c>
      <c r="J742">
        <v>5</v>
      </c>
      <c r="K742" t="str">
        <f>TEXT(discount_impact_on_profit_2000_rows[[#This Row],[order date]],"mmmm")</f>
        <v>November</v>
      </c>
      <c r="L742">
        <f>YEAR(discount_impact_on_profit_2000_rows[[#This Row],[order date]])</f>
        <v>2024</v>
      </c>
      <c r="M742" t="str">
        <f>IF(discount_impact_on_profit_2000_rows[[#This Row],[Discount %]]=0,"Zero Discount",IF(discount_impact_on_profit_2000_rows[[#This Row],[Discount %]]&lt;=10,"Low Discount","High Discount"))</f>
        <v>High Discount</v>
      </c>
      <c r="N742" t="str">
        <f t="shared" si="11"/>
        <v>10-20%</v>
      </c>
    </row>
    <row r="743" spans="1:14">
      <c r="A743" s="1">
        <v>45157</v>
      </c>
      <c r="B743" t="s">
        <v>805</v>
      </c>
      <c r="C743" t="s">
        <v>33</v>
      </c>
      <c r="D743" t="s">
        <v>102</v>
      </c>
      <c r="E743">
        <v>3557.43</v>
      </c>
      <c r="F743" t="s">
        <v>26</v>
      </c>
      <c r="G743">
        <v>4093.91</v>
      </c>
      <c r="H743">
        <v>536.48</v>
      </c>
      <c r="I743">
        <v>25</v>
      </c>
      <c r="J743">
        <v>2</v>
      </c>
      <c r="K743" t="str">
        <f>TEXT(discount_impact_on_profit_2000_rows[[#This Row],[order date]],"mmmm")</f>
        <v>August</v>
      </c>
      <c r="L743">
        <f>YEAR(discount_impact_on_profit_2000_rows[[#This Row],[order date]])</f>
        <v>2023</v>
      </c>
      <c r="M743" t="str">
        <f>IF(discount_impact_on_profit_2000_rows[[#This Row],[Discount %]]=0,"Zero Discount",IF(discount_impact_on_profit_2000_rows[[#This Row],[Discount %]]&lt;=10,"Low Discount","High Discount"))</f>
        <v>High Discount</v>
      </c>
      <c r="N743" t="str">
        <f t="shared" si="11"/>
        <v>20-30%</v>
      </c>
    </row>
    <row r="744" spans="1:14">
      <c r="A744" s="1">
        <v>45228</v>
      </c>
      <c r="B744" t="s">
        <v>806</v>
      </c>
      <c r="C744" t="s">
        <v>53</v>
      </c>
      <c r="D744" t="s">
        <v>78</v>
      </c>
      <c r="E744">
        <v>1069.01</v>
      </c>
      <c r="F744" t="s">
        <v>13</v>
      </c>
      <c r="G744">
        <v>1815.21</v>
      </c>
      <c r="H744">
        <v>746.2</v>
      </c>
      <c r="I744">
        <v>25</v>
      </c>
      <c r="J744">
        <v>5</v>
      </c>
      <c r="K744" t="str">
        <f>TEXT(discount_impact_on_profit_2000_rows[[#This Row],[order date]],"mmmm")</f>
        <v>October</v>
      </c>
      <c r="L744">
        <f>YEAR(discount_impact_on_profit_2000_rows[[#This Row],[order date]])</f>
        <v>2023</v>
      </c>
      <c r="M744" t="str">
        <f>IF(discount_impact_on_profit_2000_rows[[#This Row],[Discount %]]=0,"Zero Discount",IF(discount_impact_on_profit_2000_rows[[#This Row],[Discount %]]&lt;=10,"Low Discount","High Discount"))</f>
        <v>High Discount</v>
      </c>
      <c r="N744" t="str">
        <f t="shared" si="11"/>
        <v>20-30%</v>
      </c>
    </row>
    <row r="745" spans="1:14">
      <c r="A745" s="1">
        <v>44969</v>
      </c>
      <c r="B745" t="s">
        <v>807</v>
      </c>
      <c r="C745" t="s">
        <v>18</v>
      </c>
      <c r="D745" t="s">
        <v>88</v>
      </c>
      <c r="E745">
        <v>3767.26</v>
      </c>
      <c r="F745" t="s">
        <v>36</v>
      </c>
      <c r="G745">
        <v>5556.15</v>
      </c>
      <c r="H745">
        <v>1788.89</v>
      </c>
      <c r="I745">
        <v>15</v>
      </c>
      <c r="J745">
        <v>10</v>
      </c>
      <c r="K745" t="str">
        <f>TEXT(discount_impact_on_profit_2000_rows[[#This Row],[order date]],"mmmm")</f>
        <v>February</v>
      </c>
      <c r="L745">
        <f>YEAR(discount_impact_on_profit_2000_rows[[#This Row],[order date]])</f>
        <v>2023</v>
      </c>
      <c r="M745" t="str">
        <f>IF(discount_impact_on_profit_2000_rows[[#This Row],[Discount %]]=0,"Zero Discount",IF(discount_impact_on_profit_2000_rows[[#This Row],[Discount %]]&lt;=10,"Low Discount","High Discount"))</f>
        <v>High Discount</v>
      </c>
      <c r="N745" t="str">
        <f t="shared" si="11"/>
        <v>10-20%</v>
      </c>
    </row>
    <row r="746" spans="1:14">
      <c r="A746" s="1">
        <v>45566</v>
      </c>
      <c r="B746" t="s">
        <v>808</v>
      </c>
      <c r="C746" t="s">
        <v>21</v>
      </c>
      <c r="D746" t="s">
        <v>109</v>
      </c>
      <c r="E746">
        <v>946.21</v>
      </c>
      <c r="F746" t="s">
        <v>31</v>
      </c>
      <c r="G746">
        <v>1161.23</v>
      </c>
      <c r="H746">
        <v>215.02</v>
      </c>
      <c r="I746">
        <v>5</v>
      </c>
      <c r="J746">
        <v>1</v>
      </c>
      <c r="K746" t="str">
        <f>TEXT(discount_impact_on_profit_2000_rows[[#This Row],[order date]],"mmmm")</f>
        <v>October</v>
      </c>
      <c r="L746">
        <f>YEAR(discount_impact_on_profit_2000_rows[[#This Row],[order date]])</f>
        <v>2024</v>
      </c>
      <c r="M746" t="str">
        <f>IF(discount_impact_on_profit_2000_rows[[#This Row],[Discount %]]=0,"Zero Discount",IF(discount_impact_on_profit_2000_rows[[#This Row],[Discount %]]&lt;=10,"Low Discount","High Discount"))</f>
        <v>Low Discount</v>
      </c>
      <c r="N746" t="str">
        <f t="shared" si="11"/>
        <v>0-10%</v>
      </c>
    </row>
    <row r="747" spans="1:14">
      <c r="A747" s="1">
        <v>45543</v>
      </c>
      <c r="B747" t="s">
        <v>809</v>
      </c>
      <c r="C747" t="s">
        <v>18</v>
      </c>
      <c r="D747" t="s">
        <v>88</v>
      </c>
      <c r="E747">
        <v>1750.78</v>
      </c>
      <c r="F747" t="s">
        <v>36</v>
      </c>
      <c r="G747">
        <v>2944.71</v>
      </c>
      <c r="H747">
        <v>1193.93</v>
      </c>
      <c r="I747">
        <v>10</v>
      </c>
      <c r="J747">
        <v>6</v>
      </c>
      <c r="K747" t="str">
        <f>TEXT(discount_impact_on_profit_2000_rows[[#This Row],[order date]],"mmmm")</f>
        <v>September</v>
      </c>
      <c r="L747">
        <f>YEAR(discount_impact_on_profit_2000_rows[[#This Row],[order date]])</f>
        <v>2024</v>
      </c>
      <c r="M747" t="str">
        <f>IF(discount_impact_on_profit_2000_rows[[#This Row],[Discount %]]=0,"Zero Discount",IF(discount_impact_on_profit_2000_rows[[#This Row],[Discount %]]&lt;=10,"Low Discount","High Discount"))</f>
        <v>Low Discount</v>
      </c>
      <c r="N747" t="str">
        <f t="shared" si="11"/>
        <v>0-10%</v>
      </c>
    </row>
    <row r="748" spans="1:14">
      <c r="A748" s="1">
        <v>45681</v>
      </c>
      <c r="B748" t="s">
        <v>810</v>
      </c>
      <c r="C748" t="s">
        <v>15</v>
      </c>
      <c r="D748" t="s">
        <v>40</v>
      </c>
      <c r="E748">
        <v>16690.099999999999</v>
      </c>
      <c r="F748" t="s">
        <v>36</v>
      </c>
      <c r="G748">
        <v>20629.43</v>
      </c>
      <c r="H748">
        <v>3939.33</v>
      </c>
      <c r="I748">
        <v>10</v>
      </c>
      <c r="J748">
        <v>4</v>
      </c>
      <c r="K748" t="str">
        <f>TEXT(discount_impact_on_profit_2000_rows[[#This Row],[order date]],"mmmm")</f>
        <v>January</v>
      </c>
      <c r="L748">
        <f>YEAR(discount_impact_on_profit_2000_rows[[#This Row],[order date]])</f>
        <v>2025</v>
      </c>
      <c r="M748" t="str">
        <f>IF(discount_impact_on_profit_2000_rows[[#This Row],[Discount %]]=0,"Zero Discount",IF(discount_impact_on_profit_2000_rows[[#This Row],[Discount %]]&lt;=10,"Low Discount","High Discount"))</f>
        <v>Low Discount</v>
      </c>
      <c r="N748" t="str">
        <f t="shared" si="11"/>
        <v>0-10%</v>
      </c>
    </row>
    <row r="749" spans="1:14">
      <c r="A749" s="1">
        <v>45470</v>
      </c>
      <c r="B749" t="s">
        <v>811</v>
      </c>
      <c r="C749" t="s">
        <v>18</v>
      </c>
      <c r="D749" t="s">
        <v>42</v>
      </c>
      <c r="E749">
        <v>116.38</v>
      </c>
      <c r="F749" t="s">
        <v>31</v>
      </c>
      <c r="G749">
        <v>183.32</v>
      </c>
      <c r="H749">
        <v>66.94</v>
      </c>
      <c r="I749">
        <v>0</v>
      </c>
      <c r="J749">
        <v>1</v>
      </c>
      <c r="K749" t="str">
        <f>TEXT(discount_impact_on_profit_2000_rows[[#This Row],[order date]],"mmmm")</f>
        <v>June</v>
      </c>
      <c r="L749">
        <f>YEAR(discount_impact_on_profit_2000_rows[[#This Row],[order date]])</f>
        <v>2024</v>
      </c>
      <c r="M749" t="str">
        <f>IF(discount_impact_on_profit_2000_rows[[#This Row],[Discount %]]=0,"Zero Discount",IF(discount_impact_on_profit_2000_rows[[#This Row],[Discount %]]&lt;=10,"Low Discount","High Discount"))</f>
        <v>Zero Discount</v>
      </c>
      <c r="N749" t="str">
        <f t="shared" si="11"/>
        <v>0-10%</v>
      </c>
    </row>
    <row r="750" spans="1:14">
      <c r="A750" s="1">
        <v>45939</v>
      </c>
      <c r="B750" t="s">
        <v>812</v>
      </c>
      <c r="C750" t="s">
        <v>21</v>
      </c>
      <c r="D750" t="s">
        <v>82</v>
      </c>
      <c r="E750">
        <v>8838.39</v>
      </c>
      <c r="F750" t="s">
        <v>31</v>
      </c>
      <c r="G750">
        <v>8960.5300000000007</v>
      </c>
      <c r="H750">
        <v>122.14</v>
      </c>
      <c r="I750">
        <v>20</v>
      </c>
      <c r="J750">
        <v>1</v>
      </c>
      <c r="K750" t="str">
        <f>TEXT(discount_impact_on_profit_2000_rows[[#This Row],[order date]],"mmmm")</f>
        <v>October</v>
      </c>
      <c r="L750">
        <f>YEAR(discount_impact_on_profit_2000_rows[[#This Row],[order date]])</f>
        <v>2025</v>
      </c>
      <c r="M750" t="str">
        <f>IF(discount_impact_on_profit_2000_rows[[#This Row],[Discount %]]=0,"Zero Discount",IF(discount_impact_on_profit_2000_rows[[#This Row],[Discount %]]&lt;=10,"Low Discount","High Discount"))</f>
        <v>High Discount</v>
      </c>
      <c r="N750" t="str">
        <f t="shared" si="11"/>
        <v>10-20%</v>
      </c>
    </row>
    <row r="751" spans="1:14">
      <c r="A751" s="1">
        <v>45008</v>
      </c>
      <c r="B751" t="s">
        <v>813</v>
      </c>
      <c r="C751" t="s">
        <v>11</v>
      </c>
      <c r="D751" t="s">
        <v>30</v>
      </c>
      <c r="E751">
        <v>882.66</v>
      </c>
      <c r="F751" t="s">
        <v>13</v>
      </c>
      <c r="G751">
        <v>1655.38</v>
      </c>
      <c r="H751">
        <v>772.72</v>
      </c>
      <c r="I751">
        <v>10</v>
      </c>
      <c r="J751">
        <v>1</v>
      </c>
      <c r="K751" t="str">
        <f>TEXT(discount_impact_on_profit_2000_rows[[#This Row],[order date]],"mmmm")</f>
        <v>March</v>
      </c>
      <c r="L751">
        <f>YEAR(discount_impact_on_profit_2000_rows[[#This Row],[order date]])</f>
        <v>2023</v>
      </c>
      <c r="M751" t="str">
        <f>IF(discount_impact_on_profit_2000_rows[[#This Row],[Discount %]]=0,"Zero Discount",IF(discount_impact_on_profit_2000_rows[[#This Row],[Discount %]]&lt;=10,"Low Discount","High Discount"))</f>
        <v>Low Discount</v>
      </c>
      <c r="N751" t="str">
        <f t="shared" si="11"/>
        <v>0-10%</v>
      </c>
    </row>
    <row r="752" spans="1:14">
      <c r="A752" s="1">
        <v>45063</v>
      </c>
      <c r="B752" t="s">
        <v>814</v>
      </c>
      <c r="C752" t="s">
        <v>18</v>
      </c>
      <c r="D752" t="s">
        <v>42</v>
      </c>
      <c r="E752">
        <v>431.34</v>
      </c>
      <c r="F752" t="s">
        <v>36</v>
      </c>
      <c r="G752">
        <v>860.06</v>
      </c>
      <c r="H752">
        <v>428.72</v>
      </c>
      <c r="I752">
        <v>5</v>
      </c>
      <c r="J752">
        <v>6</v>
      </c>
      <c r="K752" t="str">
        <f>TEXT(discount_impact_on_profit_2000_rows[[#This Row],[order date]],"mmmm")</f>
        <v>May</v>
      </c>
      <c r="L752">
        <f>YEAR(discount_impact_on_profit_2000_rows[[#This Row],[order date]])</f>
        <v>2023</v>
      </c>
      <c r="M752" t="str">
        <f>IF(discount_impact_on_profit_2000_rows[[#This Row],[Discount %]]=0,"Zero Discount",IF(discount_impact_on_profit_2000_rows[[#This Row],[Discount %]]&lt;=10,"Low Discount","High Discount"))</f>
        <v>Low Discount</v>
      </c>
      <c r="N752" t="str">
        <f t="shared" si="11"/>
        <v>0-10%</v>
      </c>
    </row>
    <row r="753" spans="1:14">
      <c r="A753" s="1">
        <v>45784</v>
      </c>
      <c r="B753" t="s">
        <v>815</v>
      </c>
      <c r="C753" t="s">
        <v>21</v>
      </c>
      <c r="D753" t="s">
        <v>123</v>
      </c>
      <c r="E753">
        <v>5417.41</v>
      </c>
      <c r="F753" t="s">
        <v>13</v>
      </c>
      <c r="G753">
        <v>5452.35</v>
      </c>
      <c r="H753">
        <v>34.94</v>
      </c>
      <c r="I753">
        <v>24</v>
      </c>
      <c r="J753">
        <v>1</v>
      </c>
      <c r="K753" t="str">
        <f>TEXT(discount_impact_on_profit_2000_rows[[#This Row],[order date]],"mmmm")</f>
        <v>May</v>
      </c>
      <c r="L753">
        <f>YEAR(discount_impact_on_profit_2000_rows[[#This Row],[order date]])</f>
        <v>2025</v>
      </c>
      <c r="M753" t="str">
        <f>IF(discount_impact_on_profit_2000_rows[[#This Row],[Discount %]]=0,"Zero Discount",IF(discount_impact_on_profit_2000_rows[[#This Row],[Discount %]]&lt;=10,"Low Discount","High Discount"))</f>
        <v>High Discount</v>
      </c>
      <c r="N753" t="str">
        <f t="shared" si="11"/>
        <v>20-30%</v>
      </c>
    </row>
    <row r="754" spans="1:14">
      <c r="A754" s="1">
        <v>45632</v>
      </c>
      <c r="B754" t="s">
        <v>816</v>
      </c>
      <c r="C754" t="s">
        <v>18</v>
      </c>
      <c r="D754" t="s">
        <v>42</v>
      </c>
      <c r="E754">
        <v>899.01</v>
      </c>
      <c r="F754" t="s">
        <v>23</v>
      </c>
      <c r="G754">
        <v>1128.6500000000001</v>
      </c>
      <c r="H754">
        <v>229.64</v>
      </c>
      <c r="I754">
        <v>20</v>
      </c>
      <c r="J754">
        <v>1</v>
      </c>
      <c r="K754" t="str">
        <f>TEXT(discount_impact_on_profit_2000_rows[[#This Row],[order date]],"mmmm")</f>
        <v>December</v>
      </c>
      <c r="L754">
        <f>YEAR(discount_impact_on_profit_2000_rows[[#This Row],[order date]])</f>
        <v>2024</v>
      </c>
      <c r="M754" t="str">
        <f>IF(discount_impact_on_profit_2000_rows[[#This Row],[Discount %]]=0,"Zero Discount",IF(discount_impact_on_profit_2000_rows[[#This Row],[Discount %]]&lt;=10,"Low Discount","High Discount"))</f>
        <v>High Discount</v>
      </c>
      <c r="N754" t="str">
        <f t="shared" si="11"/>
        <v>10-20%</v>
      </c>
    </row>
    <row r="755" spans="1:14">
      <c r="A755" s="1">
        <v>45625</v>
      </c>
      <c r="B755" t="s">
        <v>817</v>
      </c>
      <c r="C755" t="s">
        <v>18</v>
      </c>
      <c r="D755" t="s">
        <v>140</v>
      </c>
      <c r="E755">
        <v>172.12</v>
      </c>
      <c r="F755" t="s">
        <v>13</v>
      </c>
      <c r="G755">
        <v>293.99</v>
      </c>
      <c r="H755">
        <v>121.87</v>
      </c>
      <c r="I755">
        <v>15</v>
      </c>
      <c r="J755">
        <v>3</v>
      </c>
      <c r="K755" t="str">
        <f>TEXT(discount_impact_on_profit_2000_rows[[#This Row],[order date]],"mmmm")</f>
        <v>November</v>
      </c>
      <c r="L755">
        <f>YEAR(discount_impact_on_profit_2000_rows[[#This Row],[order date]])</f>
        <v>2024</v>
      </c>
      <c r="M755" t="str">
        <f>IF(discount_impact_on_profit_2000_rows[[#This Row],[Discount %]]=0,"Zero Discount",IF(discount_impact_on_profit_2000_rows[[#This Row],[Discount %]]&lt;=10,"Low Discount","High Discount"))</f>
        <v>High Discount</v>
      </c>
      <c r="N755" t="str">
        <f t="shared" si="11"/>
        <v>10-20%</v>
      </c>
    </row>
    <row r="756" spans="1:14">
      <c r="A756" s="1">
        <v>45764</v>
      </c>
      <c r="B756" t="s">
        <v>818</v>
      </c>
      <c r="C756" t="s">
        <v>11</v>
      </c>
      <c r="D756" t="s">
        <v>207</v>
      </c>
      <c r="E756">
        <v>8521.74</v>
      </c>
      <c r="F756" t="s">
        <v>13</v>
      </c>
      <c r="G756">
        <v>13241.95</v>
      </c>
      <c r="H756">
        <v>4720.21</v>
      </c>
      <c r="I756">
        <v>10</v>
      </c>
      <c r="J756">
        <v>4</v>
      </c>
      <c r="K756" t="str">
        <f>TEXT(discount_impact_on_profit_2000_rows[[#This Row],[order date]],"mmmm")</f>
        <v>April</v>
      </c>
      <c r="L756">
        <f>YEAR(discount_impact_on_profit_2000_rows[[#This Row],[order date]])</f>
        <v>2025</v>
      </c>
      <c r="M756" t="str">
        <f>IF(discount_impact_on_profit_2000_rows[[#This Row],[Discount %]]=0,"Zero Discount",IF(discount_impact_on_profit_2000_rows[[#This Row],[Discount %]]&lt;=10,"Low Discount","High Discount"))</f>
        <v>Low Discount</v>
      </c>
      <c r="N756" t="str">
        <f t="shared" si="11"/>
        <v>0-10%</v>
      </c>
    </row>
    <row r="757" spans="1:14">
      <c r="A757" s="1">
        <v>45666</v>
      </c>
      <c r="B757" t="s">
        <v>819</v>
      </c>
      <c r="C757" t="s">
        <v>53</v>
      </c>
      <c r="D757" t="s">
        <v>152</v>
      </c>
      <c r="E757">
        <v>13123.91</v>
      </c>
      <c r="F757" t="s">
        <v>13</v>
      </c>
      <c r="G757">
        <v>22615.87</v>
      </c>
      <c r="H757">
        <v>9491.9599999999991</v>
      </c>
      <c r="I757">
        <v>20</v>
      </c>
      <c r="J757">
        <v>6</v>
      </c>
      <c r="K757" t="str">
        <f>TEXT(discount_impact_on_profit_2000_rows[[#This Row],[order date]],"mmmm")</f>
        <v>January</v>
      </c>
      <c r="L757">
        <f>YEAR(discount_impact_on_profit_2000_rows[[#This Row],[order date]])</f>
        <v>2025</v>
      </c>
      <c r="M757" t="str">
        <f>IF(discount_impact_on_profit_2000_rows[[#This Row],[Discount %]]=0,"Zero Discount",IF(discount_impact_on_profit_2000_rows[[#This Row],[Discount %]]&lt;=10,"Low Discount","High Discount"))</f>
        <v>High Discount</v>
      </c>
      <c r="N757" t="str">
        <f t="shared" si="11"/>
        <v>10-20%</v>
      </c>
    </row>
    <row r="758" spans="1:14">
      <c r="A758" s="1">
        <v>45473</v>
      </c>
      <c r="B758" t="s">
        <v>820</v>
      </c>
      <c r="C758" t="s">
        <v>53</v>
      </c>
      <c r="D758" t="s">
        <v>95</v>
      </c>
      <c r="E758">
        <v>1363.87</v>
      </c>
      <c r="F758" t="s">
        <v>13</v>
      </c>
      <c r="G758">
        <v>1967.41</v>
      </c>
      <c r="H758">
        <v>603.54</v>
      </c>
      <c r="I758">
        <v>15</v>
      </c>
      <c r="J758">
        <v>1</v>
      </c>
      <c r="K758" t="str">
        <f>TEXT(discount_impact_on_profit_2000_rows[[#This Row],[order date]],"mmmm")</f>
        <v>June</v>
      </c>
      <c r="L758">
        <f>YEAR(discount_impact_on_profit_2000_rows[[#This Row],[order date]])</f>
        <v>2024</v>
      </c>
      <c r="M758" t="str">
        <f>IF(discount_impact_on_profit_2000_rows[[#This Row],[Discount %]]=0,"Zero Discount",IF(discount_impact_on_profit_2000_rows[[#This Row],[Discount %]]&lt;=10,"Low Discount","High Discount"))</f>
        <v>High Discount</v>
      </c>
      <c r="N758" t="str">
        <f t="shared" si="11"/>
        <v>10-20%</v>
      </c>
    </row>
    <row r="759" spans="1:14">
      <c r="A759" s="1">
        <v>45530</v>
      </c>
      <c r="B759" t="s">
        <v>821</v>
      </c>
      <c r="C759" t="s">
        <v>15</v>
      </c>
      <c r="D759" t="s">
        <v>16</v>
      </c>
      <c r="E759">
        <v>37313.46</v>
      </c>
      <c r="F759" t="s">
        <v>36</v>
      </c>
      <c r="G759">
        <v>53887.08</v>
      </c>
      <c r="H759">
        <v>16573.62</v>
      </c>
      <c r="I759">
        <v>10</v>
      </c>
      <c r="J759">
        <v>5</v>
      </c>
      <c r="K759" t="str">
        <f>TEXT(discount_impact_on_profit_2000_rows[[#This Row],[order date]],"mmmm")</f>
        <v>August</v>
      </c>
      <c r="L759">
        <f>YEAR(discount_impact_on_profit_2000_rows[[#This Row],[order date]])</f>
        <v>2024</v>
      </c>
      <c r="M759" t="str">
        <f>IF(discount_impact_on_profit_2000_rows[[#This Row],[Discount %]]=0,"Zero Discount",IF(discount_impact_on_profit_2000_rows[[#This Row],[Discount %]]&lt;=10,"Low Discount","High Discount"))</f>
        <v>Low Discount</v>
      </c>
      <c r="N759" t="str">
        <f t="shared" si="11"/>
        <v>0-10%</v>
      </c>
    </row>
    <row r="760" spans="1:14">
      <c r="A760" s="1">
        <v>44958</v>
      </c>
      <c r="B760" t="s">
        <v>822</v>
      </c>
      <c r="C760" t="s">
        <v>33</v>
      </c>
      <c r="D760" t="s">
        <v>44</v>
      </c>
      <c r="E760">
        <v>1802.41</v>
      </c>
      <c r="F760" t="s">
        <v>36</v>
      </c>
      <c r="G760">
        <v>2015.01</v>
      </c>
      <c r="H760">
        <v>212.6</v>
      </c>
      <c r="I760">
        <v>20</v>
      </c>
      <c r="J760">
        <v>1</v>
      </c>
      <c r="K760" t="str">
        <f>TEXT(discount_impact_on_profit_2000_rows[[#This Row],[order date]],"mmmm")</f>
        <v>February</v>
      </c>
      <c r="L760">
        <f>YEAR(discount_impact_on_profit_2000_rows[[#This Row],[order date]])</f>
        <v>2023</v>
      </c>
      <c r="M760" t="str">
        <f>IF(discount_impact_on_profit_2000_rows[[#This Row],[Discount %]]=0,"Zero Discount",IF(discount_impact_on_profit_2000_rows[[#This Row],[Discount %]]&lt;=10,"Low Discount","High Discount"))</f>
        <v>High Discount</v>
      </c>
      <c r="N760" t="str">
        <f t="shared" si="11"/>
        <v>10-20%</v>
      </c>
    </row>
    <row r="761" spans="1:14">
      <c r="A761" s="1">
        <v>45754</v>
      </c>
      <c r="B761" t="s">
        <v>823</v>
      </c>
      <c r="C761" t="s">
        <v>21</v>
      </c>
      <c r="D761" t="s">
        <v>97</v>
      </c>
      <c r="E761">
        <v>7396.15</v>
      </c>
      <c r="F761" t="s">
        <v>26</v>
      </c>
      <c r="G761">
        <v>10370.540000000001</v>
      </c>
      <c r="H761">
        <v>2974.39</v>
      </c>
      <c r="I761">
        <v>5</v>
      </c>
      <c r="J761">
        <v>4</v>
      </c>
      <c r="K761" t="str">
        <f>TEXT(discount_impact_on_profit_2000_rows[[#This Row],[order date]],"mmmm")</f>
        <v>April</v>
      </c>
      <c r="L761">
        <f>YEAR(discount_impact_on_profit_2000_rows[[#This Row],[order date]])</f>
        <v>2025</v>
      </c>
      <c r="M761" t="str">
        <f>IF(discount_impact_on_profit_2000_rows[[#This Row],[Discount %]]=0,"Zero Discount",IF(discount_impact_on_profit_2000_rows[[#This Row],[Discount %]]&lt;=10,"Low Discount","High Discount"))</f>
        <v>Low Discount</v>
      </c>
      <c r="N761" t="str">
        <f t="shared" si="11"/>
        <v>0-10%</v>
      </c>
    </row>
    <row r="762" spans="1:14">
      <c r="A762" s="1">
        <v>45955</v>
      </c>
      <c r="B762" t="s">
        <v>824</v>
      </c>
      <c r="C762" t="s">
        <v>11</v>
      </c>
      <c r="D762" t="s">
        <v>64</v>
      </c>
      <c r="E762">
        <v>5396.98</v>
      </c>
      <c r="F762" t="s">
        <v>26</v>
      </c>
      <c r="G762">
        <v>9371.65</v>
      </c>
      <c r="H762">
        <v>3974.67</v>
      </c>
      <c r="I762">
        <v>15</v>
      </c>
      <c r="J762">
        <v>4</v>
      </c>
      <c r="K762" t="str">
        <f>TEXT(discount_impact_on_profit_2000_rows[[#This Row],[order date]],"mmmm")</f>
        <v>October</v>
      </c>
      <c r="L762">
        <f>YEAR(discount_impact_on_profit_2000_rows[[#This Row],[order date]])</f>
        <v>2025</v>
      </c>
      <c r="M762" t="str">
        <f>IF(discount_impact_on_profit_2000_rows[[#This Row],[Discount %]]=0,"Zero Discount",IF(discount_impact_on_profit_2000_rows[[#This Row],[Discount %]]&lt;=10,"Low Discount","High Discount"))</f>
        <v>High Discount</v>
      </c>
      <c r="N762" t="str">
        <f t="shared" si="11"/>
        <v>10-20%</v>
      </c>
    </row>
    <row r="763" spans="1:14">
      <c r="A763" s="1">
        <v>45954</v>
      </c>
      <c r="B763" t="s">
        <v>825</v>
      </c>
      <c r="C763" t="s">
        <v>18</v>
      </c>
      <c r="D763" t="s">
        <v>104</v>
      </c>
      <c r="E763">
        <v>483.82</v>
      </c>
      <c r="F763" t="s">
        <v>26</v>
      </c>
      <c r="G763">
        <v>648.22</v>
      </c>
      <c r="H763">
        <v>164.4</v>
      </c>
      <c r="I763">
        <v>30</v>
      </c>
      <c r="J763">
        <v>2</v>
      </c>
      <c r="K763" t="str">
        <f>TEXT(discount_impact_on_profit_2000_rows[[#This Row],[order date]],"mmmm")</f>
        <v>October</v>
      </c>
      <c r="L763">
        <f>YEAR(discount_impact_on_profit_2000_rows[[#This Row],[order date]])</f>
        <v>2025</v>
      </c>
      <c r="M763" t="str">
        <f>IF(discount_impact_on_profit_2000_rows[[#This Row],[Discount %]]=0,"Zero Discount",IF(discount_impact_on_profit_2000_rows[[#This Row],[Discount %]]&lt;=10,"Low Discount","High Discount"))</f>
        <v>High Discount</v>
      </c>
      <c r="N763" t="str">
        <f t="shared" si="11"/>
        <v>20-30%</v>
      </c>
    </row>
    <row r="764" spans="1:14">
      <c r="A764" s="1">
        <v>45346</v>
      </c>
      <c r="B764" t="s">
        <v>826</v>
      </c>
      <c r="C764" t="s">
        <v>21</v>
      </c>
      <c r="D764" t="s">
        <v>123</v>
      </c>
      <c r="E764">
        <v>5741.13</v>
      </c>
      <c r="F764" t="s">
        <v>36</v>
      </c>
      <c r="G764">
        <v>7368.39</v>
      </c>
      <c r="H764">
        <v>1627.26</v>
      </c>
      <c r="I764">
        <v>5</v>
      </c>
      <c r="J764">
        <v>1</v>
      </c>
      <c r="K764" t="str">
        <f>TEXT(discount_impact_on_profit_2000_rows[[#This Row],[order date]],"mmmm")</f>
        <v>February</v>
      </c>
      <c r="L764">
        <f>YEAR(discount_impact_on_profit_2000_rows[[#This Row],[order date]])</f>
        <v>2024</v>
      </c>
      <c r="M764" t="str">
        <f>IF(discount_impact_on_profit_2000_rows[[#This Row],[Discount %]]=0,"Zero Discount",IF(discount_impact_on_profit_2000_rows[[#This Row],[Discount %]]&lt;=10,"Low Discount","High Discount"))</f>
        <v>Low Discount</v>
      </c>
      <c r="N764" t="str">
        <f t="shared" si="11"/>
        <v>0-10%</v>
      </c>
    </row>
    <row r="765" spans="1:14">
      <c r="A765" s="1">
        <v>45101</v>
      </c>
      <c r="B765" t="s">
        <v>827</v>
      </c>
      <c r="C765" t="s">
        <v>21</v>
      </c>
      <c r="D765" t="s">
        <v>57</v>
      </c>
      <c r="E765">
        <v>2343.11</v>
      </c>
      <c r="F765" t="s">
        <v>23</v>
      </c>
      <c r="G765">
        <v>3125.46</v>
      </c>
      <c r="H765">
        <v>782.35</v>
      </c>
      <c r="I765">
        <v>5</v>
      </c>
      <c r="J765">
        <v>2</v>
      </c>
      <c r="K765" t="str">
        <f>TEXT(discount_impact_on_profit_2000_rows[[#This Row],[order date]],"mmmm")</f>
        <v>June</v>
      </c>
      <c r="L765">
        <f>YEAR(discount_impact_on_profit_2000_rows[[#This Row],[order date]])</f>
        <v>2023</v>
      </c>
      <c r="M765" t="str">
        <f>IF(discount_impact_on_profit_2000_rows[[#This Row],[Discount %]]=0,"Zero Discount",IF(discount_impact_on_profit_2000_rows[[#This Row],[Discount %]]&lt;=10,"Low Discount","High Discount"))</f>
        <v>Low Discount</v>
      </c>
      <c r="N765" t="str">
        <f t="shared" si="11"/>
        <v>0-10%</v>
      </c>
    </row>
    <row r="766" spans="1:14">
      <c r="A766" s="1">
        <v>45737</v>
      </c>
      <c r="B766" t="s">
        <v>828</v>
      </c>
      <c r="C766" t="s">
        <v>15</v>
      </c>
      <c r="D766" t="s">
        <v>76</v>
      </c>
      <c r="E766">
        <v>31601.22</v>
      </c>
      <c r="F766" t="s">
        <v>26</v>
      </c>
      <c r="G766">
        <v>51793.42</v>
      </c>
      <c r="H766">
        <v>20192.2</v>
      </c>
      <c r="I766">
        <v>0</v>
      </c>
      <c r="J766">
        <v>3</v>
      </c>
      <c r="K766" t="str">
        <f>TEXT(discount_impact_on_profit_2000_rows[[#This Row],[order date]],"mmmm")</f>
        <v>March</v>
      </c>
      <c r="L766">
        <f>YEAR(discount_impact_on_profit_2000_rows[[#This Row],[order date]])</f>
        <v>2025</v>
      </c>
      <c r="M766" t="str">
        <f>IF(discount_impact_on_profit_2000_rows[[#This Row],[Discount %]]=0,"Zero Discount",IF(discount_impact_on_profit_2000_rows[[#This Row],[Discount %]]&lt;=10,"Low Discount","High Discount"))</f>
        <v>Zero Discount</v>
      </c>
      <c r="N766" t="str">
        <f t="shared" si="11"/>
        <v>0-10%</v>
      </c>
    </row>
    <row r="767" spans="1:14">
      <c r="A767" s="1">
        <v>45961</v>
      </c>
      <c r="B767" t="s">
        <v>829</v>
      </c>
      <c r="C767" t="s">
        <v>53</v>
      </c>
      <c r="D767" t="s">
        <v>59</v>
      </c>
      <c r="E767">
        <v>1356.4</v>
      </c>
      <c r="F767" t="s">
        <v>13</v>
      </c>
      <c r="G767">
        <v>2322.81</v>
      </c>
      <c r="H767">
        <v>966.41</v>
      </c>
      <c r="I767">
        <v>20</v>
      </c>
      <c r="J767">
        <v>1</v>
      </c>
      <c r="K767" t="str">
        <f>TEXT(discount_impact_on_profit_2000_rows[[#This Row],[order date]],"mmmm")</f>
        <v>October</v>
      </c>
      <c r="L767">
        <f>YEAR(discount_impact_on_profit_2000_rows[[#This Row],[order date]])</f>
        <v>2025</v>
      </c>
      <c r="M767" t="str">
        <f>IF(discount_impact_on_profit_2000_rows[[#This Row],[Discount %]]=0,"Zero Discount",IF(discount_impact_on_profit_2000_rows[[#This Row],[Discount %]]&lt;=10,"Low Discount","High Discount"))</f>
        <v>High Discount</v>
      </c>
      <c r="N767" t="str">
        <f t="shared" si="11"/>
        <v>10-20%</v>
      </c>
    </row>
    <row r="768" spans="1:14">
      <c r="A768" s="1">
        <v>45401</v>
      </c>
      <c r="B768" t="s">
        <v>830</v>
      </c>
      <c r="C768" t="s">
        <v>53</v>
      </c>
      <c r="D768" t="s">
        <v>54</v>
      </c>
      <c r="E768">
        <v>347.16</v>
      </c>
      <c r="F768" t="s">
        <v>26</v>
      </c>
      <c r="G768">
        <v>428.69</v>
      </c>
      <c r="H768">
        <v>81.53</v>
      </c>
      <c r="I768">
        <v>20</v>
      </c>
      <c r="J768">
        <v>1</v>
      </c>
      <c r="K768" t="str">
        <f>TEXT(discount_impact_on_profit_2000_rows[[#This Row],[order date]],"mmmm")</f>
        <v>April</v>
      </c>
      <c r="L768">
        <f>YEAR(discount_impact_on_profit_2000_rows[[#This Row],[order date]])</f>
        <v>2024</v>
      </c>
      <c r="M768" t="str">
        <f>IF(discount_impact_on_profit_2000_rows[[#This Row],[Discount %]]=0,"Zero Discount",IF(discount_impact_on_profit_2000_rows[[#This Row],[Discount %]]&lt;=10,"Low Discount","High Discount"))</f>
        <v>High Discount</v>
      </c>
      <c r="N768" t="str">
        <f t="shared" si="11"/>
        <v>10-20%</v>
      </c>
    </row>
    <row r="769" spans="1:14">
      <c r="A769" s="1">
        <v>45108</v>
      </c>
      <c r="B769" t="s">
        <v>831</v>
      </c>
      <c r="C769" t="s">
        <v>21</v>
      </c>
      <c r="D769" t="s">
        <v>82</v>
      </c>
      <c r="E769">
        <v>12219.98</v>
      </c>
      <c r="F769" t="s">
        <v>31</v>
      </c>
      <c r="G769">
        <v>14019.19</v>
      </c>
      <c r="H769">
        <v>1799.21</v>
      </c>
      <c r="I769">
        <v>15</v>
      </c>
      <c r="J769">
        <v>4</v>
      </c>
      <c r="K769" t="str">
        <f>TEXT(discount_impact_on_profit_2000_rows[[#This Row],[order date]],"mmmm")</f>
        <v>July</v>
      </c>
      <c r="L769">
        <f>YEAR(discount_impact_on_profit_2000_rows[[#This Row],[order date]])</f>
        <v>2023</v>
      </c>
      <c r="M769" t="str">
        <f>IF(discount_impact_on_profit_2000_rows[[#This Row],[Discount %]]=0,"Zero Discount",IF(discount_impact_on_profit_2000_rows[[#This Row],[Discount %]]&lt;=10,"Low Discount","High Discount"))</f>
        <v>High Discount</v>
      </c>
      <c r="N769" t="str">
        <f t="shared" si="11"/>
        <v>10-20%</v>
      </c>
    </row>
    <row r="770" spans="1:14">
      <c r="A770" s="1">
        <v>45501</v>
      </c>
      <c r="B770" t="s">
        <v>832</v>
      </c>
      <c r="C770" t="s">
        <v>15</v>
      </c>
      <c r="D770" t="s">
        <v>86</v>
      </c>
      <c r="E770">
        <v>12500.46</v>
      </c>
      <c r="F770" t="s">
        <v>23</v>
      </c>
      <c r="G770">
        <v>16743.150000000001</v>
      </c>
      <c r="H770">
        <v>4242.6899999999996</v>
      </c>
      <c r="I770">
        <v>5</v>
      </c>
      <c r="J770">
        <v>2</v>
      </c>
      <c r="K770" t="str">
        <f>TEXT(discount_impact_on_profit_2000_rows[[#This Row],[order date]],"mmmm")</f>
        <v>July</v>
      </c>
      <c r="L770">
        <f>YEAR(discount_impact_on_profit_2000_rows[[#This Row],[order date]])</f>
        <v>2024</v>
      </c>
      <c r="M770" t="str">
        <f>IF(discount_impact_on_profit_2000_rows[[#This Row],[Discount %]]=0,"Zero Discount",IF(discount_impact_on_profit_2000_rows[[#This Row],[Discount %]]&lt;=10,"Low Discount","High Discount"))</f>
        <v>Low Discount</v>
      </c>
      <c r="N770" t="str">
        <f t="shared" ref="N770:N833" si="12">IF(I770&lt;=10,"0-10%",IF(I770&lt;=20,"10-20%",IF(I770&lt;=30,"20-30%","30%+")))</f>
        <v>0-10%</v>
      </c>
    </row>
    <row r="771" spans="1:14">
      <c r="A771" s="1">
        <v>44996</v>
      </c>
      <c r="B771" t="s">
        <v>833</v>
      </c>
      <c r="C771" t="s">
        <v>15</v>
      </c>
      <c r="D771" t="s">
        <v>99</v>
      </c>
      <c r="E771">
        <v>65956.22</v>
      </c>
      <c r="F771" t="s">
        <v>26</v>
      </c>
      <c r="G771">
        <v>73084.09</v>
      </c>
      <c r="H771">
        <v>7127.87</v>
      </c>
      <c r="I771">
        <v>10</v>
      </c>
      <c r="J771">
        <v>6</v>
      </c>
      <c r="K771" t="str">
        <f>TEXT(discount_impact_on_profit_2000_rows[[#This Row],[order date]],"mmmm")</f>
        <v>March</v>
      </c>
      <c r="L771">
        <f>YEAR(discount_impact_on_profit_2000_rows[[#This Row],[order date]])</f>
        <v>2023</v>
      </c>
      <c r="M771" t="str">
        <f>IF(discount_impact_on_profit_2000_rows[[#This Row],[Discount %]]=0,"Zero Discount",IF(discount_impact_on_profit_2000_rows[[#This Row],[Discount %]]&lt;=10,"Low Discount","High Discount"))</f>
        <v>Low Discount</v>
      </c>
      <c r="N771" t="str">
        <f t="shared" si="12"/>
        <v>0-10%</v>
      </c>
    </row>
    <row r="772" spans="1:14">
      <c r="A772" s="1">
        <v>45455</v>
      </c>
      <c r="B772" t="s">
        <v>834</v>
      </c>
      <c r="C772" t="s">
        <v>18</v>
      </c>
      <c r="D772" t="s">
        <v>88</v>
      </c>
      <c r="E772">
        <v>4135.75</v>
      </c>
      <c r="F772" t="s">
        <v>31</v>
      </c>
      <c r="G772">
        <v>6753.69</v>
      </c>
      <c r="H772">
        <v>2617.94</v>
      </c>
      <c r="I772">
        <v>20</v>
      </c>
      <c r="J772">
        <v>6</v>
      </c>
      <c r="K772" t="str">
        <f>TEXT(discount_impact_on_profit_2000_rows[[#This Row],[order date]],"mmmm")</f>
        <v>June</v>
      </c>
      <c r="L772">
        <f>YEAR(discount_impact_on_profit_2000_rows[[#This Row],[order date]])</f>
        <v>2024</v>
      </c>
      <c r="M772" t="str">
        <f>IF(discount_impact_on_profit_2000_rows[[#This Row],[Discount %]]=0,"Zero Discount",IF(discount_impact_on_profit_2000_rows[[#This Row],[Discount %]]&lt;=10,"Low Discount","High Discount"))</f>
        <v>High Discount</v>
      </c>
      <c r="N772" t="str">
        <f t="shared" si="12"/>
        <v>10-20%</v>
      </c>
    </row>
    <row r="773" spans="1:14">
      <c r="A773" s="1">
        <v>45078</v>
      </c>
      <c r="B773" t="s">
        <v>835</v>
      </c>
      <c r="C773" t="s">
        <v>21</v>
      </c>
      <c r="D773" t="s">
        <v>46</v>
      </c>
      <c r="E773">
        <v>4197.24</v>
      </c>
      <c r="F773" t="s">
        <v>13</v>
      </c>
      <c r="G773">
        <v>5202.91</v>
      </c>
      <c r="H773">
        <v>1005.67</v>
      </c>
      <c r="I773">
        <v>10</v>
      </c>
      <c r="J773">
        <v>2</v>
      </c>
      <c r="K773" t="str">
        <f>TEXT(discount_impact_on_profit_2000_rows[[#This Row],[order date]],"mmmm")</f>
        <v>June</v>
      </c>
      <c r="L773">
        <f>YEAR(discount_impact_on_profit_2000_rows[[#This Row],[order date]])</f>
        <v>2023</v>
      </c>
      <c r="M773" t="str">
        <f>IF(discount_impact_on_profit_2000_rows[[#This Row],[Discount %]]=0,"Zero Discount",IF(discount_impact_on_profit_2000_rows[[#This Row],[Discount %]]&lt;=10,"Low Discount","High Discount"))</f>
        <v>Low Discount</v>
      </c>
      <c r="N773" t="str">
        <f t="shared" si="12"/>
        <v>0-10%</v>
      </c>
    </row>
    <row r="774" spans="1:14">
      <c r="A774" s="1">
        <v>44991</v>
      </c>
      <c r="B774" t="s">
        <v>836</v>
      </c>
      <c r="C774" t="s">
        <v>18</v>
      </c>
      <c r="D774" t="s">
        <v>88</v>
      </c>
      <c r="E774">
        <v>589.64</v>
      </c>
      <c r="F774" t="s">
        <v>36</v>
      </c>
      <c r="G774">
        <v>1059.74</v>
      </c>
      <c r="H774">
        <v>470.1</v>
      </c>
      <c r="I774">
        <v>5</v>
      </c>
      <c r="J774">
        <v>2</v>
      </c>
      <c r="K774" t="str">
        <f>TEXT(discount_impact_on_profit_2000_rows[[#This Row],[order date]],"mmmm")</f>
        <v>March</v>
      </c>
      <c r="L774">
        <f>YEAR(discount_impact_on_profit_2000_rows[[#This Row],[order date]])</f>
        <v>2023</v>
      </c>
      <c r="M774" t="str">
        <f>IF(discount_impact_on_profit_2000_rows[[#This Row],[Discount %]]=0,"Zero Discount",IF(discount_impact_on_profit_2000_rows[[#This Row],[Discount %]]&lt;=10,"Low Discount","High Discount"))</f>
        <v>Low Discount</v>
      </c>
      <c r="N774" t="str">
        <f t="shared" si="12"/>
        <v>0-10%</v>
      </c>
    </row>
    <row r="775" spans="1:14">
      <c r="A775" s="1">
        <v>45499</v>
      </c>
      <c r="B775" t="s">
        <v>837</v>
      </c>
      <c r="C775" t="s">
        <v>11</v>
      </c>
      <c r="D775" t="s">
        <v>12</v>
      </c>
      <c r="E775">
        <v>3618.51</v>
      </c>
      <c r="F775" t="s">
        <v>31</v>
      </c>
      <c r="G775">
        <v>6713.51</v>
      </c>
      <c r="H775">
        <v>3095</v>
      </c>
      <c r="I775">
        <v>25</v>
      </c>
      <c r="J775">
        <v>6</v>
      </c>
      <c r="K775" t="str">
        <f>TEXT(discount_impact_on_profit_2000_rows[[#This Row],[order date]],"mmmm")</f>
        <v>July</v>
      </c>
      <c r="L775">
        <f>YEAR(discount_impact_on_profit_2000_rows[[#This Row],[order date]])</f>
        <v>2024</v>
      </c>
      <c r="M775" t="str">
        <f>IF(discount_impact_on_profit_2000_rows[[#This Row],[Discount %]]=0,"Zero Discount",IF(discount_impact_on_profit_2000_rows[[#This Row],[Discount %]]&lt;=10,"Low Discount","High Discount"))</f>
        <v>High Discount</v>
      </c>
      <c r="N775" t="str">
        <f t="shared" si="12"/>
        <v>20-30%</v>
      </c>
    </row>
    <row r="776" spans="1:14">
      <c r="A776" s="1">
        <v>45272</v>
      </c>
      <c r="B776" t="s">
        <v>838</v>
      </c>
      <c r="C776" t="s">
        <v>21</v>
      </c>
      <c r="D776" t="s">
        <v>82</v>
      </c>
      <c r="E776">
        <v>36061.71</v>
      </c>
      <c r="F776" t="s">
        <v>31</v>
      </c>
      <c r="G776">
        <v>43385.49</v>
      </c>
      <c r="H776">
        <v>7323.78</v>
      </c>
      <c r="I776">
        <v>5</v>
      </c>
      <c r="J776">
        <v>3</v>
      </c>
      <c r="K776" t="str">
        <f>TEXT(discount_impact_on_profit_2000_rows[[#This Row],[order date]],"mmmm")</f>
        <v>December</v>
      </c>
      <c r="L776">
        <f>YEAR(discount_impact_on_profit_2000_rows[[#This Row],[order date]])</f>
        <v>2023</v>
      </c>
      <c r="M776" t="str">
        <f>IF(discount_impact_on_profit_2000_rows[[#This Row],[Discount %]]=0,"Zero Discount",IF(discount_impact_on_profit_2000_rows[[#This Row],[Discount %]]&lt;=10,"Low Discount","High Discount"))</f>
        <v>Low Discount</v>
      </c>
      <c r="N776" t="str">
        <f t="shared" si="12"/>
        <v>0-10%</v>
      </c>
    </row>
    <row r="777" spans="1:14">
      <c r="A777" s="1">
        <v>45510</v>
      </c>
      <c r="B777" t="s">
        <v>839</v>
      </c>
      <c r="C777" t="s">
        <v>33</v>
      </c>
      <c r="D777" t="s">
        <v>92</v>
      </c>
      <c r="E777">
        <v>2058.9899999999998</v>
      </c>
      <c r="F777" t="s">
        <v>13</v>
      </c>
      <c r="G777">
        <v>2642.1</v>
      </c>
      <c r="H777">
        <v>583.11</v>
      </c>
      <c r="I777">
        <v>5</v>
      </c>
      <c r="J777">
        <v>1</v>
      </c>
      <c r="K777" t="str">
        <f>TEXT(discount_impact_on_profit_2000_rows[[#This Row],[order date]],"mmmm")</f>
        <v>August</v>
      </c>
      <c r="L777">
        <f>YEAR(discount_impact_on_profit_2000_rows[[#This Row],[order date]])</f>
        <v>2024</v>
      </c>
      <c r="M777" t="str">
        <f>IF(discount_impact_on_profit_2000_rows[[#This Row],[Discount %]]=0,"Zero Discount",IF(discount_impact_on_profit_2000_rows[[#This Row],[Discount %]]&lt;=10,"Low Discount","High Discount"))</f>
        <v>Low Discount</v>
      </c>
      <c r="N777" t="str">
        <f t="shared" si="12"/>
        <v>0-10%</v>
      </c>
    </row>
    <row r="778" spans="1:14">
      <c r="A778" s="1">
        <v>45494</v>
      </c>
      <c r="B778" t="s">
        <v>840</v>
      </c>
      <c r="C778" t="s">
        <v>18</v>
      </c>
      <c r="D778" t="s">
        <v>188</v>
      </c>
      <c r="E778">
        <v>950.55</v>
      </c>
      <c r="F778" t="s">
        <v>36</v>
      </c>
      <c r="G778">
        <v>1288.67</v>
      </c>
      <c r="H778">
        <v>338.12</v>
      </c>
      <c r="I778">
        <v>30</v>
      </c>
      <c r="J778">
        <v>3</v>
      </c>
      <c r="K778" t="str">
        <f>TEXT(discount_impact_on_profit_2000_rows[[#This Row],[order date]],"mmmm")</f>
        <v>July</v>
      </c>
      <c r="L778">
        <f>YEAR(discount_impact_on_profit_2000_rows[[#This Row],[order date]])</f>
        <v>2024</v>
      </c>
      <c r="M778" t="str">
        <f>IF(discount_impact_on_profit_2000_rows[[#This Row],[Discount %]]=0,"Zero Discount",IF(discount_impact_on_profit_2000_rows[[#This Row],[Discount %]]&lt;=10,"Low Discount","High Discount"))</f>
        <v>High Discount</v>
      </c>
      <c r="N778" t="str">
        <f t="shared" si="12"/>
        <v>20-30%</v>
      </c>
    </row>
    <row r="779" spans="1:14">
      <c r="A779" s="1">
        <v>45584</v>
      </c>
      <c r="B779" t="s">
        <v>841</v>
      </c>
      <c r="C779" t="s">
        <v>11</v>
      </c>
      <c r="D779" t="s">
        <v>25</v>
      </c>
      <c r="E779">
        <v>952.4</v>
      </c>
      <c r="F779" t="s">
        <v>36</v>
      </c>
      <c r="G779">
        <v>1970.44</v>
      </c>
      <c r="H779">
        <v>1018.04</v>
      </c>
      <c r="I779">
        <v>20</v>
      </c>
      <c r="J779">
        <v>6</v>
      </c>
      <c r="K779" t="str">
        <f>TEXT(discount_impact_on_profit_2000_rows[[#This Row],[order date]],"mmmm")</f>
        <v>October</v>
      </c>
      <c r="L779">
        <f>YEAR(discount_impact_on_profit_2000_rows[[#This Row],[order date]])</f>
        <v>2024</v>
      </c>
      <c r="M779" t="str">
        <f>IF(discount_impact_on_profit_2000_rows[[#This Row],[Discount %]]=0,"Zero Discount",IF(discount_impact_on_profit_2000_rows[[#This Row],[Discount %]]&lt;=10,"Low Discount","High Discount"))</f>
        <v>High Discount</v>
      </c>
      <c r="N779" t="str">
        <f t="shared" si="12"/>
        <v>10-20%</v>
      </c>
    </row>
    <row r="780" spans="1:14">
      <c r="A780" s="1">
        <v>46013</v>
      </c>
      <c r="B780" t="s">
        <v>842</v>
      </c>
      <c r="C780" t="s">
        <v>15</v>
      </c>
      <c r="D780" t="s">
        <v>84</v>
      </c>
      <c r="E780">
        <v>12066.24</v>
      </c>
      <c r="F780" t="s">
        <v>13</v>
      </c>
      <c r="G780">
        <v>13944</v>
      </c>
      <c r="H780">
        <v>1877.76</v>
      </c>
      <c r="I780">
        <v>20</v>
      </c>
      <c r="J780">
        <v>1</v>
      </c>
      <c r="K780" t="str">
        <f>TEXT(discount_impact_on_profit_2000_rows[[#This Row],[order date]],"mmmm")</f>
        <v>December</v>
      </c>
      <c r="L780">
        <f>YEAR(discount_impact_on_profit_2000_rows[[#This Row],[order date]])</f>
        <v>2025</v>
      </c>
      <c r="M780" t="str">
        <f>IF(discount_impact_on_profit_2000_rows[[#This Row],[Discount %]]=0,"Zero Discount",IF(discount_impact_on_profit_2000_rows[[#This Row],[Discount %]]&lt;=10,"Low Discount","High Discount"))</f>
        <v>High Discount</v>
      </c>
      <c r="N780" t="str">
        <f t="shared" si="12"/>
        <v>10-20%</v>
      </c>
    </row>
    <row r="781" spans="1:14">
      <c r="A781" s="1">
        <v>45065</v>
      </c>
      <c r="B781" t="s">
        <v>843</v>
      </c>
      <c r="C781" t="s">
        <v>15</v>
      </c>
      <c r="D781" t="s">
        <v>99</v>
      </c>
      <c r="E781">
        <v>12337.33</v>
      </c>
      <c r="F781" t="s">
        <v>36</v>
      </c>
      <c r="G781">
        <v>18141.89</v>
      </c>
      <c r="H781">
        <v>5804.56</v>
      </c>
      <c r="I781">
        <v>10</v>
      </c>
      <c r="J781">
        <v>2</v>
      </c>
      <c r="K781" t="str">
        <f>TEXT(discount_impact_on_profit_2000_rows[[#This Row],[order date]],"mmmm")</f>
        <v>May</v>
      </c>
      <c r="L781">
        <f>YEAR(discount_impact_on_profit_2000_rows[[#This Row],[order date]])</f>
        <v>2023</v>
      </c>
      <c r="M781" t="str">
        <f>IF(discount_impact_on_profit_2000_rows[[#This Row],[Discount %]]=0,"Zero Discount",IF(discount_impact_on_profit_2000_rows[[#This Row],[Discount %]]&lt;=10,"Low Discount","High Discount"))</f>
        <v>Low Discount</v>
      </c>
      <c r="N781" t="str">
        <f t="shared" si="12"/>
        <v>0-10%</v>
      </c>
    </row>
    <row r="782" spans="1:14">
      <c r="A782" s="1">
        <v>45625</v>
      </c>
      <c r="B782" t="s">
        <v>844</v>
      </c>
      <c r="C782" t="s">
        <v>15</v>
      </c>
      <c r="D782" t="s">
        <v>76</v>
      </c>
      <c r="E782">
        <v>7226.44</v>
      </c>
      <c r="F782" t="s">
        <v>23</v>
      </c>
      <c r="G782">
        <v>9834.59</v>
      </c>
      <c r="H782">
        <v>2608.15</v>
      </c>
      <c r="I782">
        <v>0</v>
      </c>
      <c r="J782">
        <v>6</v>
      </c>
      <c r="K782" t="str">
        <f>TEXT(discount_impact_on_profit_2000_rows[[#This Row],[order date]],"mmmm")</f>
        <v>November</v>
      </c>
      <c r="L782">
        <f>YEAR(discount_impact_on_profit_2000_rows[[#This Row],[order date]])</f>
        <v>2024</v>
      </c>
      <c r="M782" t="str">
        <f>IF(discount_impact_on_profit_2000_rows[[#This Row],[Discount %]]=0,"Zero Discount",IF(discount_impact_on_profit_2000_rows[[#This Row],[Discount %]]&lt;=10,"Low Discount","High Discount"))</f>
        <v>Zero Discount</v>
      </c>
      <c r="N782" t="str">
        <f t="shared" si="12"/>
        <v>0-10%</v>
      </c>
    </row>
    <row r="783" spans="1:14">
      <c r="A783" s="1">
        <v>45945</v>
      </c>
      <c r="B783" t="s">
        <v>845</v>
      </c>
      <c r="C783" t="s">
        <v>21</v>
      </c>
      <c r="D783" t="s">
        <v>82</v>
      </c>
      <c r="E783">
        <v>5087.5600000000004</v>
      </c>
      <c r="F783" t="s">
        <v>13</v>
      </c>
      <c r="G783">
        <v>5781.56</v>
      </c>
      <c r="H783">
        <v>694</v>
      </c>
      <c r="I783">
        <v>10</v>
      </c>
      <c r="J783">
        <v>1</v>
      </c>
      <c r="K783" t="str">
        <f>TEXT(discount_impact_on_profit_2000_rows[[#This Row],[order date]],"mmmm")</f>
        <v>October</v>
      </c>
      <c r="L783">
        <f>YEAR(discount_impact_on_profit_2000_rows[[#This Row],[order date]])</f>
        <v>2025</v>
      </c>
      <c r="M783" t="str">
        <f>IF(discount_impact_on_profit_2000_rows[[#This Row],[Discount %]]=0,"Zero Discount",IF(discount_impact_on_profit_2000_rows[[#This Row],[Discount %]]&lt;=10,"Low Discount","High Discount"))</f>
        <v>Low Discount</v>
      </c>
      <c r="N783" t="str">
        <f t="shared" si="12"/>
        <v>0-10%</v>
      </c>
    </row>
    <row r="784" spans="1:14">
      <c r="A784" s="1">
        <v>45523</v>
      </c>
      <c r="B784" t="s">
        <v>846</v>
      </c>
      <c r="C784" t="s">
        <v>53</v>
      </c>
      <c r="D784" t="s">
        <v>54</v>
      </c>
      <c r="E784">
        <v>926.06</v>
      </c>
      <c r="F784" t="s">
        <v>31</v>
      </c>
      <c r="G784">
        <v>1821.07</v>
      </c>
      <c r="H784">
        <v>895.01</v>
      </c>
      <c r="I784">
        <v>15</v>
      </c>
      <c r="J784">
        <v>1</v>
      </c>
      <c r="K784" t="str">
        <f>TEXT(discount_impact_on_profit_2000_rows[[#This Row],[order date]],"mmmm")</f>
        <v>August</v>
      </c>
      <c r="L784">
        <f>YEAR(discount_impact_on_profit_2000_rows[[#This Row],[order date]])</f>
        <v>2024</v>
      </c>
      <c r="M784" t="str">
        <f>IF(discount_impact_on_profit_2000_rows[[#This Row],[Discount %]]=0,"Zero Discount",IF(discount_impact_on_profit_2000_rows[[#This Row],[Discount %]]&lt;=10,"Low Discount","High Discount"))</f>
        <v>High Discount</v>
      </c>
      <c r="N784" t="str">
        <f t="shared" si="12"/>
        <v>10-20%</v>
      </c>
    </row>
    <row r="785" spans="1:14">
      <c r="A785" s="1">
        <v>44966</v>
      </c>
      <c r="B785" t="s">
        <v>847</v>
      </c>
      <c r="C785" t="s">
        <v>21</v>
      </c>
      <c r="D785" t="s">
        <v>82</v>
      </c>
      <c r="E785">
        <v>8931.52</v>
      </c>
      <c r="F785" t="s">
        <v>31</v>
      </c>
      <c r="G785">
        <v>9348.32</v>
      </c>
      <c r="H785">
        <v>416.8</v>
      </c>
      <c r="I785">
        <v>30</v>
      </c>
      <c r="J785">
        <v>1</v>
      </c>
      <c r="K785" t="str">
        <f>TEXT(discount_impact_on_profit_2000_rows[[#This Row],[order date]],"mmmm")</f>
        <v>February</v>
      </c>
      <c r="L785">
        <f>YEAR(discount_impact_on_profit_2000_rows[[#This Row],[order date]])</f>
        <v>2023</v>
      </c>
      <c r="M785" t="str">
        <f>IF(discount_impact_on_profit_2000_rows[[#This Row],[Discount %]]=0,"Zero Discount",IF(discount_impact_on_profit_2000_rows[[#This Row],[Discount %]]&lt;=10,"Low Discount","High Discount"))</f>
        <v>High Discount</v>
      </c>
      <c r="N785" t="str">
        <f t="shared" si="12"/>
        <v>20-30%</v>
      </c>
    </row>
    <row r="786" spans="1:14">
      <c r="A786" s="1">
        <v>45371</v>
      </c>
      <c r="B786" t="s">
        <v>848</v>
      </c>
      <c r="C786" t="s">
        <v>11</v>
      </c>
      <c r="D786" t="s">
        <v>38</v>
      </c>
      <c r="E786">
        <v>983.15</v>
      </c>
      <c r="F786" t="s">
        <v>26</v>
      </c>
      <c r="G786">
        <v>1210.6500000000001</v>
      </c>
      <c r="H786">
        <v>227.5</v>
      </c>
      <c r="I786">
        <v>25</v>
      </c>
      <c r="J786">
        <v>3</v>
      </c>
      <c r="K786" t="str">
        <f>TEXT(discount_impact_on_profit_2000_rows[[#This Row],[order date]],"mmmm")</f>
        <v>March</v>
      </c>
      <c r="L786">
        <f>YEAR(discount_impact_on_profit_2000_rows[[#This Row],[order date]])</f>
        <v>2024</v>
      </c>
      <c r="M786" t="str">
        <f>IF(discount_impact_on_profit_2000_rows[[#This Row],[Discount %]]=0,"Zero Discount",IF(discount_impact_on_profit_2000_rows[[#This Row],[Discount %]]&lt;=10,"Low Discount","High Discount"))</f>
        <v>High Discount</v>
      </c>
      <c r="N786" t="str">
        <f t="shared" si="12"/>
        <v>20-30%</v>
      </c>
    </row>
    <row r="787" spans="1:14">
      <c r="A787" s="1">
        <v>45603</v>
      </c>
      <c r="B787" t="s">
        <v>849</v>
      </c>
      <c r="C787" t="s">
        <v>21</v>
      </c>
      <c r="D787" t="s">
        <v>57</v>
      </c>
      <c r="E787">
        <v>43259.62</v>
      </c>
      <c r="F787" t="s">
        <v>31</v>
      </c>
      <c r="G787">
        <v>52800.47</v>
      </c>
      <c r="H787">
        <v>9540.85</v>
      </c>
      <c r="I787">
        <v>5</v>
      </c>
      <c r="J787">
        <v>6</v>
      </c>
      <c r="K787" t="str">
        <f>TEXT(discount_impact_on_profit_2000_rows[[#This Row],[order date]],"mmmm")</f>
        <v>November</v>
      </c>
      <c r="L787">
        <f>YEAR(discount_impact_on_profit_2000_rows[[#This Row],[order date]])</f>
        <v>2024</v>
      </c>
      <c r="M787" t="str">
        <f>IF(discount_impact_on_profit_2000_rows[[#This Row],[Discount %]]=0,"Zero Discount",IF(discount_impact_on_profit_2000_rows[[#This Row],[Discount %]]&lt;=10,"Low Discount","High Discount"))</f>
        <v>Low Discount</v>
      </c>
      <c r="N787" t="str">
        <f t="shared" si="12"/>
        <v>0-10%</v>
      </c>
    </row>
    <row r="788" spans="1:14">
      <c r="A788" s="1">
        <v>44960</v>
      </c>
      <c r="B788" t="s">
        <v>850</v>
      </c>
      <c r="C788" t="s">
        <v>21</v>
      </c>
      <c r="D788" t="s">
        <v>57</v>
      </c>
      <c r="E788">
        <v>18559.669999999998</v>
      </c>
      <c r="F788" t="s">
        <v>23</v>
      </c>
      <c r="G788">
        <v>21234.61</v>
      </c>
      <c r="H788">
        <v>2674.94</v>
      </c>
      <c r="I788">
        <v>5</v>
      </c>
      <c r="J788">
        <v>1</v>
      </c>
      <c r="K788" t="str">
        <f>TEXT(discount_impact_on_profit_2000_rows[[#This Row],[order date]],"mmmm")</f>
        <v>February</v>
      </c>
      <c r="L788">
        <f>YEAR(discount_impact_on_profit_2000_rows[[#This Row],[order date]])</f>
        <v>2023</v>
      </c>
      <c r="M788" t="str">
        <f>IF(discount_impact_on_profit_2000_rows[[#This Row],[Discount %]]=0,"Zero Discount",IF(discount_impact_on_profit_2000_rows[[#This Row],[Discount %]]&lt;=10,"Low Discount","High Discount"))</f>
        <v>Low Discount</v>
      </c>
      <c r="N788" t="str">
        <f t="shared" si="12"/>
        <v>0-10%</v>
      </c>
    </row>
    <row r="789" spans="1:14">
      <c r="A789" s="1">
        <v>45566</v>
      </c>
      <c r="B789" t="s">
        <v>851</v>
      </c>
      <c r="C789" t="s">
        <v>33</v>
      </c>
      <c r="D789" t="s">
        <v>273</v>
      </c>
      <c r="E789">
        <v>9561.65</v>
      </c>
      <c r="F789" t="s">
        <v>26</v>
      </c>
      <c r="G789">
        <v>14025.73</v>
      </c>
      <c r="H789">
        <v>4464.08</v>
      </c>
      <c r="I789">
        <v>0</v>
      </c>
      <c r="J789">
        <v>2</v>
      </c>
      <c r="K789" t="str">
        <f>TEXT(discount_impact_on_profit_2000_rows[[#This Row],[order date]],"mmmm")</f>
        <v>October</v>
      </c>
      <c r="L789">
        <f>YEAR(discount_impact_on_profit_2000_rows[[#This Row],[order date]])</f>
        <v>2024</v>
      </c>
      <c r="M789" t="str">
        <f>IF(discount_impact_on_profit_2000_rows[[#This Row],[Discount %]]=0,"Zero Discount",IF(discount_impact_on_profit_2000_rows[[#This Row],[Discount %]]&lt;=10,"Low Discount","High Discount"))</f>
        <v>Zero Discount</v>
      </c>
      <c r="N789" t="str">
        <f t="shared" si="12"/>
        <v>0-10%</v>
      </c>
    </row>
    <row r="790" spans="1:14">
      <c r="A790" s="1">
        <v>45479</v>
      </c>
      <c r="B790" t="s">
        <v>852</v>
      </c>
      <c r="C790" t="s">
        <v>11</v>
      </c>
      <c r="D790" t="s">
        <v>12</v>
      </c>
      <c r="E790">
        <v>6061.13</v>
      </c>
      <c r="F790" t="s">
        <v>36</v>
      </c>
      <c r="G790">
        <v>8497.36</v>
      </c>
      <c r="H790">
        <v>2436.23</v>
      </c>
      <c r="I790">
        <v>10</v>
      </c>
      <c r="J790">
        <v>4</v>
      </c>
      <c r="K790" t="str">
        <f>TEXT(discount_impact_on_profit_2000_rows[[#This Row],[order date]],"mmmm")</f>
        <v>July</v>
      </c>
      <c r="L790">
        <f>YEAR(discount_impact_on_profit_2000_rows[[#This Row],[order date]])</f>
        <v>2024</v>
      </c>
      <c r="M790" t="str">
        <f>IF(discount_impact_on_profit_2000_rows[[#This Row],[Discount %]]=0,"Zero Discount",IF(discount_impact_on_profit_2000_rows[[#This Row],[Discount %]]&lt;=10,"Low Discount","High Discount"))</f>
        <v>Low Discount</v>
      </c>
      <c r="N790" t="str">
        <f t="shared" si="12"/>
        <v>0-10%</v>
      </c>
    </row>
    <row r="791" spans="1:14">
      <c r="A791" s="1">
        <v>45680</v>
      </c>
      <c r="B791" t="s">
        <v>853</v>
      </c>
      <c r="C791" t="s">
        <v>15</v>
      </c>
      <c r="D791" t="s">
        <v>99</v>
      </c>
      <c r="E791">
        <v>60058.67</v>
      </c>
      <c r="F791" t="s">
        <v>26</v>
      </c>
      <c r="G791">
        <v>87521.600000000006</v>
      </c>
      <c r="H791">
        <v>27462.93</v>
      </c>
      <c r="I791">
        <v>0</v>
      </c>
      <c r="J791">
        <v>8</v>
      </c>
      <c r="K791" t="str">
        <f>TEXT(discount_impact_on_profit_2000_rows[[#This Row],[order date]],"mmmm")</f>
        <v>January</v>
      </c>
      <c r="L791">
        <f>YEAR(discount_impact_on_profit_2000_rows[[#This Row],[order date]])</f>
        <v>2025</v>
      </c>
      <c r="M791" t="str">
        <f>IF(discount_impact_on_profit_2000_rows[[#This Row],[Discount %]]=0,"Zero Discount",IF(discount_impact_on_profit_2000_rows[[#This Row],[Discount %]]&lt;=10,"Low Discount","High Discount"))</f>
        <v>Zero Discount</v>
      </c>
      <c r="N791" t="str">
        <f t="shared" si="12"/>
        <v>0-10%</v>
      </c>
    </row>
    <row r="792" spans="1:14">
      <c r="A792" s="1">
        <v>44994</v>
      </c>
      <c r="B792" t="s">
        <v>854</v>
      </c>
      <c r="C792" t="s">
        <v>21</v>
      </c>
      <c r="D792" t="s">
        <v>46</v>
      </c>
      <c r="E792">
        <v>18202.560000000001</v>
      </c>
      <c r="F792" t="s">
        <v>13</v>
      </c>
      <c r="G792">
        <v>19269.34</v>
      </c>
      <c r="H792">
        <v>1066.78</v>
      </c>
      <c r="I792">
        <v>10</v>
      </c>
      <c r="J792">
        <v>6</v>
      </c>
      <c r="K792" t="str">
        <f>TEXT(discount_impact_on_profit_2000_rows[[#This Row],[order date]],"mmmm")</f>
        <v>March</v>
      </c>
      <c r="L792">
        <f>YEAR(discount_impact_on_profit_2000_rows[[#This Row],[order date]])</f>
        <v>2023</v>
      </c>
      <c r="M792" t="str">
        <f>IF(discount_impact_on_profit_2000_rows[[#This Row],[Discount %]]=0,"Zero Discount",IF(discount_impact_on_profit_2000_rows[[#This Row],[Discount %]]&lt;=10,"Low Discount","High Discount"))</f>
        <v>Low Discount</v>
      </c>
      <c r="N792" t="str">
        <f t="shared" si="12"/>
        <v>0-10%</v>
      </c>
    </row>
    <row r="793" spans="1:14">
      <c r="A793" s="1">
        <v>45235</v>
      </c>
      <c r="B793" t="s">
        <v>855</v>
      </c>
      <c r="C793" t="s">
        <v>33</v>
      </c>
      <c r="D793" t="s">
        <v>197</v>
      </c>
      <c r="E793">
        <v>1289.25</v>
      </c>
      <c r="F793" t="s">
        <v>31</v>
      </c>
      <c r="G793">
        <v>2179.42</v>
      </c>
      <c r="H793">
        <v>890.17</v>
      </c>
      <c r="I793">
        <v>0</v>
      </c>
      <c r="J793">
        <v>1</v>
      </c>
      <c r="K793" t="str">
        <f>TEXT(discount_impact_on_profit_2000_rows[[#This Row],[order date]],"mmmm")</f>
        <v>November</v>
      </c>
      <c r="L793">
        <f>YEAR(discount_impact_on_profit_2000_rows[[#This Row],[order date]])</f>
        <v>2023</v>
      </c>
      <c r="M793" t="str">
        <f>IF(discount_impact_on_profit_2000_rows[[#This Row],[Discount %]]=0,"Zero Discount",IF(discount_impact_on_profit_2000_rows[[#This Row],[Discount %]]&lt;=10,"Low Discount","High Discount"))</f>
        <v>Zero Discount</v>
      </c>
      <c r="N793" t="str">
        <f t="shared" si="12"/>
        <v>0-10%</v>
      </c>
    </row>
    <row r="794" spans="1:14">
      <c r="A794" s="1">
        <v>45791</v>
      </c>
      <c r="B794" t="s">
        <v>856</v>
      </c>
      <c r="C794" t="s">
        <v>18</v>
      </c>
      <c r="D794" t="s">
        <v>50</v>
      </c>
      <c r="E794">
        <v>543.30999999999995</v>
      </c>
      <c r="F794" t="s">
        <v>31</v>
      </c>
      <c r="G794">
        <v>757.57</v>
      </c>
      <c r="H794">
        <v>214.26</v>
      </c>
      <c r="I794">
        <v>10</v>
      </c>
      <c r="J794">
        <v>1</v>
      </c>
      <c r="K794" t="str">
        <f>TEXT(discount_impact_on_profit_2000_rows[[#This Row],[order date]],"mmmm")</f>
        <v>May</v>
      </c>
      <c r="L794">
        <f>YEAR(discount_impact_on_profit_2000_rows[[#This Row],[order date]])</f>
        <v>2025</v>
      </c>
      <c r="M794" t="str">
        <f>IF(discount_impact_on_profit_2000_rows[[#This Row],[Discount %]]=0,"Zero Discount",IF(discount_impact_on_profit_2000_rows[[#This Row],[Discount %]]&lt;=10,"Low Discount","High Discount"))</f>
        <v>Low Discount</v>
      </c>
      <c r="N794" t="str">
        <f t="shared" si="12"/>
        <v>0-10%</v>
      </c>
    </row>
    <row r="795" spans="1:14">
      <c r="A795" s="1">
        <v>45980</v>
      </c>
      <c r="B795" t="s">
        <v>857</v>
      </c>
      <c r="C795" t="s">
        <v>33</v>
      </c>
      <c r="D795" t="s">
        <v>44</v>
      </c>
      <c r="E795">
        <v>21160.400000000001</v>
      </c>
      <c r="F795" t="s">
        <v>36</v>
      </c>
      <c r="G795">
        <v>22902.32</v>
      </c>
      <c r="H795">
        <v>1741.92</v>
      </c>
      <c r="I795">
        <v>15</v>
      </c>
      <c r="J795">
        <v>3</v>
      </c>
      <c r="K795" t="str">
        <f>TEXT(discount_impact_on_profit_2000_rows[[#This Row],[order date]],"mmmm")</f>
        <v>November</v>
      </c>
      <c r="L795">
        <f>YEAR(discount_impact_on_profit_2000_rows[[#This Row],[order date]])</f>
        <v>2025</v>
      </c>
      <c r="M795" t="str">
        <f>IF(discount_impact_on_profit_2000_rows[[#This Row],[Discount %]]=0,"Zero Discount",IF(discount_impact_on_profit_2000_rows[[#This Row],[Discount %]]&lt;=10,"Low Discount","High Discount"))</f>
        <v>High Discount</v>
      </c>
      <c r="N795" t="str">
        <f t="shared" si="12"/>
        <v>10-20%</v>
      </c>
    </row>
    <row r="796" spans="1:14">
      <c r="A796" s="1">
        <v>45123</v>
      </c>
      <c r="B796" t="s">
        <v>858</v>
      </c>
      <c r="C796" t="s">
        <v>21</v>
      </c>
      <c r="D796" t="s">
        <v>46</v>
      </c>
      <c r="E796">
        <v>4244.3999999999996</v>
      </c>
      <c r="F796" t="s">
        <v>36</v>
      </c>
      <c r="G796">
        <v>5223.33</v>
      </c>
      <c r="H796">
        <v>978.93</v>
      </c>
      <c r="I796">
        <v>0</v>
      </c>
      <c r="J796">
        <v>4</v>
      </c>
      <c r="K796" t="str">
        <f>TEXT(discount_impact_on_profit_2000_rows[[#This Row],[order date]],"mmmm")</f>
        <v>July</v>
      </c>
      <c r="L796">
        <f>YEAR(discount_impact_on_profit_2000_rows[[#This Row],[order date]])</f>
        <v>2023</v>
      </c>
      <c r="M796" t="str">
        <f>IF(discount_impact_on_profit_2000_rows[[#This Row],[Discount %]]=0,"Zero Discount",IF(discount_impact_on_profit_2000_rows[[#This Row],[Discount %]]&lt;=10,"Low Discount","High Discount"))</f>
        <v>Zero Discount</v>
      </c>
      <c r="N796" t="str">
        <f t="shared" si="12"/>
        <v>0-10%</v>
      </c>
    </row>
    <row r="797" spans="1:14">
      <c r="A797" s="1">
        <v>45308</v>
      </c>
      <c r="B797" t="s">
        <v>859</v>
      </c>
      <c r="C797" t="s">
        <v>11</v>
      </c>
      <c r="D797" t="s">
        <v>207</v>
      </c>
      <c r="E797">
        <v>2036.89</v>
      </c>
      <c r="F797" t="s">
        <v>13</v>
      </c>
      <c r="G797">
        <v>3541.29</v>
      </c>
      <c r="H797">
        <v>1504.4</v>
      </c>
      <c r="I797">
        <v>20</v>
      </c>
      <c r="J797">
        <v>4</v>
      </c>
      <c r="K797" t="str">
        <f>TEXT(discount_impact_on_profit_2000_rows[[#This Row],[order date]],"mmmm")</f>
        <v>January</v>
      </c>
      <c r="L797">
        <f>YEAR(discount_impact_on_profit_2000_rows[[#This Row],[order date]])</f>
        <v>2024</v>
      </c>
      <c r="M797" t="str">
        <f>IF(discount_impact_on_profit_2000_rows[[#This Row],[Discount %]]=0,"Zero Discount",IF(discount_impact_on_profit_2000_rows[[#This Row],[Discount %]]&lt;=10,"Low Discount","High Discount"))</f>
        <v>High Discount</v>
      </c>
      <c r="N797" t="str">
        <f t="shared" si="12"/>
        <v>10-20%</v>
      </c>
    </row>
    <row r="798" spans="1:14">
      <c r="A798" s="1">
        <v>45879</v>
      </c>
      <c r="B798" t="s">
        <v>860</v>
      </c>
      <c r="C798" t="s">
        <v>53</v>
      </c>
      <c r="D798" t="s">
        <v>70</v>
      </c>
      <c r="E798">
        <v>8350.1</v>
      </c>
      <c r="F798" t="s">
        <v>36</v>
      </c>
      <c r="G798">
        <v>13983.93</v>
      </c>
      <c r="H798">
        <v>5633.83</v>
      </c>
      <c r="I798">
        <v>0</v>
      </c>
      <c r="J798">
        <v>5</v>
      </c>
      <c r="K798" t="str">
        <f>TEXT(discount_impact_on_profit_2000_rows[[#This Row],[order date]],"mmmm")</f>
        <v>August</v>
      </c>
      <c r="L798">
        <f>YEAR(discount_impact_on_profit_2000_rows[[#This Row],[order date]])</f>
        <v>2025</v>
      </c>
      <c r="M798" t="str">
        <f>IF(discount_impact_on_profit_2000_rows[[#This Row],[Discount %]]=0,"Zero Discount",IF(discount_impact_on_profit_2000_rows[[#This Row],[Discount %]]&lt;=10,"Low Discount","High Discount"))</f>
        <v>Zero Discount</v>
      </c>
      <c r="N798" t="str">
        <f t="shared" si="12"/>
        <v>0-10%</v>
      </c>
    </row>
    <row r="799" spans="1:14">
      <c r="A799" s="1">
        <v>45481</v>
      </c>
      <c r="B799" t="s">
        <v>861</v>
      </c>
      <c r="C799" t="s">
        <v>18</v>
      </c>
      <c r="D799" t="s">
        <v>50</v>
      </c>
      <c r="E799">
        <v>77.38</v>
      </c>
      <c r="F799" t="s">
        <v>31</v>
      </c>
      <c r="G799">
        <v>136.44</v>
      </c>
      <c r="H799">
        <v>59.06</v>
      </c>
      <c r="I799">
        <v>15</v>
      </c>
      <c r="J799">
        <v>1</v>
      </c>
      <c r="K799" t="str">
        <f>TEXT(discount_impact_on_profit_2000_rows[[#This Row],[order date]],"mmmm")</f>
        <v>July</v>
      </c>
      <c r="L799">
        <f>YEAR(discount_impact_on_profit_2000_rows[[#This Row],[order date]])</f>
        <v>2024</v>
      </c>
      <c r="M799" t="str">
        <f>IF(discount_impact_on_profit_2000_rows[[#This Row],[Discount %]]=0,"Zero Discount",IF(discount_impact_on_profit_2000_rows[[#This Row],[Discount %]]&lt;=10,"Low Discount","High Discount"))</f>
        <v>High Discount</v>
      </c>
      <c r="N799" t="str">
        <f t="shared" si="12"/>
        <v>10-20%</v>
      </c>
    </row>
    <row r="800" spans="1:14">
      <c r="A800" s="1">
        <v>44984</v>
      </c>
      <c r="B800" t="s">
        <v>862</v>
      </c>
      <c r="C800" t="s">
        <v>15</v>
      </c>
      <c r="D800" t="s">
        <v>76</v>
      </c>
      <c r="E800">
        <v>2151.77</v>
      </c>
      <c r="F800" t="s">
        <v>31</v>
      </c>
      <c r="G800">
        <v>3517.46</v>
      </c>
      <c r="H800">
        <v>1365.69</v>
      </c>
      <c r="I800">
        <v>0</v>
      </c>
      <c r="J800">
        <v>1</v>
      </c>
      <c r="K800" t="str">
        <f>TEXT(discount_impact_on_profit_2000_rows[[#This Row],[order date]],"mmmm")</f>
        <v>February</v>
      </c>
      <c r="L800">
        <f>YEAR(discount_impact_on_profit_2000_rows[[#This Row],[order date]])</f>
        <v>2023</v>
      </c>
      <c r="M800" t="str">
        <f>IF(discount_impact_on_profit_2000_rows[[#This Row],[Discount %]]=0,"Zero Discount",IF(discount_impact_on_profit_2000_rows[[#This Row],[Discount %]]&lt;=10,"Low Discount","High Discount"))</f>
        <v>Zero Discount</v>
      </c>
      <c r="N800" t="str">
        <f t="shared" si="12"/>
        <v>0-10%</v>
      </c>
    </row>
    <row r="801" spans="1:14">
      <c r="A801" s="1">
        <v>44944</v>
      </c>
      <c r="B801" t="s">
        <v>863</v>
      </c>
      <c r="C801" t="s">
        <v>11</v>
      </c>
      <c r="D801" t="s">
        <v>30</v>
      </c>
      <c r="E801">
        <v>3057.13</v>
      </c>
      <c r="F801" t="s">
        <v>23</v>
      </c>
      <c r="G801">
        <v>4468.9399999999996</v>
      </c>
      <c r="H801">
        <v>1411.81</v>
      </c>
      <c r="I801">
        <v>10</v>
      </c>
      <c r="J801">
        <v>2</v>
      </c>
      <c r="K801" t="str">
        <f>TEXT(discount_impact_on_profit_2000_rows[[#This Row],[order date]],"mmmm")</f>
        <v>January</v>
      </c>
      <c r="L801">
        <f>YEAR(discount_impact_on_profit_2000_rows[[#This Row],[order date]])</f>
        <v>2023</v>
      </c>
      <c r="M801" t="str">
        <f>IF(discount_impact_on_profit_2000_rows[[#This Row],[Discount %]]=0,"Zero Discount",IF(discount_impact_on_profit_2000_rows[[#This Row],[Discount %]]&lt;=10,"Low Discount","High Discount"))</f>
        <v>Low Discount</v>
      </c>
      <c r="N801" t="str">
        <f t="shared" si="12"/>
        <v>0-10%</v>
      </c>
    </row>
    <row r="802" spans="1:14">
      <c r="A802" s="1">
        <v>45642</v>
      </c>
      <c r="B802" t="s">
        <v>864</v>
      </c>
      <c r="C802" t="s">
        <v>53</v>
      </c>
      <c r="D802" t="s">
        <v>78</v>
      </c>
      <c r="E802">
        <v>2366.31</v>
      </c>
      <c r="F802" t="s">
        <v>31</v>
      </c>
      <c r="G802">
        <v>5571.06</v>
      </c>
      <c r="H802">
        <v>3204.75</v>
      </c>
      <c r="I802">
        <v>0</v>
      </c>
      <c r="J802">
        <v>2</v>
      </c>
      <c r="K802" t="str">
        <f>TEXT(discount_impact_on_profit_2000_rows[[#This Row],[order date]],"mmmm")</f>
        <v>December</v>
      </c>
      <c r="L802">
        <f>YEAR(discount_impact_on_profit_2000_rows[[#This Row],[order date]])</f>
        <v>2024</v>
      </c>
      <c r="M802" t="str">
        <f>IF(discount_impact_on_profit_2000_rows[[#This Row],[Discount %]]=0,"Zero Discount",IF(discount_impact_on_profit_2000_rows[[#This Row],[Discount %]]&lt;=10,"Low Discount","High Discount"))</f>
        <v>Zero Discount</v>
      </c>
      <c r="N802" t="str">
        <f t="shared" si="12"/>
        <v>0-10%</v>
      </c>
    </row>
    <row r="803" spans="1:14">
      <c r="A803" s="1">
        <v>45301</v>
      </c>
      <c r="B803" t="s">
        <v>865</v>
      </c>
      <c r="C803" t="s">
        <v>18</v>
      </c>
      <c r="D803" t="s">
        <v>140</v>
      </c>
      <c r="E803">
        <v>297.7</v>
      </c>
      <c r="F803" t="s">
        <v>36</v>
      </c>
      <c r="G803">
        <v>689.89</v>
      </c>
      <c r="H803">
        <v>392.19</v>
      </c>
      <c r="I803">
        <v>0</v>
      </c>
      <c r="J803">
        <v>4</v>
      </c>
      <c r="K803" t="str">
        <f>TEXT(discount_impact_on_profit_2000_rows[[#This Row],[order date]],"mmmm")</f>
        <v>January</v>
      </c>
      <c r="L803">
        <f>YEAR(discount_impact_on_profit_2000_rows[[#This Row],[order date]])</f>
        <v>2024</v>
      </c>
      <c r="M803" t="str">
        <f>IF(discount_impact_on_profit_2000_rows[[#This Row],[Discount %]]=0,"Zero Discount",IF(discount_impact_on_profit_2000_rows[[#This Row],[Discount %]]&lt;=10,"Low Discount","High Discount"))</f>
        <v>Zero Discount</v>
      </c>
      <c r="N803" t="str">
        <f t="shared" si="12"/>
        <v>0-10%</v>
      </c>
    </row>
    <row r="804" spans="1:14">
      <c r="A804" s="1">
        <v>45967</v>
      </c>
      <c r="B804" t="s">
        <v>866</v>
      </c>
      <c r="C804" t="s">
        <v>18</v>
      </c>
      <c r="D804" t="s">
        <v>104</v>
      </c>
      <c r="E804">
        <v>435.81</v>
      </c>
      <c r="F804" t="s">
        <v>13</v>
      </c>
      <c r="G804">
        <v>734.63</v>
      </c>
      <c r="H804">
        <v>298.82</v>
      </c>
      <c r="I804">
        <v>5</v>
      </c>
      <c r="J804">
        <v>1</v>
      </c>
      <c r="K804" t="str">
        <f>TEXT(discount_impact_on_profit_2000_rows[[#This Row],[order date]],"mmmm")</f>
        <v>November</v>
      </c>
      <c r="L804">
        <f>YEAR(discount_impact_on_profit_2000_rows[[#This Row],[order date]])</f>
        <v>2025</v>
      </c>
      <c r="M804" t="str">
        <f>IF(discount_impact_on_profit_2000_rows[[#This Row],[Discount %]]=0,"Zero Discount",IF(discount_impact_on_profit_2000_rows[[#This Row],[Discount %]]&lt;=10,"Low Discount","High Discount"))</f>
        <v>Low Discount</v>
      </c>
      <c r="N804" t="str">
        <f t="shared" si="12"/>
        <v>0-10%</v>
      </c>
    </row>
    <row r="805" spans="1:14">
      <c r="A805" s="1">
        <v>45954</v>
      </c>
      <c r="B805" t="s">
        <v>867</v>
      </c>
      <c r="C805" t="s">
        <v>21</v>
      </c>
      <c r="D805" t="s">
        <v>97</v>
      </c>
      <c r="E805">
        <v>14126.4</v>
      </c>
      <c r="F805" t="s">
        <v>13</v>
      </c>
      <c r="G805">
        <v>16720.41</v>
      </c>
      <c r="H805">
        <v>2594.0100000000002</v>
      </c>
      <c r="I805">
        <v>10</v>
      </c>
      <c r="J805">
        <v>3</v>
      </c>
      <c r="K805" t="str">
        <f>TEXT(discount_impact_on_profit_2000_rows[[#This Row],[order date]],"mmmm")</f>
        <v>October</v>
      </c>
      <c r="L805">
        <f>YEAR(discount_impact_on_profit_2000_rows[[#This Row],[order date]])</f>
        <v>2025</v>
      </c>
      <c r="M805" t="str">
        <f>IF(discount_impact_on_profit_2000_rows[[#This Row],[Discount %]]=0,"Zero Discount",IF(discount_impact_on_profit_2000_rows[[#This Row],[Discount %]]&lt;=10,"Low Discount","High Discount"))</f>
        <v>Low Discount</v>
      </c>
      <c r="N805" t="str">
        <f t="shared" si="12"/>
        <v>0-10%</v>
      </c>
    </row>
    <row r="806" spans="1:14">
      <c r="A806" s="1">
        <v>45442</v>
      </c>
      <c r="B806" t="s">
        <v>868</v>
      </c>
      <c r="C806" t="s">
        <v>11</v>
      </c>
      <c r="D806" t="s">
        <v>25</v>
      </c>
      <c r="E806">
        <v>465.03</v>
      </c>
      <c r="F806" t="s">
        <v>36</v>
      </c>
      <c r="G806">
        <v>619.54999999999995</v>
      </c>
      <c r="H806">
        <v>154.52000000000001</v>
      </c>
      <c r="I806">
        <v>20</v>
      </c>
      <c r="J806">
        <v>1</v>
      </c>
      <c r="K806" t="str">
        <f>TEXT(discount_impact_on_profit_2000_rows[[#This Row],[order date]],"mmmm")</f>
        <v>May</v>
      </c>
      <c r="L806">
        <f>YEAR(discount_impact_on_profit_2000_rows[[#This Row],[order date]])</f>
        <v>2024</v>
      </c>
      <c r="M806" t="str">
        <f>IF(discount_impact_on_profit_2000_rows[[#This Row],[Discount %]]=0,"Zero Discount",IF(discount_impact_on_profit_2000_rows[[#This Row],[Discount %]]&lt;=10,"Low Discount","High Discount"))</f>
        <v>High Discount</v>
      </c>
      <c r="N806" t="str">
        <f t="shared" si="12"/>
        <v>10-20%</v>
      </c>
    </row>
    <row r="807" spans="1:14">
      <c r="A807" s="1">
        <v>45487</v>
      </c>
      <c r="B807" t="s">
        <v>869</v>
      </c>
      <c r="C807" t="s">
        <v>11</v>
      </c>
      <c r="D807" t="s">
        <v>25</v>
      </c>
      <c r="E807">
        <v>1840.01</v>
      </c>
      <c r="F807" t="s">
        <v>23</v>
      </c>
      <c r="G807">
        <v>3808.31</v>
      </c>
      <c r="H807">
        <v>1968.3</v>
      </c>
      <c r="I807">
        <v>10</v>
      </c>
      <c r="J807">
        <v>1</v>
      </c>
      <c r="K807" t="str">
        <f>TEXT(discount_impact_on_profit_2000_rows[[#This Row],[order date]],"mmmm")</f>
        <v>July</v>
      </c>
      <c r="L807">
        <f>YEAR(discount_impact_on_profit_2000_rows[[#This Row],[order date]])</f>
        <v>2024</v>
      </c>
      <c r="M807" t="str">
        <f>IF(discount_impact_on_profit_2000_rows[[#This Row],[Discount %]]=0,"Zero Discount",IF(discount_impact_on_profit_2000_rows[[#This Row],[Discount %]]&lt;=10,"Low Discount","High Discount"))</f>
        <v>Low Discount</v>
      </c>
      <c r="N807" t="str">
        <f t="shared" si="12"/>
        <v>0-10%</v>
      </c>
    </row>
    <row r="808" spans="1:14">
      <c r="A808" s="1">
        <v>45814</v>
      </c>
      <c r="B808" t="s">
        <v>870</v>
      </c>
      <c r="C808" t="s">
        <v>33</v>
      </c>
      <c r="D808" t="s">
        <v>92</v>
      </c>
      <c r="E808">
        <v>3450.65</v>
      </c>
      <c r="F808" t="s">
        <v>26</v>
      </c>
      <c r="G808">
        <v>5882.19</v>
      </c>
      <c r="H808">
        <v>2431.54</v>
      </c>
      <c r="I808">
        <v>0</v>
      </c>
      <c r="J808">
        <v>1</v>
      </c>
      <c r="K808" t="str">
        <f>TEXT(discount_impact_on_profit_2000_rows[[#This Row],[order date]],"mmmm")</f>
        <v>June</v>
      </c>
      <c r="L808">
        <f>YEAR(discount_impact_on_profit_2000_rows[[#This Row],[order date]])</f>
        <v>2025</v>
      </c>
      <c r="M808" t="str">
        <f>IF(discount_impact_on_profit_2000_rows[[#This Row],[Discount %]]=0,"Zero Discount",IF(discount_impact_on_profit_2000_rows[[#This Row],[Discount %]]&lt;=10,"Low Discount","High Discount"))</f>
        <v>Zero Discount</v>
      </c>
      <c r="N808" t="str">
        <f t="shared" si="12"/>
        <v>0-10%</v>
      </c>
    </row>
    <row r="809" spans="1:14">
      <c r="A809" s="1">
        <v>45652</v>
      </c>
      <c r="B809" t="s">
        <v>871</v>
      </c>
      <c r="C809" t="s">
        <v>18</v>
      </c>
      <c r="D809" t="s">
        <v>88</v>
      </c>
      <c r="E809">
        <v>651.36</v>
      </c>
      <c r="F809" t="s">
        <v>13</v>
      </c>
      <c r="G809">
        <v>1100.97</v>
      </c>
      <c r="H809">
        <v>449.61</v>
      </c>
      <c r="I809">
        <v>0</v>
      </c>
      <c r="J809">
        <v>1</v>
      </c>
      <c r="K809" t="str">
        <f>TEXT(discount_impact_on_profit_2000_rows[[#This Row],[order date]],"mmmm")</f>
        <v>December</v>
      </c>
      <c r="L809">
        <f>YEAR(discount_impact_on_profit_2000_rows[[#This Row],[order date]])</f>
        <v>2024</v>
      </c>
      <c r="M809" t="str">
        <f>IF(discount_impact_on_profit_2000_rows[[#This Row],[Discount %]]=0,"Zero Discount",IF(discount_impact_on_profit_2000_rows[[#This Row],[Discount %]]&lt;=10,"Low Discount","High Discount"))</f>
        <v>Zero Discount</v>
      </c>
      <c r="N809" t="str">
        <f t="shared" si="12"/>
        <v>0-10%</v>
      </c>
    </row>
    <row r="810" spans="1:14">
      <c r="A810" s="1">
        <v>45166</v>
      </c>
      <c r="B810" t="s">
        <v>872</v>
      </c>
      <c r="C810" t="s">
        <v>11</v>
      </c>
      <c r="D810" t="s">
        <v>25</v>
      </c>
      <c r="E810">
        <v>401.63</v>
      </c>
      <c r="F810" t="s">
        <v>23</v>
      </c>
      <c r="G810">
        <v>533.16</v>
      </c>
      <c r="H810">
        <v>131.53</v>
      </c>
      <c r="I810">
        <v>20</v>
      </c>
      <c r="J810">
        <v>2</v>
      </c>
      <c r="K810" t="str">
        <f>TEXT(discount_impact_on_profit_2000_rows[[#This Row],[order date]],"mmmm")</f>
        <v>August</v>
      </c>
      <c r="L810">
        <f>YEAR(discount_impact_on_profit_2000_rows[[#This Row],[order date]])</f>
        <v>2023</v>
      </c>
      <c r="M810" t="str">
        <f>IF(discount_impact_on_profit_2000_rows[[#This Row],[Discount %]]=0,"Zero Discount",IF(discount_impact_on_profit_2000_rows[[#This Row],[Discount %]]&lt;=10,"Low Discount","High Discount"))</f>
        <v>High Discount</v>
      </c>
      <c r="N810" t="str">
        <f t="shared" si="12"/>
        <v>10-20%</v>
      </c>
    </row>
    <row r="811" spans="1:14">
      <c r="A811" s="1">
        <v>45562</v>
      </c>
      <c r="B811" t="s">
        <v>873</v>
      </c>
      <c r="C811" t="s">
        <v>53</v>
      </c>
      <c r="D811" t="s">
        <v>54</v>
      </c>
      <c r="E811">
        <v>825.14</v>
      </c>
      <c r="F811" t="s">
        <v>31</v>
      </c>
      <c r="G811">
        <v>1401.29</v>
      </c>
      <c r="H811">
        <v>576.15</v>
      </c>
      <c r="I811">
        <v>5</v>
      </c>
      <c r="J811">
        <v>3</v>
      </c>
      <c r="K811" t="str">
        <f>TEXT(discount_impact_on_profit_2000_rows[[#This Row],[order date]],"mmmm")</f>
        <v>September</v>
      </c>
      <c r="L811">
        <f>YEAR(discount_impact_on_profit_2000_rows[[#This Row],[order date]])</f>
        <v>2024</v>
      </c>
      <c r="M811" t="str">
        <f>IF(discount_impact_on_profit_2000_rows[[#This Row],[Discount %]]=0,"Zero Discount",IF(discount_impact_on_profit_2000_rows[[#This Row],[Discount %]]&lt;=10,"Low Discount","High Discount"))</f>
        <v>Low Discount</v>
      </c>
      <c r="N811" t="str">
        <f t="shared" si="12"/>
        <v>0-10%</v>
      </c>
    </row>
    <row r="812" spans="1:14">
      <c r="A812" s="1">
        <v>45919</v>
      </c>
      <c r="B812" t="s">
        <v>874</v>
      </c>
      <c r="C812" t="s">
        <v>33</v>
      </c>
      <c r="D812" t="s">
        <v>92</v>
      </c>
      <c r="E812">
        <v>129030.66</v>
      </c>
      <c r="F812" t="s">
        <v>13</v>
      </c>
      <c r="G812">
        <v>174286.44</v>
      </c>
      <c r="H812">
        <v>45255.78</v>
      </c>
      <c r="I812">
        <v>5</v>
      </c>
      <c r="J812">
        <v>10</v>
      </c>
      <c r="K812" t="str">
        <f>TEXT(discount_impact_on_profit_2000_rows[[#This Row],[order date]],"mmmm")</f>
        <v>September</v>
      </c>
      <c r="L812">
        <f>YEAR(discount_impact_on_profit_2000_rows[[#This Row],[order date]])</f>
        <v>2025</v>
      </c>
      <c r="M812" t="str">
        <f>IF(discount_impact_on_profit_2000_rows[[#This Row],[Discount %]]=0,"Zero Discount",IF(discount_impact_on_profit_2000_rows[[#This Row],[Discount %]]&lt;=10,"Low Discount","High Discount"))</f>
        <v>Low Discount</v>
      </c>
      <c r="N812" t="str">
        <f t="shared" si="12"/>
        <v>0-10%</v>
      </c>
    </row>
    <row r="813" spans="1:14">
      <c r="A813" s="1">
        <v>45731</v>
      </c>
      <c r="B813" t="s">
        <v>875</v>
      </c>
      <c r="C813" t="s">
        <v>11</v>
      </c>
      <c r="D813" t="s">
        <v>12</v>
      </c>
      <c r="E813">
        <v>253</v>
      </c>
      <c r="F813" t="s">
        <v>13</v>
      </c>
      <c r="G813">
        <v>513.6</v>
      </c>
      <c r="H813">
        <v>260.60000000000002</v>
      </c>
      <c r="I813">
        <v>15</v>
      </c>
      <c r="J813">
        <v>2</v>
      </c>
      <c r="K813" t="str">
        <f>TEXT(discount_impact_on_profit_2000_rows[[#This Row],[order date]],"mmmm")</f>
        <v>March</v>
      </c>
      <c r="L813">
        <f>YEAR(discount_impact_on_profit_2000_rows[[#This Row],[order date]])</f>
        <v>2025</v>
      </c>
      <c r="M813" t="str">
        <f>IF(discount_impact_on_profit_2000_rows[[#This Row],[Discount %]]=0,"Zero Discount",IF(discount_impact_on_profit_2000_rows[[#This Row],[Discount %]]&lt;=10,"Low Discount","High Discount"))</f>
        <v>High Discount</v>
      </c>
      <c r="N813" t="str">
        <f t="shared" si="12"/>
        <v>10-20%</v>
      </c>
    </row>
    <row r="814" spans="1:14">
      <c r="A814" s="1">
        <v>45870</v>
      </c>
      <c r="B814" t="s">
        <v>876</v>
      </c>
      <c r="C814" t="s">
        <v>33</v>
      </c>
      <c r="D814" t="s">
        <v>203</v>
      </c>
      <c r="E814">
        <v>19023.09</v>
      </c>
      <c r="F814" t="s">
        <v>36</v>
      </c>
      <c r="G814">
        <v>23586.9</v>
      </c>
      <c r="H814">
        <v>4563.8100000000004</v>
      </c>
      <c r="I814">
        <v>5</v>
      </c>
      <c r="J814">
        <v>5</v>
      </c>
      <c r="K814" t="str">
        <f>TEXT(discount_impact_on_profit_2000_rows[[#This Row],[order date]],"mmmm")</f>
        <v>August</v>
      </c>
      <c r="L814">
        <f>YEAR(discount_impact_on_profit_2000_rows[[#This Row],[order date]])</f>
        <v>2025</v>
      </c>
      <c r="M814" t="str">
        <f>IF(discount_impact_on_profit_2000_rows[[#This Row],[Discount %]]=0,"Zero Discount",IF(discount_impact_on_profit_2000_rows[[#This Row],[Discount %]]&lt;=10,"Low Discount","High Discount"))</f>
        <v>Low Discount</v>
      </c>
      <c r="N814" t="str">
        <f t="shared" si="12"/>
        <v>0-10%</v>
      </c>
    </row>
    <row r="815" spans="1:14">
      <c r="A815" s="1">
        <v>45061</v>
      </c>
      <c r="B815" t="s">
        <v>877</v>
      </c>
      <c r="C815" t="s">
        <v>18</v>
      </c>
      <c r="D815" t="s">
        <v>50</v>
      </c>
      <c r="E815">
        <v>1805.38</v>
      </c>
      <c r="F815" t="s">
        <v>36</v>
      </c>
      <c r="G815">
        <v>3065.1</v>
      </c>
      <c r="H815">
        <v>1259.72</v>
      </c>
      <c r="I815">
        <v>0</v>
      </c>
      <c r="J815">
        <v>3</v>
      </c>
      <c r="K815" t="str">
        <f>TEXT(discount_impact_on_profit_2000_rows[[#This Row],[order date]],"mmmm")</f>
        <v>May</v>
      </c>
      <c r="L815">
        <f>YEAR(discount_impact_on_profit_2000_rows[[#This Row],[order date]])</f>
        <v>2023</v>
      </c>
      <c r="M815" t="str">
        <f>IF(discount_impact_on_profit_2000_rows[[#This Row],[Discount %]]=0,"Zero Discount",IF(discount_impact_on_profit_2000_rows[[#This Row],[Discount %]]&lt;=10,"Low Discount","High Discount"))</f>
        <v>Zero Discount</v>
      </c>
      <c r="N815" t="str">
        <f t="shared" si="12"/>
        <v>0-10%</v>
      </c>
    </row>
    <row r="816" spans="1:14">
      <c r="A816" s="1">
        <v>45722</v>
      </c>
      <c r="B816" t="s">
        <v>878</v>
      </c>
      <c r="C816" t="s">
        <v>15</v>
      </c>
      <c r="D816" t="s">
        <v>84</v>
      </c>
      <c r="E816">
        <v>968.74</v>
      </c>
      <c r="F816" t="s">
        <v>23</v>
      </c>
      <c r="G816">
        <v>1026.33</v>
      </c>
      <c r="H816">
        <v>57.59</v>
      </c>
      <c r="I816">
        <v>25</v>
      </c>
      <c r="J816">
        <v>1</v>
      </c>
      <c r="K816" t="str">
        <f>TEXT(discount_impact_on_profit_2000_rows[[#This Row],[order date]],"mmmm")</f>
        <v>March</v>
      </c>
      <c r="L816">
        <f>YEAR(discount_impact_on_profit_2000_rows[[#This Row],[order date]])</f>
        <v>2025</v>
      </c>
      <c r="M816" t="str">
        <f>IF(discount_impact_on_profit_2000_rows[[#This Row],[Discount %]]=0,"Zero Discount",IF(discount_impact_on_profit_2000_rows[[#This Row],[Discount %]]&lt;=10,"Low Discount","High Discount"))</f>
        <v>High Discount</v>
      </c>
      <c r="N816" t="str">
        <f t="shared" si="12"/>
        <v>20-30%</v>
      </c>
    </row>
    <row r="817" spans="1:14">
      <c r="A817" s="1">
        <v>45318</v>
      </c>
      <c r="B817" t="s">
        <v>879</v>
      </c>
      <c r="C817" t="s">
        <v>21</v>
      </c>
      <c r="D817" t="s">
        <v>109</v>
      </c>
      <c r="E817">
        <v>15354.52</v>
      </c>
      <c r="F817" t="s">
        <v>23</v>
      </c>
      <c r="G817">
        <v>15815.16</v>
      </c>
      <c r="H817">
        <v>460.64</v>
      </c>
      <c r="I817">
        <v>17</v>
      </c>
      <c r="J817">
        <v>5</v>
      </c>
      <c r="K817" t="str">
        <f>TEXT(discount_impact_on_profit_2000_rows[[#This Row],[order date]],"mmmm")</f>
        <v>January</v>
      </c>
      <c r="L817">
        <f>YEAR(discount_impact_on_profit_2000_rows[[#This Row],[order date]])</f>
        <v>2024</v>
      </c>
      <c r="M817" t="str">
        <f>IF(discount_impact_on_profit_2000_rows[[#This Row],[Discount %]]=0,"Zero Discount",IF(discount_impact_on_profit_2000_rows[[#This Row],[Discount %]]&lt;=10,"Low Discount","High Discount"))</f>
        <v>High Discount</v>
      </c>
      <c r="N817" t="str">
        <f t="shared" si="12"/>
        <v>10-20%</v>
      </c>
    </row>
    <row r="818" spans="1:14">
      <c r="A818" s="1">
        <v>45299</v>
      </c>
      <c r="B818" t="s">
        <v>880</v>
      </c>
      <c r="C818" t="s">
        <v>18</v>
      </c>
      <c r="D818" t="s">
        <v>140</v>
      </c>
      <c r="E818">
        <v>1500.11</v>
      </c>
      <c r="F818" t="s">
        <v>23</v>
      </c>
      <c r="G818">
        <v>2220.96</v>
      </c>
      <c r="H818">
        <v>720.85</v>
      </c>
      <c r="I818">
        <v>10</v>
      </c>
      <c r="J818">
        <v>3</v>
      </c>
      <c r="K818" t="str">
        <f>TEXT(discount_impact_on_profit_2000_rows[[#This Row],[order date]],"mmmm")</f>
        <v>January</v>
      </c>
      <c r="L818">
        <f>YEAR(discount_impact_on_profit_2000_rows[[#This Row],[order date]])</f>
        <v>2024</v>
      </c>
      <c r="M818" t="str">
        <f>IF(discount_impact_on_profit_2000_rows[[#This Row],[Discount %]]=0,"Zero Discount",IF(discount_impact_on_profit_2000_rows[[#This Row],[Discount %]]&lt;=10,"Low Discount","High Discount"))</f>
        <v>Low Discount</v>
      </c>
      <c r="N818" t="str">
        <f t="shared" si="12"/>
        <v>0-10%</v>
      </c>
    </row>
    <row r="819" spans="1:14">
      <c r="A819" s="1">
        <v>45641</v>
      </c>
      <c r="B819" t="s">
        <v>881</v>
      </c>
      <c r="C819" t="s">
        <v>53</v>
      </c>
      <c r="D819" t="s">
        <v>95</v>
      </c>
      <c r="E819">
        <v>430.12</v>
      </c>
      <c r="F819" t="s">
        <v>26</v>
      </c>
      <c r="G819">
        <v>522.53</v>
      </c>
      <c r="H819">
        <v>92.41</v>
      </c>
      <c r="I819">
        <v>30</v>
      </c>
      <c r="J819">
        <v>1</v>
      </c>
      <c r="K819" t="str">
        <f>TEXT(discount_impact_on_profit_2000_rows[[#This Row],[order date]],"mmmm")</f>
        <v>December</v>
      </c>
      <c r="L819">
        <f>YEAR(discount_impact_on_profit_2000_rows[[#This Row],[order date]])</f>
        <v>2024</v>
      </c>
      <c r="M819" t="str">
        <f>IF(discount_impact_on_profit_2000_rows[[#This Row],[Discount %]]=0,"Zero Discount",IF(discount_impact_on_profit_2000_rows[[#This Row],[Discount %]]&lt;=10,"Low Discount","High Discount"))</f>
        <v>High Discount</v>
      </c>
      <c r="N819" t="str">
        <f t="shared" si="12"/>
        <v>20-30%</v>
      </c>
    </row>
    <row r="820" spans="1:14">
      <c r="A820" s="1">
        <v>45680</v>
      </c>
      <c r="B820" t="s">
        <v>882</v>
      </c>
      <c r="C820" t="s">
        <v>53</v>
      </c>
      <c r="D820" t="s">
        <v>152</v>
      </c>
      <c r="E820">
        <v>1262.92</v>
      </c>
      <c r="F820" t="s">
        <v>26</v>
      </c>
      <c r="G820">
        <v>2155.2600000000002</v>
      </c>
      <c r="H820">
        <v>892.34</v>
      </c>
      <c r="I820">
        <v>25</v>
      </c>
      <c r="J820">
        <v>3</v>
      </c>
      <c r="K820" t="str">
        <f>TEXT(discount_impact_on_profit_2000_rows[[#This Row],[order date]],"mmmm")</f>
        <v>January</v>
      </c>
      <c r="L820">
        <f>YEAR(discount_impact_on_profit_2000_rows[[#This Row],[order date]])</f>
        <v>2025</v>
      </c>
      <c r="M820" t="str">
        <f>IF(discount_impact_on_profit_2000_rows[[#This Row],[Discount %]]=0,"Zero Discount",IF(discount_impact_on_profit_2000_rows[[#This Row],[Discount %]]&lt;=10,"Low Discount","High Discount"))</f>
        <v>High Discount</v>
      </c>
      <c r="N820" t="str">
        <f t="shared" si="12"/>
        <v>20-30%</v>
      </c>
    </row>
    <row r="821" spans="1:14">
      <c r="A821" s="1">
        <v>45980</v>
      </c>
      <c r="B821" t="s">
        <v>883</v>
      </c>
      <c r="C821" t="s">
        <v>53</v>
      </c>
      <c r="D821" t="s">
        <v>95</v>
      </c>
      <c r="E821">
        <v>2668.99</v>
      </c>
      <c r="F821" t="s">
        <v>31</v>
      </c>
      <c r="G821">
        <v>4098.1499999999996</v>
      </c>
      <c r="H821">
        <v>1429.16</v>
      </c>
      <c r="I821">
        <v>20</v>
      </c>
      <c r="J821">
        <v>1</v>
      </c>
      <c r="K821" t="str">
        <f>TEXT(discount_impact_on_profit_2000_rows[[#This Row],[order date]],"mmmm")</f>
        <v>November</v>
      </c>
      <c r="L821">
        <f>YEAR(discount_impact_on_profit_2000_rows[[#This Row],[order date]])</f>
        <v>2025</v>
      </c>
      <c r="M821" t="str">
        <f>IF(discount_impact_on_profit_2000_rows[[#This Row],[Discount %]]=0,"Zero Discount",IF(discount_impact_on_profit_2000_rows[[#This Row],[Discount %]]&lt;=10,"Low Discount","High Discount"))</f>
        <v>High Discount</v>
      </c>
      <c r="N821" t="str">
        <f t="shared" si="12"/>
        <v>10-20%</v>
      </c>
    </row>
    <row r="822" spans="1:14">
      <c r="A822" s="1">
        <v>45756</v>
      </c>
      <c r="B822" t="s">
        <v>884</v>
      </c>
      <c r="C822" t="s">
        <v>21</v>
      </c>
      <c r="D822" t="s">
        <v>57</v>
      </c>
      <c r="E822">
        <v>2506.65</v>
      </c>
      <c r="F822" t="s">
        <v>36</v>
      </c>
      <c r="G822">
        <v>2653.95</v>
      </c>
      <c r="H822">
        <v>147.30000000000001</v>
      </c>
      <c r="I822">
        <v>10</v>
      </c>
      <c r="J822">
        <v>2</v>
      </c>
      <c r="K822" t="str">
        <f>TEXT(discount_impact_on_profit_2000_rows[[#This Row],[order date]],"mmmm")</f>
        <v>April</v>
      </c>
      <c r="L822">
        <f>YEAR(discount_impact_on_profit_2000_rows[[#This Row],[order date]])</f>
        <v>2025</v>
      </c>
      <c r="M822" t="str">
        <f>IF(discount_impact_on_profit_2000_rows[[#This Row],[Discount %]]=0,"Zero Discount",IF(discount_impact_on_profit_2000_rows[[#This Row],[Discount %]]&lt;=10,"Low Discount","High Discount"))</f>
        <v>Low Discount</v>
      </c>
      <c r="N822" t="str">
        <f t="shared" si="12"/>
        <v>0-10%</v>
      </c>
    </row>
    <row r="823" spans="1:14">
      <c r="A823" s="1">
        <v>45618</v>
      </c>
      <c r="B823" t="s">
        <v>885</v>
      </c>
      <c r="C823" t="s">
        <v>21</v>
      </c>
      <c r="D823" t="s">
        <v>97</v>
      </c>
      <c r="E823">
        <v>1131.8599999999999</v>
      </c>
      <c r="F823" t="s">
        <v>26</v>
      </c>
      <c r="G823">
        <v>1412.1</v>
      </c>
      <c r="H823">
        <v>280.24</v>
      </c>
      <c r="I823">
        <v>0</v>
      </c>
      <c r="J823">
        <v>1</v>
      </c>
      <c r="K823" t="str">
        <f>TEXT(discount_impact_on_profit_2000_rows[[#This Row],[order date]],"mmmm")</f>
        <v>November</v>
      </c>
      <c r="L823">
        <f>YEAR(discount_impact_on_profit_2000_rows[[#This Row],[order date]])</f>
        <v>2024</v>
      </c>
      <c r="M823" t="str">
        <f>IF(discount_impact_on_profit_2000_rows[[#This Row],[Discount %]]=0,"Zero Discount",IF(discount_impact_on_profit_2000_rows[[#This Row],[Discount %]]&lt;=10,"Low Discount","High Discount"))</f>
        <v>Zero Discount</v>
      </c>
      <c r="N823" t="str">
        <f t="shared" si="12"/>
        <v>0-10%</v>
      </c>
    </row>
    <row r="824" spans="1:14">
      <c r="A824" s="1">
        <v>45342</v>
      </c>
      <c r="B824" t="s">
        <v>886</v>
      </c>
      <c r="C824" t="s">
        <v>53</v>
      </c>
      <c r="D824" t="s">
        <v>54</v>
      </c>
      <c r="E824">
        <v>1823.53</v>
      </c>
      <c r="F824" t="s">
        <v>26</v>
      </c>
      <c r="G824">
        <v>3101.61</v>
      </c>
      <c r="H824">
        <v>1278.08</v>
      </c>
      <c r="I824">
        <v>20</v>
      </c>
      <c r="J824">
        <v>2</v>
      </c>
      <c r="K824" t="str">
        <f>TEXT(discount_impact_on_profit_2000_rows[[#This Row],[order date]],"mmmm")</f>
        <v>February</v>
      </c>
      <c r="L824">
        <f>YEAR(discount_impact_on_profit_2000_rows[[#This Row],[order date]])</f>
        <v>2024</v>
      </c>
      <c r="M824" t="str">
        <f>IF(discount_impact_on_profit_2000_rows[[#This Row],[Discount %]]=0,"Zero Discount",IF(discount_impact_on_profit_2000_rows[[#This Row],[Discount %]]&lt;=10,"Low Discount","High Discount"))</f>
        <v>High Discount</v>
      </c>
      <c r="N824" t="str">
        <f t="shared" si="12"/>
        <v>10-20%</v>
      </c>
    </row>
    <row r="825" spans="1:14">
      <c r="A825" s="1">
        <v>45866</v>
      </c>
      <c r="B825" t="s">
        <v>887</v>
      </c>
      <c r="C825" t="s">
        <v>21</v>
      </c>
      <c r="D825" t="s">
        <v>22</v>
      </c>
      <c r="E825">
        <v>96154.98</v>
      </c>
      <c r="F825" t="s">
        <v>36</v>
      </c>
      <c r="G825">
        <v>99039.63</v>
      </c>
      <c r="H825">
        <v>2884.65</v>
      </c>
      <c r="I825">
        <v>17</v>
      </c>
      <c r="J825">
        <v>4</v>
      </c>
      <c r="K825" t="str">
        <f>TEXT(discount_impact_on_profit_2000_rows[[#This Row],[order date]],"mmmm")</f>
        <v>July</v>
      </c>
      <c r="L825">
        <f>YEAR(discount_impact_on_profit_2000_rows[[#This Row],[order date]])</f>
        <v>2025</v>
      </c>
      <c r="M825" t="str">
        <f>IF(discount_impact_on_profit_2000_rows[[#This Row],[Discount %]]=0,"Zero Discount",IF(discount_impact_on_profit_2000_rows[[#This Row],[Discount %]]&lt;=10,"Low Discount","High Discount"))</f>
        <v>High Discount</v>
      </c>
      <c r="N825" t="str">
        <f t="shared" si="12"/>
        <v>10-20%</v>
      </c>
    </row>
    <row r="826" spans="1:14">
      <c r="A826" s="1">
        <v>45723</v>
      </c>
      <c r="B826" t="s">
        <v>888</v>
      </c>
      <c r="C826" t="s">
        <v>21</v>
      </c>
      <c r="D826" t="s">
        <v>154</v>
      </c>
      <c r="E826">
        <v>2931.14</v>
      </c>
      <c r="F826" t="s">
        <v>31</v>
      </c>
      <c r="G826">
        <v>3385.08</v>
      </c>
      <c r="H826">
        <v>453.94</v>
      </c>
      <c r="I826">
        <v>10</v>
      </c>
      <c r="J826">
        <v>2</v>
      </c>
      <c r="K826" t="str">
        <f>TEXT(discount_impact_on_profit_2000_rows[[#This Row],[order date]],"mmmm")</f>
        <v>March</v>
      </c>
      <c r="L826">
        <f>YEAR(discount_impact_on_profit_2000_rows[[#This Row],[order date]])</f>
        <v>2025</v>
      </c>
      <c r="M826" t="str">
        <f>IF(discount_impact_on_profit_2000_rows[[#This Row],[Discount %]]=0,"Zero Discount",IF(discount_impact_on_profit_2000_rows[[#This Row],[Discount %]]&lt;=10,"Low Discount","High Discount"))</f>
        <v>Low Discount</v>
      </c>
      <c r="N826" t="str">
        <f t="shared" si="12"/>
        <v>0-10%</v>
      </c>
    </row>
    <row r="827" spans="1:14">
      <c r="A827" s="1">
        <v>45277</v>
      </c>
      <c r="B827" t="s">
        <v>889</v>
      </c>
      <c r="C827" t="s">
        <v>18</v>
      </c>
      <c r="D827" t="s">
        <v>188</v>
      </c>
      <c r="E827">
        <v>201.46</v>
      </c>
      <c r="F827" t="s">
        <v>31</v>
      </c>
      <c r="G827">
        <v>313</v>
      </c>
      <c r="H827">
        <v>111.54</v>
      </c>
      <c r="I827">
        <v>25</v>
      </c>
      <c r="J827">
        <v>2</v>
      </c>
      <c r="K827" t="str">
        <f>TEXT(discount_impact_on_profit_2000_rows[[#This Row],[order date]],"mmmm")</f>
        <v>December</v>
      </c>
      <c r="L827">
        <f>YEAR(discount_impact_on_profit_2000_rows[[#This Row],[order date]])</f>
        <v>2023</v>
      </c>
      <c r="M827" t="str">
        <f>IF(discount_impact_on_profit_2000_rows[[#This Row],[Discount %]]=0,"Zero Discount",IF(discount_impact_on_profit_2000_rows[[#This Row],[Discount %]]&lt;=10,"Low Discount","High Discount"))</f>
        <v>High Discount</v>
      </c>
      <c r="N827" t="str">
        <f t="shared" si="12"/>
        <v>20-30%</v>
      </c>
    </row>
    <row r="828" spans="1:14">
      <c r="A828" s="1">
        <v>44972</v>
      </c>
      <c r="B828" t="s">
        <v>890</v>
      </c>
      <c r="C828" t="s">
        <v>15</v>
      </c>
      <c r="D828" t="s">
        <v>40</v>
      </c>
      <c r="E828">
        <v>1955.51</v>
      </c>
      <c r="F828" t="s">
        <v>31</v>
      </c>
      <c r="G828">
        <v>2664.93</v>
      </c>
      <c r="H828">
        <v>709.42</v>
      </c>
      <c r="I828">
        <v>15</v>
      </c>
      <c r="J828">
        <v>2</v>
      </c>
      <c r="K828" t="str">
        <f>TEXT(discount_impact_on_profit_2000_rows[[#This Row],[order date]],"mmmm")</f>
        <v>February</v>
      </c>
      <c r="L828">
        <f>YEAR(discount_impact_on_profit_2000_rows[[#This Row],[order date]])</f>
        <v>2023</v>
      </c>
      <c r="M828" t="str">
        <f>IF(discount_impact_on_profit_2000_rows[[#This Row],[Discount %]]=0,"Zero Discount",IF(discount_impact_on_profit_2000_rows[[#This Row],[Discount %]]&lt;=10,"Low Discount","High Discount"))</f>
        <v>High Discount</v>
      </c>
      <c r="N828" t="str">
        <f t="shared" si="12"/>
        <v>10-20%</v>
      </c>
    </row>
    <row r="829" spans="1:14">
      <c r="A829" s="1">
        <v>46007</v>
      </c>
      <c r="B829" t="s">
        <v>891</v>
      </c>
      <c r="C829" t="s">
        <v>53</v>
      </c>
      <c r="D829" t="s">
        <v>59</v>
      </c>
      <c r="E829">
        <v>1095.24</v>
      </c>
      <c r="F829" t="s">
        <v>36</v>
      </c>
      <c r="G829">
        <v>1475.55</v>
      </c>
      <c r="H829">
        <v>380.31</v>
      </c>
      <c r="I829">
        <v>10</v>
      </c>
      <c r="J829">
        <v>1</v>
      </c>
      <c r="K829" t="str">
        <f>TEXT(discount_impact_on_profit_2000_rows[[#This Row],[order date]],"mmmm")</f>
        <v>December</v>
      </c>
      <c r="L829">
        <f>YEAR(discount_impact_on_profit_2000_rows[[#This Row],[order date]])</f>
        <v>2025</v>
      </c>
      <c r="M829" t="str">
        <f>IF(discount_impact_on_profit_2000_rows[[#This Row],[Discount %]]=0,"Zero Discount",IF(discount_impact_on_profit_2000_rows[[#This Row],[Discount %]]&lt;=10,"Low Discount","High Discount"))</f>
        <v>Low Discount</v>
      </c>
      <c r="N829" t="str">
        <f t="shared" si="12"/>
        <v>0-10%</v>
      </c>
    </row>
    <row r="830" spans="1:14">
      <c r="A830" s="1">
        <v>45638</v>
      </c>
      <c r="B830" t="s">
        <v>892</v>
      </c>
      <c r="C830" t="s">
        <v>18</v>
      </c>
      <c r="D830" t="s">
        <v>140</v>
      </c>
      <c r="E830">
        <v>348.1</v>
      </c>
      <c r="F830" t="s">
        <v>23</v>
      </c>
      <c r="G830">
        <v>577.65</v>
      </c>
      <c r="H830">
        <v>229.55</v>
      </c>
      <c r="I830">
        <v>10</v>
      </c>
      <c r="J830">
        <v>2</v>
      </c>
      <c r="K830" t="str">
        <f>TEXT(discount_impact_on_profit_2000_rows[[#This Row],[order date]],"mmmm")</f>
        <v>December</v>
      </c>
      <c r="L830">
        <f>YEAR(discount_impact_on_profit_2000_rows[[#This Row],[order date]])</f>
        <v>2024</v>
      </c>
      <c r="M830" t="str">
        <f>IF(discount_impact_on_profit_2000_rows[[#This Row],[Discount %]]=0,"Zero Discount",IF(discount_impact_on_profit_2000_rows[[#This Row],[Discount %]]&lt;=10,"Low Discount","High Discount"))</f>
        <v>Low Discount</v>
      </c>
      <c r="N830" t="str">
        <f t="shared" si="12"/>
        <v>0-10%</v>
      </c>
    </row>
    <row r="831" spans="1:14">
      <c r="A831" s="1">
        <v>45016</v>
      </c>
      <c r="B831" t="s">
        <v>893</v>
      </c>
      <c r="C831" t="s">
        <v>18</v>
      </c>
      <c r="D831" t="s">
        <v>88</v>
      </c>
      <c r="E831">
        <v>503.67</v>
      </c>
      <c r="F831" t="s">
        <v>31</v>
      </c>
      <c r="G831">
        <v>809.15</v>
      </c>
      <c r="H831">
        <v>305.48</v>
      </c>
      <c r="I831">
        <v>25</v>
      </c>
      <c r="J831">
        <v>2</v>
      </c>
      <c r="K831" t="str">
        <f>TEXT(discount_impact_on_profit_2000_rows[[#This Row],[order date]],"mmmm")</f>
        <v>March</v>
      </c>
      <c r="L831">
        <f>YEAR(discount_impact_on_profit_2000_rows[[#This Row],[order date]])</f>
        <v>2023</v>
      </c>
      <c r="M831" t="str">
        <f>IF(discount_impact_on_profit_2000_rows[[#This Row],[Discount %]]=0,"Zero Discount",IF(discount_impact_on_profit_2000_rows[[#This Row],[Discount %]]&lt;=10,"Low Discount","High Discount"))</f>
        <v>High Discount</v>
      </c>
      <c r="N831" t="str">
        <f t="shared" si="12"/>
        <v>20-30%</v>
      </c>
    </row>
    <row r="832" spans="1:14">
      <c r="A832" s="1">
        <v>45263</v>
      </c>
      <c r="B832" t="s">
        <v>894</v>
      </c>
      <c r="C832" t="s">
        <v>33</v>
      </c>
      <c r="D832" t="s">
        <v>34</v>
      </c>
      <c r="E832">
        <v>7496.5</v>
      </c>
      <c r="F832" t="s">
        <v>36</v>
      </c>
      <c r="G832">
        <v>8933.9599999999991</v>
      </c>
      <c r="H832">
        <v>1437.46</v>
      </c>
      <c r="I832">
        <v>25</v>
      </c>
      <c r="J832">
        <v>6</v>
      </c>
      <c r="K832" t="str">
        <f>TEXT(discount_impact_on_profit_2000_rows[[#This Row],[order date]],"mmmm")</f>
        <v>December</v>
      </c>
      <c r="L832">
        <f>YEAR(discount_impact_on_profit_2000_rows[[#This Row],[order date]])</f>
        <v>2023</v>
      </c>
      <c r="M832" t="str">
        <f>IF(discount_impact_on_profit_2000_rows[[#This Row],[Discount %]]=0,"Zero Discount",IF(discount_impact_on_profit_2000_rows[[#This Row],[Discount %]]&lt;=10,"Low Discount","High Discount"))</f>
        <v>High Discount</v>
      </c>
      <c r="N832" t="str">
        <f t="shared" si="12"/>
        <v>20-30%</v>
      </c>
    </row>
    <row r="833" spans="1:14">
      <c r="A833" s="1">
        <v>45096</v>
      </c>
      <c r="B833" t="s">
        <v>895</v>
      </c>
      <c r="C833" t="s">
        <v>18</v>
      </c>
      <c r="D833" t="s">
        <v>42</v>
      </c>
      <c r="E833">
        <v>783.96</v>
      </c>
      <c r="F833" t="s">
        <v>26</v>
      </c>
      <c r="G833">
        <v>1295.77</v>
      </c>
      <c r="H833">
        <v>511.81</v>
      </c>
      <c r="I833">
        <v>0</v>
      </c>
      <c r="J833">
        <v>4</v>
      </c>
      <c r="K833" t="str">
        <f>TEXT(discount_impact_on_profit_2000_rows[[#This Row],[order date]],"mmmm")</f>
        <v>June</v>
      </c>
      <c r="L833">
        <f>YEAR(discount_impact_on_profit_2000_rows[[#This Row],[order date]])</f>
        <v>2023</v>
      </c>
      <c r="M833" t="str">
        <f>IF(discount_impact_on_profit_2000_rows[[#This Row],[Discount %]]=0,"Zero Discount",IF(discount_impact_on_profit_2000_rows[[#This Row],[Discount %]]&lt;=10,"Low Discount","High Discount"))</f>
        <v>Zero Discount</v>
      </c>
      <c r="N833" t="str">
        <f t="shared" si="12"/>
        <v>0-10%</v>
      </c>
    </row>
    <row r="834" spans="1:14">
      <c r="A834" s="1">
        <v>45126</v>
      </c>
      <c r="B834" t="s">
        <v>896</v>
      </c>
      <c r="C834" t="s">
        <v>53</v>
      </c>
      <c r="D834" t="s">
        <v>70</v>
      </c>
      <c r="E834">
        <v>9599.49</v>
      </c>
      <c r="F834" t="s">
        <v>31</v>
      </c>
      <c r="G834">
        <v>15697.54</v>
      </c>
      <c r="H834">
        <v>6098.05</v>
      </c>
      <c r="I834">
        <v>20</v>
      </c>
      <c r="J834">
        <v>4</v>
      </c>
      <c r="K834" t="str">
        <f>TEXT(discount_impact_on_profit_2000_rows[[#This Row],[order date]],"mmmm")</f>
        <v>July</v>
      </c>
      <c r="L834">
        <f>YEAR(discount_impact_on_profit_2000_rows[[#This Row],[order date]])</f>
        <v>2023</v>
      </c>
      <c r="M834" t="str">
        <f>IF(discount_impact_on_profit_2000_rows[[#This Row],[Discount %]]=0,"Zero Discount",IF(discount_impact_on_profit_2000_rows[[#This Row],[Discount %]]&lt;=10,"Low Discount","High Discount"))</f>
        <v>High Discount</v>
      </c>
      <c r="N834" t="str">
        <f t="shared" ref="N834:N897" si="13">IF(I834&lt;=10,"0-10%",IF(I834&lt;=20,"10-20%",IF(I834&lt;=30,"20-30%","30%+")))</f>
        <v>10-20%</v>
      </c>
    </row>
    <row r="835" spans="1:14">
      <c r="A835" s="1">
        <v>45382</v>
      </c>
      <c r="B835" t="s">
        <v>897</v>
      </c>
      <c r="C835" t="s">
        <v>21</v>
      </c>
      <c r="D835" t="s">
        <v>22</v>
      </c>
      <c r="E835">
        <v>38694.54</v>
      </c>
      <c r="F835" t="s">
        <v>23</v>
      </c>
      <c r="G835">
        <v>38888.35</v>
      </c>
      <c r="H835">
        <v>193.81</v>
      </c>
      <c r="I835">
        <v>18</v>
      </c>
      <c r="J835">
        <v>4</v>
      </c>
      <c r="K835" t="str">
        <f>TEXT(discount_impact_on_profit_2000_rows[[#This Row],[order date]],"mmmm")</f>
        <v>March</v>
      </c>
      <c r="L835">
        <f>YEAR(discount_impact_on_profit_2000_rows[[#This Row],[order date]])</f>
        <v>2024</v>
      </c>
      <c r="M835" t="str">
        <f>IF(discount_impact_on_profit_2000_rows[[#This Row],[Discount %]]=0,"Zero Discount",IF(discount_impact_on_profit_2000_rows[[#This Row],[Discount %]]&lt;=10,"Low Discount","High Discount"))</f>
        <v>High Discount</v>
      </c>
      <c r="N835" t="str">
        <f t="shared" si="13"/>
        <v>10-20%</v>
      </c>
    </row>
    <row r="836" spans="1:14">
      <c r="A836" s="1">
        <v>45581</v>
      </c>
      <c r="B836" t="s">
        <v>898</v>
      </c>
      <c r="C836" t="s">
        <v>18</v>
      </c>
      <c r="D836" t="s">
        <v>50</v>
      </c>
      <c r="E836">
        <v>5202.4399999999996</v>
      </c>
      <c r="F836" t="s">
        <v>31</v>
      </c>
      <c r="G836">
        <v>8077.03</v>
      </c>
      <c r="H836">
        <v>2874.59</v>
      </c>
      <c r="I836">
        <v>10</v>
      </c>
      <c r="J836">
        <v>6</v>
      </c>
      <c r="K836" t="str">
        <f>TEXT(discount_impact_on_profit_2000_rows[[#This Row],[order date]],"mmmm")</f>
        <v>October</v>
      </c>
      <c r="L836">
        <f>YEAR(discount_impact_on_profit_2000_rows[[#This Row],[order date]])</f>
        <v>2024</v>
      </c>
      <c r="M836" t="str">
        <f>IF(discount_impact_on_profit_2000_rows[[#This Row],[Discount %]]=0,"Zero Discount",IF(discount_impact_on_profit_2000_rows[[#This Row],[Discount %]]&lt;=10,"Low Discount","High Discount"))</f>
        <v>Low Discount</v>
      </c>
      <c r="N836" t="str">
        <f t="shared" si="13"/>
        <v>0-10%</v>
      </c>
    </row>
    <row r="837" spans="1:14">
      <c r="A837" s="1">
        <v>45450</v>
      </c>
      <c r="B837" t="s">
        <v>899</v>
      </c>
      <c r="C837" t="s">
        <v>11</v>
      </c>
      <c r="D837" t="s">
        <v>38</v>
      </c>
      <c r="E837">
        <v>2340.34</v>
      </c>
      <c r="F837" t="s">
        <v>23</v>
      </c>
      <c r="G837">
        <v>5144.38</v>
      </c>
      <c r="H837">
        <v>2804.04</v>
      </c>
      <c r="I837">
        <v>10</v>
      </c>
      <c r="J837">
        <v>3</v>
      </c>
      <c r="K837" t="str">
        <f>TEXT(discount_impact_on_profit_2000_rows[[#This Row],[order date]],"mmmm")</f>
        <v>June</v>
      </c>
      <c r="L837">
        <f>YEAR(discount_impact_on_profit_2000_rows[[#This Row],[order date]])</f>
        <v>2024</v>
      </c>
      <c r="M837" t="str">
        <f>IF(discount_impact_on_profit_2000_rows[[#This Row],[Discount %]]=0,"Zero Discount",IF(discount_impact_on_profit_2000_rows[[#This Row],[Discount %]]&lt;=10,"Low Discount","High Discount"))</f>
        <v>Low Discount</v>
      </c>
      <c r="N837" t="str">
        <f t="shared" si="13"/>
        <v>0-10%</v>
      </c>
    </row>
    <row r="838" spans="1:14">
      <c r="A838" s="1">
        <v>45666</v>
      </c>
      <c r="B838" t="s">
        <v>900</v>
      </c>
      <c r="C838" t="s">
        <v>21</v>
      </c>
      <c r="D838" t="s">
        <v>22</v>
      </c>
      <c r="E838">
        <v>28589.95</v>
      </c>
      <c r="F838" t="s">
        <v>23</v>
      </c>
      <c r="G838">
        <v>37309.31</v>
      </c>
      <c r="H838">
        <v>8719.36</v>
      </c>
      <c r="I838">
        <v>0</v>
      </c>
      <c r="J838">
        <v>3</v>
      </c>
      <c r="K838" t="str">
        <f>TEXT(discount_impact_on_profit_2000_rows[[#This Row],[order date]],"mmmm")</f>
        <v>January</v>
      </c>
      <c r="L838">
        <f>YEAR(discount_impact_on_profit_2000_rows[[#This Row],[order date]])</f>
        <v>2025</v>
      </c>
      <c r="M838" t="str">
        <f>IF(discount_impact_on_profit_2000_rows[[#This Row],[Discount %]]=0,"Zero Discount",IF(discount_impact_on_profit_2000_rows[[#This Row],[Discount %]]&lt;=10,"Low Discount","High Discount"))</f>
        <v>Zero Discount</v>
      </c>
      <c r="N838" t="str">
        <f t="shared" si="13"/>
        <v>0-10%</v>
      </c>
    </row>
    <row r="839" spans="1:14">
      <c r="A839" s="1">
        <v>45281</v>
      </c>
      <c r="B839" t="s">
        <v>901</v>
      </c>
      <c r="C839" t="s">
        <v>53</v>
      </c>
      <c r="D839" t="s">
        <v>152</v>
      </c>
      <c r="E839">
        <v>331.28</v>
      </c>
      <c r="F839" t="s">
        <v>31</v>
      </c>
      <c r="G839">
        <v>708.38</v>
      </c>
      <c r="H839">
        <v>377.1</v>
      </c>
      <c r="I839">
        <v>10</v>
      </c>
      <c r="J839">
        <v>1</v>
      </c>
      <c r="K839" t="str">
        <f>TEXT(discount_impact_on_profit_2000_rows[[#This Row],[order date]],"mmmm")</f>
        <v>December</v>
      </c>
      <c r="L839">
        <f>YEAR(discount_impact_on_profit_2000_rows[[#This Row],[order date]])</f>
        <v>2023</v>
      </c>
      <c r="M839" t="str">
        <f>IF(discount_impact_on_profit_2000_rows[[#This Row],[Discount %]]=0,"Zero Discount",IF(discount_impact_on_profit_2000_rows[[#This Row],[Discount %]]&lt;=10,"Low Discount","High Discount"))</f>
        <v>Low Discount</v>
      </c>
      <c r="N839" t="str">
        <f t="shared" si="13"/>
        <v>0-10%</v>
      </c>
    </row>
    <row r="840" spans="1:14">
      <c r="A840" s="1">
        <v>45908</v>
      </c>
      <c r="B840" t="s">
        <v>902</v>
      </c>
      <c r="C840" t="s">
        <v>11</v>
      </c>
      <c r="D840" t="s">
        <v>80</v>
      </c>
      <c r="E840">
        <v>10383.41</v>
      </c>
      <c r="F840" t="s">
        <v>31</v>
      </c>
      <c r="G840">
        <v>13056.81</v>
      </c>
      <c r="H840">
        <v>2673.4</v>
      </c>
      <c r="I840">
        <v>20</v>
      </c>
      <c r="J840">
        <v>6</v>
      </c>
      <c r="K840" t="str">
        <f>TEXT(discount_impact_on_profit_2000_rows[[#This Row],[order date]],"mmmm")</f>
        <v>September</v>
      </c>
      <c r="L840">
        <f>YEAR(discount_impact_on_profit_2000_rows[[#This Row],[order date]])</f>
        <v>2025</v>
      </c>
      <c r="M840" t="str">
        <f>IF(discount_impact_on_profit_2000_rows[[#This Row],[Discount %]]=0,"Zero Discount",IF(discount_impact_on_profit_2000_rows[[#This Row],[Discount %]]&lt;=10,"Low Discount","High Discount"))</f>
        <v>High Discount</v>
      </c>
      <c r="N840" t="str">
        <f t="shared" si="13"/>
        <v>10-20%</v>
      </c>
    </row>
    <row r="841" spans="1:14">
      <c r="A841" s="1">
        <v>45817</v>
      </c>
      <c r="B841" t="s">
        <v>903</v>
      </c>
      <c r="C841" t="s">
        <v>11</v>
      </c>
      <c r="D841" t="s">
        <v>12</v>
      </c>
      <c r="E841">
        <v>4562.7</v>
      </c>
      <c r="F841" t="s">
        <v>13</v>
      </c>
      <c r="G841">
        <v>9048.6</v>
      </c>
      <c r="H841">
        <v>4485.8999999999996</v>
      </c>
      <c r="I841">
        <v>10</v>
      </c>
      <c r="J841">
        <v>3</v>
      </c>
      <c r="K841" t="str">
        <f>TEXT(discount_impact_on_profit_2000_rows[[#This Row],[order date]],"mmmm")</f>
        <v>June</v>
      </c>
      <c r="L841">
        <f>YEAR(discount_impact_on_profit_2000_rows[[#This Row],[order date]])</f>
        <v>2025</v>
      </c>
      <c r="M841" t="str">
        <f>IF(discount_impact_on_profit_2000_rows[[#This Row],[Discount %]]=0,"Zero Discount",IF(discount_impact_on_profit_2000_rows[[#This Row],[Discount %]]&lt;=10,"Low Discount","High Discount"))</f>
        <v>Low Discount</v>
      </c>
      <c r="N841" t="str">
        <f t="shared" si="13"/>
        <v>0-10%</v>
      </c>
    </row>
    <row r="842" spans="1:14">
      <c r="A842" s="1">
        <v>45197</v>
      </c>
      <c r="B842" t="s">
        <v>904</v>
      </c>
      <c r="C842" t="s">
        <v>15</v>
      </c>
      <c r="D842" t="s">
        <v>99</v>
      </c>
      <c r="E842">
        <v>18795.82</v>
      </c>
      <c r="F842" t="s">
        <v>31</v>
      </c>
      <c r="G842">
        <v>25939.22</v>
      </c>
      <c r="H842">
        <v>7143.4</v>
      </c>
      <c r="I842">
        <v>0</v>
      </c>
      <c r="J842">
        <v>2</v>
      </c>
      <c r="K842" t="str">
        <f>TEXT(discount_impact_on_profit_2000_rows[[#This Row],[order date]],"mmmm")</f>
        <v>September</v>
      </c>
      <c r="L842">
        <f>YEAR(discount_impact_on_profit_2000_rows[[#This Row],[order date]])</f>
        <v>2023</v>
      </c>
      <c r="M842" t="str">
        <f>IF(discount_impact_on_profit_2000_rows[[#This Row],[Discount %]]=0,"Zero Discount",IF(discount_impact_on_profit_2000_rows[[#This Row],[Discount %]]&lt;=10,"Low Discount","High Discount"))</f>
        <v>Zero Discount</v>
      </c>
      <c r="N842" t="str">
        <f t="shared" si="13"/>
        <v>0-10%</v>
      </c>
    </row>
    <row r="843" spans="1:14">
      <c r="A843" s="1">
        <v>45697</v>
      </c>
      <c r="B843" t="s">
        <v>905</v>
      </c>
      <c r="C843" t="s">
        <v>33</v>
      </c>
      <c r="D843" t="s">
        <v>44</v>
      </c>
      <c r="E843">
        <v>35094.35</v>
      </c>
      <c r="F843" t="s">
        <v>13</v>
      </c>
      <c r="G843">
        <v>47043.43</v>
      </c>
      <c r="H843">
        <v>11949.08</v>
      </c>
      <c r="I843">
        <v>0</v>
      </c>
      <c r="J843">
        <v>5</v>
      </c>
      <c r="K843" t="str">
        <f>TEXT(discount_impact_on_profit_2000_rows[[#This Row],[order date]],"mmmm")</f>
        <v>February</v>
      </c>
      <c r="L843">
        <f>YEAR(discount_impact_on_profit_2000_rows[[#This Row],[order date]])</f>
        <v>2025</v>
      </c>
      <c r="M843" t="str">
        <f>IF(discount_impact_on_profit_2000_rows[[#This Row],[Discount %]]=0,"Zero Discount",IF(discount_impact_on_profit_2000_rows[[#This Row],[Discount %]]&lt;=10,"Low Discount","High Discount"))</f>
        <v>Zero Discount</v>
      </c>
      <c r="N843" t="str">
        <f t="shared" si="13"/>
        <v>0-10%</v>
      </c>
    </row>
    <row r="844" spans="1:14">
      <c r="A844" s="1">
        <v>45471</v>
      </c>
      <c r="B844" t="s">
        <v>906</v>
      </c>
      <c r="C844" t="s">
        <v>21</v>
      </c>
      <c r="D844" t="s">
        <v>109</v>
      </c>
      <c r="E844">
        <v>2189.2600000000002</v>
      </c>
      <c r="F844" t="s">
        <v>13</v>
      </c>
      <c r="G844">
        <v>2505.54</v>
      </c>
      <c r="H844">
        <v>316.27999999999997</v>
      </c>
      <c r="I844">
        <v>15</v>
      </c>
      <c r="J844">
        <v>1</v>
      </c>
      <c r="K844" t="str">
        <f>TEXT(discount_impact_on_profit_2000_rows[[#This Row],[order date]],"mmmm")</f>
        <v>June</v>
      </c>
      <c r="L844">
        <f>YEAR(discount_impact_on_profit_2000_rows[[#This Row],[order date]])</f>
        <v>2024</v>
      </c>
      <c r="M844" t="str">
        <f>IF(discount_impact_on_profit_2000_rows[[#This Row],[Discount %]]=0,"Zero Discount",IF(discount_impact_on_profit_2000_rows[[#This Row],[Discount %]]&lt;=10,"Low Discount","High Discount"))</f>
        <v>High Discount</v>
      </c>
      <c r="N844" t="str">
        <f t="shared" si="13"/>
        <v>10-20%</v>
      </c>
    </row>
    <row r="845" spans="1:14">
      <c r="A845" s="1">
        <v>45043</v>
      </c>
      <c r="B845" t="s">
        <v>907</v>
      </c>
      <c r="C845" t="s">
        <v>53</v>
      </c>
      <c r="D845" t="s">
        <v>59</v>
      </c>
      <c r="E845">
        <v>435.21</v>
      </c>
      <c r="F845" t="s">
        <v>13</v>
      </c>
      <c r="G845">
        <v>745.09</v>
      </c>
      <c r="H845">
        <v>309.88</v>
      </c>
      <c r="I845">
        <v>5</v>
      </c>
      <c r="J845">
        <v>1</v>
      </c>
      <c r="K845" t="str">
        <f>TEXT(discount_impact_on_profit_2000_rows[[#This Row],[order date]],"mmmm")</f>
        <v>April</v>
      </c>
      <c r="L845">
        <f>YEAR(discount_impact_on_profit_2000_rows[[#This Row],[order date]])</f>
        <v>2023</v>
      </c>
      <c r="M845" t="str">
        <f>IF(discount_impact_on_profit_2000_rows[[#This Row],[Discount %]]=0,"Zero Discount",IF(discount_impact_on_profit_2000_rows[[#This Row],[Discount %]]&lt;=10,"Low Discount","High Discount"))</f>
        <v>Low Discount</v>
      </c>
      <c r="N845" t="str">
        <f t="shared" si="13"/>
        <v>0-10%</v>
      </c>
    </row>
    <row r="846" spans="1:14">
      <c r="A846" s="1">
        <v>45632</v>
      </c>
      <c r="B846" t="s">
        <v>908</v>
      </c>
      <c r="C846" t="s">
        <v>11</v>
      </c>
      <c r="D846" t="s">
        <v>207</v>
      </c>
      <c r="E846">
        <v>1602.29</v>
      </c>
      <c r="F846" t="s">
        <v>31</v>
      </c>
      <c r="G846">
        <v>2811.38</v>
      </c>
      <c r="H846">
        <v>1209.0899999999999</v>
      </c>
      <c r="I846">
        <v>10</v>
      </c>
      <c r="J846">
        <v>2</v>
      </c>
      <c r="K846" t="str">
        <f>TEXT(discount_impact_on_profit_2000_rows[[#This Row],[order date]],"mmmm")</f>
        <v>December</v>
      </c>
      <c r="L846">
        <f>YEAR(discount_impact_on_profit_2000_rows[[#This Row],[order date]])</f>
        <v>2024</v>
      </c>
      <c r="M846" t="str">
        <f>IF(discount_impact_on_profit_2000_rows[[#This Row],[Discount %]]=0,"Zero Discount",IF(discount_impact_on_profit_2000_rows[[#This Row],[Discount %]]&lt;=10,"Low Discount","High Discount"))</f>
        <v>Low Discount</v>
      </c>
      <c r="N846" t="str">
        <f t="shared" si="13"/>
        <v>0-10%</v>
      </c>
    </row>
    <row r="847" spans="1:14">
      <c r="A847" s="1">
        <v>45647</v>
      </c>
      <c r="B847" t="s">
        <v>909</v>
      </c>
      <c r="C847" t="s">
        <v>18</v>
      </c>
      <c r="D847" t="s">
        <v>50</v>
      </c>
      <c r="E847">
        <v>153.30000000000001</v>
      </c>
      <c r="F847" t="s">
        <v>31</v>
      </c>
      <c r="G847">
        <v>298.37</v>
      </c>
      <c r="H847">
        <v>145.07</v>
      </c>
      <c r="I847">
        <v>15</v>
      </c>
      <c r="J847">
        <v>1</v>
      </c>
      <c r="K847" t="str">
        <f>TEXT(discount_impact_on_profit_2000_rows[[#This Row],[order date]],"mmmm")</f>
        <v>December</v>
      </c>
      <c r="L847">
        <f>YEAR(discount_impact_on_profit_2000_rows[[#This Row],[order date]])</f>
        <v>2024</v>
      </c>
      <c r="M847" t="str">
        <f>IF(discount_impact_on_profit_2000_rows[[#This Row],[Discount %]]=0,"Zero Discount",IF(discount_impact_on_profit_2000_rows[[#This Row],[Discount %]]&lt;=10,"Low Discount","High Discount"))</f>
        <v>High Discount</v>
      </c>
      <c r="N847" t="str">
        <f t="shared" si="13"/>
        <v>10-20%</v>
      </c>
    </row>
    <row r="848" spans="1:14">
      <c r="A848" s="1">
        <v>45228</v>
      </c>
      <c r="B848" t="s">
        <v>910</v>
      </c>
      <c r="C848" t="s">
        <v>21</v>
      </c>
      <c r="D848" t="s">
        <v>123</v>
      </c>
      <c r="E848">
        <v>20516.82</v>
      </c>
      <c r="F848" t="s">
        <v>36</v>
      </c>
      <c r="G848">
        <v>26486.58</v>
      </c>
      <c r="H848">
        <v>5969.76</v>
      </c>
      <c r="I848">
        <v>0</v>
      </c>
      <c r="J848">
        <v>2</v>
      </c>
      <c r="K848" t="str">
        <f>TEXT(discount_impact_on_profit_2000_rows[[#This Row],[order date]],"mmmm")</f>
        <v>October</v>
      </c>
      <c r="L848">
        <f>YEAR(discount_impact_on_profit_2000_rows[[#This Row],[order date]])</f>
        <v>2023</v>
      </c>
      <c r="M848" t="str">
        <f>IF(discount_impact_on_profit_2000_rows[[#This Row],[Discount %]]=0,"Zero Discount",IF(discount_impact_on_profit_2000_rows[[#This Row],[Discount %]]&lt;=10,"Low Discount","High Discount"))</f>
        <v>Zero Discount</v>
      </c>
      <c r="N848" t="str">
        <f t="shared" si="13"/>
        <v>0-10%</v>
      </c>
    </row>
    <row r="849" spans="1:14">
      <c r="A849" s="1">
        <v>45687</v>
      </c>
      <c r="B849" t="s">
        <v>911</v>
      </c>
      <c r="C849" t="s">
        <v>15</v>
      </c>
      <c r="D849" t="s">
        <v>28</v>
      </c>
      <c r="E849">
        <v>6639.13</v>
      </c>
      <c r="F849" t="s">
        <v>31</v>
      </c>
      <c r="G849">
        <v>10279.5</v>
      </c>
      <c r="H849">
        <v>3640.37</v>
      </c>
      <c r="I849">
        <v>5</v>
      </c>
      <c r="J849">
        <v>1</v>
      </c>
      <c r="K849" t="str">
        <f>TEXT(discount_impact_on_profit_2000_rows[[#This Row],[order date]],"mmmm")</f>
        <v>January</v>
      </c>
      <c r="L849">
        <f>YEAR(discount_impact_on_profit_2000_rows[[#This Row],[order date]])</f>
        <v>2025</v>
      </c>
      <c r="M849" t="str">
        <f>IF(discount_impact_on_profit_2000_rows[[#This Row],[Discount %]]=0,"Zero Discount",IF(discount_impact_on_profit_2000_rows[[#This Row],[Discount %]]&lt;=10,"Low Discount","High Discount"))</f>
        <v>Low Discount</v>
      </c>
      <c r="N849" t="str">
        <f t="shared" si="13"/>
        <v>0-10%</v>
      </c>
    </row>
    <row r="850" spans="1:14">
      <c r="A850" s="1">
        <v>45756</v>
      </c>
      <c r="B850" t="s">
        <v>912</v>
      </c>
      <c r="C850" t="s">
        <v>18</v>
      </c>
      <c r="D850" t="s">
        <v>188</v>
      </c>
      <c r="E850">
        <v>3456.99</v>
      </c>
      <c r="F850" t="s">
        <v>31</v>
      </c>
      <c r="G850">
        <v>8008.41</v>
      </c>
      <c r="H850">
        <v>4551.42</v>
      </c>
      <c r="I850">
        <v>0</v>
      </c>
      <c r="J850">
        <v>5</v>
      </c>
      <c r="K850" t="str">
        <f>TEXT(discount_impact_on_profit_2000_rows[[#This Row],[order date]],"mmmm")</f>
        <v>April</v>
      </c>
      <c r="L850">
        <f>YEAR(discount_impact_on_profit_2000_rows[[#This Row],[order date]])</f>
        <v>2025</v>
      </c>
      <c r="M850" t="str">
        <f>IF(discount_impact_on_profit_2000_rows[[#This Row],[Discount %]]=0,"Zero Discount",IF(discount_impact_on_profit_2000_rows[[#This Row],[Discount %]]&lt;=10,"Low Discount","High Discount"))</f>
        <v>Zero Discount</v>
      </c>
      <c r="N850" t="str">
        <f t="shared" si="13"/>
        <v>0-10%</v>
      </c>
    </row>
    <row r="851" spans="1:14">
      <c r="A851" s="1">
        <v>45810</v>
      </c>
      <c r="B851" t="s">
        <v>913</v>
      </c>
      <c r="C851" t="s">
        <v>33</v>
      </c>
      <c r="D851" t="s">
        <v>203</v>
      </c>
      <c r="E851">
        <v>81953.759999999995</v>
      </c>
      <c r="F851" t="s">
        <v>31</v>
      </c>
      <c r="G851">
        <v>106991.01</v>
      </c>
      <c r="H851">
        <v>25037.25</v>
      </c>
      <c r="I851">
        <v>10</v>
      </c>
      <c r="J851">
        <v>6</v>
      </c>
      <c r="K851" t="str">
        <f>TEXT(discount_impact_on_profit_2000_rows[[#This Row],[order date]],"mmmm")</f>
        <v>June</v>
      </c>
      <c r="L851">
        <f>YEAR(discount_impact_on_profit_2000_rows[[#This Row],[order date]])</f>
        <v>2025</v>
      </c>
      <c r="M851" t="str">
        <f>IF(discount_impact_on_profit_2000_rows[[#This Row],[Discount %]]=0,"Zero Discount",IF(discount_impact_on_profit_2000_rows[[#This Row],[Discount %]]&lt;=10,"Low Discount","High Discount"))</f>
        <v>Low Discount</v>
      </c>
      <c r="N851" t="str">
        <f t="shared" si="13"/>
        <v>0-10%</v>
      </c>
    </row>
    <row r="852" spans="1:14">
      <c r="A852" s="1">
        <v>45755</v>
      </c>
      <c r="B852" t="s">
        <v>914</v>
      </c>
      <c r="C852" t="s">
        <v>11</v>
      </c>
      <c r="D852" t="s">
        <v>25</v>
      </c>
      <c r="E852">
        <v>7064.71</v>
      </c>
      <c r="F852" t="s">
        <v>31</v>
      </c>
      <c r="G852">
        <v>11365.5</v>
      </c>
      <c r="H852">
        <v>4300.79</v>
      </c>
      <c r="I852">
        <v>25</v>
      </c>
      <c r="J852">
        <v>5</v>
      </c>
      <c r="K852" t="str">
        <f>TEXT(discount_impact_on_profit_2000_rows[[#This Row],[order date]],"mmmm")</f>
        <v>April</v>
      </c>
      <c r="L852">
        <f>YEAR(discount_impact_on_profit_2000_rows[[#This Row],[order date]])</f>
        <v>2025</v>
      </c>
      <c r="M852" t="str">
        <f>IF(discount_impact_on_profit_2000_rows[[#This Row],[Discount %]]=0,"Zero Discount",IF(discount_impact_on_profit_2000_rows[[#This Row],[Discount %]]&lt;=10,"Low Discount","High Discount"))</f>
        <v>High Discount</v>
      </c>
      <c r="N852" t="str">
        <f t="shared" si="13"/>
        <v>20-30%</v>
      </c>
    </row>
    <row r="853" spans="1:14">
      <c r="A853" s="1">
        <v>45851</v>
      </c>
      <c r="B853" t="s">
        <v>915</v>
      </c>
      <c r="C853" t="s">
        <v>53</v>
      </c>
      <c r="D853" t="s">
        <v>59</v>
      </c>
      <c r="E853">
        <v>259.05</v>
      </c>
      <c r="F853" t="s">
        <v>13</v>
      </c>
      <c r="G853">
        <v>645.67999999999995</v>
      </c>
      <c r="H853">
        <v>386.63</v>
      </c>
      <c r="I853">
        <v>0</v>
      </c>
      <c r="J853">
        <v>1</v>
      </c>
      <c r="K853" t="str">
        <f>TEXT(discount_impact_on_profit_2000_rows[[#This Row],[order date]],"mmmm")</f>
        <v>July</v>
      </c>
      <c r="L853">
        <f>YEAR(discount_impact_on_profit_2000_rows[[#This Row],[order date]])</f>
        <v>2025</v>
      </c>
      <c r="M853" t="str">
        <f>IF(discount_impact_on_profit_2000_rows[[#This Row],[Discount %]]=0,"Zero Discount",IF(discount_impact_on_profit_2000_rows[[#This Row],[Discount %]]&lt;=10,"Low Discount","High Discount"))</f>
        <v>Zero Discount</v>
      </c>
      <c r="N853" t="str">
        <f t="shared" si="13"/>
        <v>0-10%</v>
      </c>
    </row>
    <row r="854" spans="1:14">
      <c r="A854" s="1">
        <v>45618</v>
      </c>
      <c r="B854" t="s">
        <v>916</v>
      </c>
      <c r="C854" t="s">
        <v>53</v>
      </c>
      <c r="D854" t="s">
        <v>59</v>
      </c>
      <c r="E854">
        <v>666.3</v>
      </c>
      <c r="F854" t="s">
        <v>26</v>
      </c>
      <c r="G854">
        <v>1188.03</v>
      </c>
      <c r="H854">
        <v>521.73</v>
      </c>
      <c r="I854">
        <v>25</v>
      </c>
      <c r="J854">
        <v>2</v>
      </c>
      <c r="K854" t="str">
        <f>TEXT(discount_impact_on_profit_2000_rows[[#This Row],[order date]],"mmmm")</f>
        <v>November</v>
      </c>
      <c r="L854">
        <f>YEAR(discount_impact_on_profit_2000_rows[[#This Row],[order date]])</f>
        <v>2024</v>
      </c>
      <c r="M854" t="str">
        <f>IF(discount_impact_on_profit_2000_rows[[#This Row],[Discount %]]=0,"Zero Discount",IF(discount_impact_on_profit_2000_rows[[#This Row],[Discount %]]&lt;=10,"Low Discount","High Discount"))</f>
        <v>High Discount</v>
      </c>
      <c r="N854" t="str">
        <f t="shared" si="13"/>
        <v>20-30%</v>
      </c>
    </row>
    <row r="855" spans="1:14">
      <c r="A855" s="1">
        <v>45802</v>
      </c>
      <c r="B855" t="s">
        <v>917</v>
      </c>
      <c r="C855" t="s">
        <v>33</v>
      </c>
      <c r="D855" t="s">
        <v>92</v>
      </c>
      <c r="E855">
        <v>47276.05</v>
      </c>
      <c r="F855" t="s">
        <v>36</v>
      </c>
      <c r="G855">
        <v>59955.41</v>
      </c>
      <c r="H855">
        <v>12679.36</v>
      </c>
      <c r="I855">
        <v>0</v>
      </c>
      <c r="J855">
        <v>6</v>
      </c>
      <c r="K855" t="str">
        <f>TEXT(discount_impact_on_profit_2000_rows[[#This Row],[order date]],"mmmm")</f>
        <v>May</v>
      </c>
      <c r="L855">
        <f>YEAR(discount_impact_on_profit_2000_rows[[#This Row],[order date]])</f>
        <v>2025</v>
      </c>
      <c r="M855" t="str">
        <f>IF(discount_impact_on_profit_2000_rows[[#This Row],[Discount %]]=0,"Zero Discount",IF(discount_impact_on_profit_2000_rows[[#This Row],[Discount %]]&lt;=10,"Low Discount","High Discount"))</f>
        <v>Zero Discount</v>
      </c>
      <c r="N855" t="str">
        <f t="shared" si="13"/>
        <v>0-10%</v>
      </c>
    </row>
    <row r="856" spans="1:14">
      <c r="A856" s="1">
        <v>45967</v>
      </c>
      <c r="B856" t="s">
        <v>918</v>
      </c>
      <c r="C856" t="s">
        <v>21</v>
      </c>
      <c r="D856" t="s">
        <v>82</v>
      </c>
      <c r="E856">
        <v>64001.11</v>
      </c>
      <c r="F856" t="s">
        <v>26</v>
      </c>
      <c r="G856">
        <v>85765.13</v>
      </c>
      <c r="H856">
        <v>21764.02</v>
      </c>
      <c r="I856">
        <v>10</v>
      </c>
      <c r="J856">
        <v>6</v>
      </c>
      <c r="K856" t="str">
        <f>TEXT(discount_impact_on_profit_2000_rows[[#This Row],[order date]],"mmmm")</f>
        <v>November</v>
      </c>
      <c r="L856">
        <f>YEAR(discount_impact_on_profit_2000_rows[[#This Row],[order date]])</f>
        <v>2025</v>
      </c>
      <c r="M856" t="str">
        <f>IF(discount_impact_on_profit_2000_rows[[#This Row],[Discount %]]=0,"Zero Discount",IF(discount_impact_on_profit_2000_rows[[#This Row],[Discount %]]&lt;=10,"Low Discount","High Discount"))</f>
        <v>Low Discount</v>
      </c>
      <c r="N856" t="str">
        <f t="shared" si="13"/>
        <v>0-10%</v>
      </c>
    </row>
    <row r="857" spans="1:14">
      <c r="A857" s="1">
        <v>45036</v>
      </c>
      <c r="B857" t="s">
        <v>919</v>
      </c>
      <c r="C857" t="s">
        <v>33</v>
      </c>
      <c r="D857" t="s">
        <v>273</v>
      </c>
      <c r="E857">
        <v>2267.54</v>
      </c>
      <c r="F857" t="s">
        <v>13</v>
      </c>
      <c r="G857">
        <v>3317.66</v>
      </c>
      <c r="H857">
        <v>1050.1199999999999</v>
      </c>
      <c r="I857">
        <v>15</v>
      </c>
      <c r="J857">
        <v>1</v>
      </c>
      <c r="K857" t="str">
        <f>TEXT(discount_impact_on_profit_2000_rows[[#This Row],[order date]],"mmmm")</f>
        <v>April</v>
      </c>
      <c r="L857">
        <f>YEAR(discount_impact_on_profit_2000_rows[[#This Row],[order date]])</f>
        <v>2023</v>
      </c>
      <c r="M857" t="str">
        <f>IF(discount_impact_on_profit_2000_rows[[#This Row],[Discount %]]=0,"Zero Discount",IF(discount_impact_on_profit_2000_rows[[#This Row],[Discount %]]&lt;=10,"Low Discount","High Discount"))</f>
        <v>High Discount</v>
      </c>
      <c r="N857" t="str">
        <f t="shared" si="13"/>
        <v>10-20%</v>
      </c>
    </row>
    <row r="858" spans="1:14">
      <c r="A858" s="1">
        <v>45969</v>
      </c>
      <c r="B858" t="s">
        <v>920</v>
      </c>
      <c r="C858" t="s">
        <v>21</v>
      </c>
      <c r="D858" t="s">
        <v>46</v>
      </c>
      <c r="E858">
        <v>50269.13</v>
      </c>
      <c r="F858" t="s">
        <v>26</v>
      </c>
      <c r="G858">
        <v>60246.38</v>
      </c>
      <c r="H858">
        <v>9977.25</v>
      </c>
      <c r="I858">
        <v>0</v>
      </c>
      <c r="J858">
        <v>5</v>
      </c>
      <c r="K858" t="str">
        <f>TEXT(discount_impact_on_profit_2000_rows[[#This Row],[order date]],"mmmm")</f>
        <v>November</v>
      </c>
      <c r="L858">
        <f>YEAR(discount_impact_on_profit_2000_rows[[#This Row],[order date]])</f>
        <v>2025</v>
      </c>
      <c r="M858" t="str">
        <f>IF(discount_impact_on_profit_2000_rows[[#This Row],[Discount %]]=0,"Zero Discount",IF(discount_impact_on_profit_2000_rows[[#This Row],[Discount %]]&lt;=10,"Low Discount","High Discount"))</f>
        <v>Zero Discount</v>
      </c>
      <c r="N858" t="str">
        <f t="shared" si="13"/>
        <v>0-10%</v>
      </c>
    </row>
    <row r="859" spans="1:14">
      <c r="A859" s="1">
        <v>45106</v>
      </c>
      <c r="B859" t="s">
        <v>921</v>
      </c>
      <c r="C859" t="s">
        <v>33</v>
      </c>
      <c r="D859" t="s">
        <v>197</v>
      </c>
      <c r="E859">
        <v>1078.1600000000001</v>
      </c>
      <c r="F859" t="s">
        <v>26</v>
      </c>
      <c r="G859">
        <v>1624.92</v>
      </c>
      <c r="H859">
        <v>546.76</v>
      </c>
      <c r="I859">
        <v>10</v>
      </c>
      <c r="J859">
        <v>1</v>
      </c>
      <c r="K859" t="str">
        <f>TEXT(discount_impact_on_profit_2000_rows[[#This Row],[order date]],"mmmm")</f>
        <v>June</v>
      </c>
      <c r="L859">
        <f>YEAR(discount_impact_on_profit_2000_rows[[#This Row],[order date]])</f>
        <v>2023</v>
      </c>
      <c r="M859" t="str">
        <f>IF(discount_impact_on_profit_2000_rows[[#This Row],[Discount %]]=0,"Zero Discount",IF(discount_impact_on_profit_2000_rows[[#This Row],[Discount %]]&lt;=10,"Low Discount","High Discount"))</f>
        <v>Low Discount</v>
      </c>
      <c r="N859" t="str">
        <f t="shared" si="13"/>
        <v>0-10%</v>
      </c>
    </row>
    <row r="860" spans="1:14">
      <c r="A860" s="1">
        <v>45681</v>
      </c>
      <c r="B860" t="s">
        <v>922</v>
      </c>
      <c r="C860" t="s">
        <v>33</v>
      </c>
      <c r="D860" t="s">
        <v>102</v>
      </c>
      <c r="E860">
        <v>19454.78</v>
      </c>
      <c r="F860" t="s">
        <v>23</v>
      </c>
      <c r="G860">
        <v>21533.17</v>
      </c>
      <c r="H860">
        <v>2078.39</v>
      </c>
      <c r="I860">
        <v>15</v>
      </c>
      <c r="J860">
        <v>1</v>
      </c>
      <c r="K860" t="str">
        <f>TEXT(discount_impact_on_profit_2000_rows[[#This Row],[order date]],"mmmm")</f>
        <v>January</v>
      </c>
      <c r="L860">
        <f>YEAR(discount_impact_on_profit_2000_rows[[#This Row],[order date]])</f>
        <v>2025</v>
      </c>
      <c r="M860" t="str">
        <f>IF(discount_impact_on_profit_2000_rows[[#This Row],[Discount %]]=0,"Zero Discount",IF(discount_impact_on_profit_2000_rows[[#This Row],[Discount %]]&lt;=10,"Low Discount","High Discount"))</f>
        <v>High Discount</v>
      </c>
      <c r="N860" t="str">
        <f t="shared" si="13"/>
        <v>10-20%</v>
      </c>
    </row>
    <row r="861" spans="1:14">
      <c r="A861" s="1">
        <v>45883</v>
      </c>
      <c r="B861" t="s">
        <v>923</v>
      </c>
      <c r="C861" t="s">
        <v>18</v>
      </c>
      <c r="D861" t="s">
        <v>104</v>
      </c>
      <c r="E861">
        <v>273.77999999999997</v>
      </c>
      <c r="F861" t="s">
        <v>36</v>
      </c>
      <c r="G861">
        <v>440.54</v>
      </c>
      <c r="H861">
        <v>166.76</v>
      </c>
      <c r="I861">
        <v>20</v>
      </c>
      <c r="J861">
        <v>1</v>
      </c>
      <c r="K861" t="str">
        <f>TEXT(discount_impact_on_profit_2000_rows[[#This Row],[order date]],"mmmm")</f>
        <v>August</v>
      </c>
      <c r="L861">
        <f>YEAR(discount_impact_on_profit_2000_rows[[#This Row],[order date]])</f>
        <v>2025</v>
      </c>
      <c r="M861" t="str">
        <f>IF(discount_impact_on_profit_2000_rows[[#This Row],[Discount %]]=0,"Zero Discount",IF(discount_impact_on_profit_2000_rows[[#This Row],[Discount %]]&lt;=10,"Low Discount","High Discount"))</f>
        <v>High Discount</v>
      </c>
      <c r="N861" t="str">
        <f t="shared" si="13"/>
        <v>10-20%</v>
      </c>
    </row>
    <row r="862" spans="1:14">
      <c r="A862" s="1">
        <v>44986</v>
      </c>
      <c r="B862" t="s">
        <v>924</v>
      </c>
      <c r="C862" t="s">
        <v>21</v>
      </c>
      <c r="D862" t="s">
        <v>46</v>
      </c>
      <c r="E862">
        <v>82396.75</v>
      </c>
      <c r="F862" t="s">
        <v>26</v>
      </c>
      <c r="G862">
        <v>95690.85</v>
      </c>
      <c r="H862">
        <v>13294.1</v>
      </c>
      <c r="I862">
        <v>20</v>
      </c>
      <c r="J862">
        <v>6</v>
      </c>
      <c r="K862" t="str">
        <f>TEXT(discount_impact_on_profit_2000_rows[[#This Row],[order date]],"mmmm")</f>
        <v>March</v>
      </c>
      <c r="L862">
        <f>YEAR(discount_impact_on_profit_2000_rows[[#This Row],[order date]])</f>
        <v>2023</v>
      </c>
      <c r="M862" t="str">
        <f>IF(discount_impact_on_profit_2000_rows[[#This Row],[Discount %]]=0,"Zero Discount",IF(discount_impact_on_profit_2000_rows[[#This Row],[Discount %]]&lt;=10,"Low Discount","High Discount"))</f>
        <v>High Discount</v>
      </c>
      <c r="N862" t="str">
        <f t="shared" si="13"/>
        <v>10-20%</v>
      </c>
    </row>
    <row r="863" spans="1:14">
      <c r="A863" s="1">
        <v>45437</v>
      </c>
      <c r="B863" t="s">
        <v>925</v>
      </c>
      <c r="C863" t="s">
        <v>21</v>
      </c>
      <c r="D863" t="s">
        <v>82</v>
      </c>
      <c r="E863">
        <v>3644.48</v>
      </c>
      <c r="F863" t="s">
        <v>31</v>
      </c>
      <c r="G863">
        <v>4688.74</v>
      </c>
      <c r="H863">
        <v>1044.26</v>
      </c>
      <c r="I863">
        <v>5</v>
      </c>
      <c r="J863">
        <v>1</v>
      </c>
      <c r="K863" t="str">
        <f>TEXT(discount_impact_on_profit_2000_rows[[#This Row],[order date]],"mmmm")</f>
        <v>May</v>
      </c>
      <c r="L863">
        <f>YEAR(discount_impact_on_profit_2000_rows[[#This Row],[order date]])</f>
        <v>2024</v>
      </c>
      <c r="M863" t="str">
        <f>IF(discount_impact_on_profit_2000_rows[[#This Row],[Discount %]]=0,"Zero Discount",IF(discount_impact_on_profit_2000_rows[[#This Row],[Discount %]]&lt;=10,"Low Discount","High Discount"))</f>
        <v>Low Discount</v>
      </c>
      <c r="N863" t="str">
        <f t="shared" si="13"/>
        <v>0-10%</v>
      </c>
    </row>
    <row r="864" spans="1:14">
      <c r="A864" s="1">
        <v>45847</v>
      </c>
      <c r="B864" t="s">
        <v>926</v>
      </c>
      <c r="C864" t="s">
        <v>21</v>
      </c>
      <c r="D864" t="s">
        <v>46</v>
      </c>
      <c r="E864">
        <v>46203.31</v>
      </c>
      <c r="F864" t="s">
        <v>31</v>
      </c>
      <c r="G864">
        <v>47499.87</v>
      </c>
      <c r="H864">
        <v>1296.56</v>
      </c>
      <c r="I864">
        <v>20</v>
      </c>
      <c r="J864">
        <v>5</v>
      </c>
      <c r="K864" t="str">
        <f>TEXT(discount_impact_on_profit_2000_rows[[#This Row],[order date]],"mmmm")</f>
        <v>July</v>
      </c>
      <c r="L864">
        <f>YEAR(discount_impact_on_profit_2000_rows[[#This Row],[order date]])</f>
        <v>2025</v>
      </c>
      <c r="M864" t="str">
        <f>IF(discount_impact_on_profit_2000_rows[[#This Row],[Discount %]]=0,"Zero Discount",IF(discount_impact_on_profit_2000_rows[[#This Row],[Discount %]]&lt;=10,"Low Discount","High Discount"))</f>
        <v>High Discount</v>
      </c>
      <c r="N864" t="str">
        <f t="shared" si="13"/>
        <v>10-20%</v>
      </c>
    </row>
    <row r="865" spans="1:14">
      <c r="A865" s="1">
        <v>45914</v>
      </c>
      <c r="B865" t="s">
        <v>927</v>
      </c>
      <c r="C865" t="s">
        <v>33</v>
      </c>
      <c r="D865" t="s">
        <v>34</v>
      </c>
      <c r="E865">
        <v>54956.47</v>
      </c>
      <c r="F865" t="s">
        <v>23</v>
      </c>
      <c r="G865">
        <v>60750.8</v>
      </c>
      <c r="H865">
        <v>5794.33</v>
      </c>
      <c r="I865">
        <v>15</v>
      </c>
      <c r="J865">
        <v>3</v>
      </c>
      <c r="K865" t="str">
        <f>TEXT(discount_impact_on_profit_2000_rows[[#This Row],[order date]],"mmmm")</f>
        <v>September</v>
      </c>
      <c r="L865">
        <f>YEAR(discount_impact_on_profit_2000_rows[[#This Row],[order date]])</f>
        <v>2025</v>
      </c>
      <c r="M865" t="str">
        <f>IF(discount_impact_on_profit_2000_rows[[#This Row],[Discount %]]=0,"Zero Discount",IF(discount_impact_on_profit_2000_rows[[#This Row],[Discount %]]&lt;=10,"Low Discount","High Discount"))</f>
        <v>High Discount</v>
      </c>
      <c r="N865" t="str">
        <f t="shared" si="13"/>
        <v>10-20%</v>
      </c>
    </row>
    <row r="866" spans="1:14">
      <c r="A866" s="1">
        <v>45296</v>
      </c>
      <c r="B866" t="s">
        <v>928</v>
      </c>
      <c r="C866" t="s">
        <v>15</v>
      </c>
      <c r="D866" t="s">
        <v>84</v>
      </c>
      <c r="E866">
        <v>47809.56</v>
      </c>
      <c r="F866" t="s">
        <v>36</v>
      </c>
      <c r="G866">
        <v>63825.71</v>
      </c>
      <c r="H866">
        <v>16016.15</v>
      </c>
      <c r="I866">
        <v>0</v>
      </c>
      <c r="J866">
        <v>4</v>
      </c>
      <c r="K866" t="str">
        <f>TEXT(discount_impact_on_profit_2000_rows[[#This Row],[order date]],"mmmm")</f>
        <v>January</v>
      </c>
      <c r="L866">
        <f>YEAR(discount_impact_on_profit_2000_rows[[#This Row],[order date]])</f>
        <v>2024</v>
      </c>
      <c r="M866" t="str">
        <f>IF(discount_impact_on_profit_2000_rows[[#This Row],[Discount %]]=0,"Zero Discount",IF(discount_impact_on_profit_2000_rows[[#This Row],[Discount %]]&lt;=10,"Low Discount","High Discount"))</f>
        <v>Zero Discount</v>
      </c>
      <c r="N866" t="str">
        <f t="shared" si="13"/>
        <v>0-10%</v>
      </c>
    </row>
    <row r="867" spans="1:14">
      <c r="A867" s="1">
        <v>45236</v>
      </c>
      <c r="B867" t="s">
        <v>929</v>
      </c>
      <c r="C867" t="s">
        <v>18</v>
      </c>
      <c r="D867" t="s">
        <v>50</v>
      </c>
      <c r="E867">
        <v>1643.47</v>
      </c>
      <c r="F867" t="s">
        <v>26</v>
      </c>
      <c r="G867">
        <v>2668.19</v>
      </c>
      <c r="H867">
        <v>1024.72</v>
      </c>
      <c r="I867">
        <v>10</v>
      </c>
      <c r="J867">
        <v>2</v>
      </c>
      <c r="K867" t="str">
        <f>TEXT(discount_impact_on_profit_2000_rows[[#This Row],[order date]],"mmmm")</f>
        <v>November</v>
      </c>
      <c r="L867">
        <f>YEAR(discount_impact_on_profit_2000_rows[[#This Row],[order date]])</f>
        <v>2023</v>
      </c>
      <c r="M867" t="str">
        <f>IF(discount_impact_on_profit_2000_rows[[#This Row],[Discount %]]=0,"Zero Discount",IF(discount_impact_on_profit_2000_rows[[#This Row],[Discount %]]&lt;=10,"Low Discount","High Discount"))</f>
        <v>Low Discount</v>
      </c>
      <c r="N867" t="str">
        <f t="shared" si="13"/>
        <v>0-10%</v>
      </c>
    </row>
    <row r="868" spans="1:14">
      <c r="A868" s="1">
        <v>45199</v>
      </c>
      <c r="B868" t="s">
        <v>930</v>
      </c>
      <c r="C868" t="s">
        <v>18</v>
      </c>
      <c r="D868" t="s">
        <v>104</v>
      </c>
      <c r="E868">
        <v>235.48</v>
      </c>
      <c r="F868" t="s">
        <v>26</v>
      </c>
      <c r="G868">
        <v>300.45</v>
      </c>
      <c r="H868">
        <v>64.97</v>
      </c>
      <c r="I868">
        <v>30</v>
      </c>
      <c r="J868">
        <v>2</v>
      </c>
      <c r="K868" t="str">
        <f>TEXT(discount_impact_on_profit_2000_rows[[#This Row],[order date]],"mmmm")</f>
        <v>September</v>
      </c>
      <c r="L868">
        <f>YEAR(discount_impact_on_profit_2000_rows[[#This Row],[order date]])</f>
        <v>2023</v>
      </c>
      <c r="M868" t="str">
        <f>IF(discount_impact_on_profit_2000_rows[[#This Row],[Discount %]]=0,"Zero Discount",IF(discount_impact_on_profit_2000_rows[[#This Row],[Discount %]]&lt;=10,"Low Discount","High Discount"))</f>
        <v>High Discount</v>
      </c>
      <c r="N868" t="str">
        <f t="shared" si="13"/>
        <v>20-30%</v>
      </c>
    </row>
    <row r="869" spans="1:14">
      <c r="A869" s="1">
        <v>45051</v>
      </c>
      <c r="B869" t="s">
        <v>931</v>
      </c>
      <c r="C869" t="s">
        <v>15</v>
      </c>
      <c r="D869" t="s">
        <v>28</v>
      </c>
      <c r="E869">
        <v>10196.9</v>
      </c>
      <c r="F869" t="s">
        <v>36</v>
      </c>
      <c r="G869">
        <v>10502.81</v>
      </c>
      <c r="H869">
        <v>305.91000000000003</v>
      </c>
      <c r="I869">
        <v>24</v>
      </c>
      <c r="J869">
        <v>3</v>
      </c>
      <c r="K869" t="str">
        <f>TEXT(discount_impact_on_profit_2000_rows[[#This Row],[order date]],"mmmm")</f>
        <v>May</v>
      </c>
      <c r="L869">
        <f>YEAR(discount_impact_on_profit_2000_rows[[#This Row],[order date]])</f>
        <v>2023</v>
      </c>
      <c r="M869" t="str">
        <f>IF(discount_impact_on_profit_2000_rows[[#This Row],[Discount %]]=0,"Zero Discount",IF(discount_impact_on_profit_2000_rows[[#This Row],[Discount %]]&lt;=10,"Low Discount","High Discount"))</f>
        <v>High Discount</v>
      </c>
      <c r="N869" t="str">
        <f t="shared" si="13"/>
        <v>20-30%</v>
      </c>
    </row>
    <row r="870" spans="1:14">
      <c r="A870" s="1">
        <v>45583</v>
      </c>
      <c r="B870" t="s">
        <v>932</v>
      </c>
      <c r="C870" t="s">
        <v>21</v>
      </c>
      <c r="D870" t="s">
        <v>97</v>
      </c>
      <c r="E870">
        <v>25170.99</v>
      </c>
      <c r="F870" t="s">
        <v>26</v>
      </c>
      <c r="G870">
        <v>30445.64</v>
      </c>
      <c r="H870">
        <v>5274.65</v>
      </c>
      <c r="I870">
        <v>10</v>
      </c>
      <c r="J870">
        <v>2</v>
      </c>
      <c r="K870" t="str">
        <f>TEXT(discount_impact_on_profit_2000_rows[[#This Row],[order date]],"mmmm")</f>
        <v>October</v>
      </c>
      <c r="L870">
        <f>YEAR(discount_impact_on_profit_2000_rows[[#This Row],[order date]])</f>
        <v>2024</v>
      </c>
      <c r="M870" t="str">
        <f>IF(discount_impact_on_profit_2000_rows[[#This Row],[Discount %]]=0,"Zero Discount",IF(discount_impact_on_profit_2000_rows[[#This Row],[Discount %]]&lt;=10,"Low Discount","High Discount"))</f>
        <v>Low Discount</v>
      </c>
      <c r="N870" t="str">
        <f t="shared" si="13"/>
        <v>0-10%</v>
      </c>
    </row>
    <row r="871" spans="1:14">
      <c r="A871" s="1">
        <v>45659</v>
      </c>
      <c r="B871" t="s">
        <v>933</v>
      </c>
      <c r="C871" t="s">
        <v>33</v>
      </c>
      <c r="D871" t="s">
        <v>92</v>
      </c>
      <c r="E871">
        <v>4204.5600000000004</v>
      </c>
      <c r="F871" t="s">
        <v>36</v>
      </c>
      <c r="G871">
        <v>5932.78</v>
      </c>
      <c r="H871">
        <v>1728.22</v>
      </c>
      <c r="I871">
        <v>5</v>
      </c>
      <c r="J871">
        <v>2</v>
      </c>
      <c r="K871" t="str">
        <f>TEXT(discount_impact_on_profit_2000_rows[[#This Row],[order date]],"mmmm")</f>
        <v>January</v>
      </c>
      <c r="L871">
        <f>YEAR(discount_impact_on_profit_2000_rows[[#This Row],[order date]])</f>
        <v>2025</v>
      </c>
      <c r="M871" t="str">
        <f>IF(discount_impact_on_profit_2000_rows[[#This Row],[Discount %]]=0,"Zero Discount",IF(discount_impact_on_profit_2000_rows[[#This Row],[Discount %]]&lt;=10,"Low Discount","High Discount"))</f>
        <v>Low Discount</v>
      </c>
      <c r="N871" t="str">
        <f t="shared" si="13"/>
        <v>0-10%</v>
      </c>
    </row>
    <row r="872" spans="1:14">
      <c r="A872" s="1">
        <v>45490</v>
      </c>
      <c r="B872" t="s">
        <v>934</v>
      </c>
      <c r="C872" t="s">
        <v>15</v>
      </c>
      <c r="D872" t="s">
        <v>40</v>
      </c>
      <c r="E872">
        <v>1141.42</v>
      </c>
      <c r="F872" t="s">
        <v>23</v>
      </c>
      <c r="G872">
        <v>1429.99</v>
      </c>
      <c r="H872">
        <v>288.57</v>
      </c>
      <c r="I872">
        <v>10</v>
      </c>
      <c r="J872">
        <v>1</v>
      </c>
      <c r="K872" t="str">
        <f>TEXT(discount_impact_on_profit_2000_rows[[#This Row],[order date]],"mmmm")</f>
        <v>July</v>
      </c>
      <c r="L872">
        <f>YEAR(discount_impact_on_profit_2000_rows[[#This Row],[order date]])</f>
        <v>2024</v>
      </c>
      <c r="M872" t="str">
        <f>IF(discount_impact_on_profit_2000_rows[[#This Row],[Discount %]]=0,"Zero Discount",IF(discount_impact_on_profit_2000_rows[[#This Row],[Discount %]]&lt;=10,"Low Discount","High Discount"))</f>
        <v>Low Discount</v>
      </c>
      <c r="N872" t="str">
        <f t="shared" si="13"/>
        <v>0-10%</v>
      </c>
    </row>
    <row r="873" spans="1:14">
      <c r="A873" s="1">
        <v>45979</v>
      </c>
      <c r="B873" t="s">
        <v>935</v>
      </c>
      <c r="C873" t="s">
        <v>53</v>
      </c>
      <c r="D873" t="s">
        <v>70</v>
      </c>
      <c r="E873">
        <v>1609.4</v>
      </c>
      <c r="F873" t="s">
        <v>26</v>
      </c>
      <c r="G873">
        <v>2954.09</v>
      </c>
      <c r="H873">
        <v>1344.69</v>
      </c>
      <c r="I873">
        <v>0</v>
      </c>
      <c r="J873">
        <v>5</v>
      </c>
      <c r="K873" t="str">
        <f>TEXT(discount_impact_on_profit_2000_rows[[#This Row],[order date]],"mmmm")</f>
        <v>November</v>
      </c>
      <c r="L873">
        <f>YEAR(discount_impact_on_profit_2000_rows[[#This Row],[order date]])</f>
        <v>2025</v>
      </c>
      <c r="M873" t="str">
        <f>IF(discount_impact_on_profit_2000_rows[[#This Row],[Discount %]]=0,"Zero Discount",IF(discount_impact_on_profit_2000_rows[[#This Row],[Discount %]]&lt;=10,"Low Discount","High Discount"))</f>
        <v>Zero Discount</v>
      </c>
      <c r="N873" t="str">
        <f t="shared" si="13"/>
        <v>0-10%</v>
      </c>
    </row>
    <row r="874" spans="1:14">
      <c r="A874" s="1">
        <v>45191</v>
      </c>
      <c r="B874" t="s">
        <v>936</v>
      </c>
      <c r="C874" t="s">
        <v>53</v>
      </c>
      <c r="D874" t="s">
        <v>95</v>
      </c>
      <c r="E874">
        <v>8967.83</v>
      </c>
      <c r="F874" t="s">
        <v>31</v>
      </c>
      <c r="G874">
        <v>17563.689999999999</v>
      </c>
      <c r="H874">
        <v>8595.86</v>
      </c>
      <c r="I874">
        <v>10</v>
      </c>
      <c r="J874">
        <v>8</v>
      </c>
      <c r="K874" t="str">
        <f>TEXT(discount_impact_on_profit_2000_rows[[#This Row],[order date]],"mmmm")</f>
        <v>September</v>
      </c>
      <c r="L874">
        <f>YEAR(discount_impact_on_profit_2000_rows[[#This Row],[order date]])</f>
        <v>2023</v>
      </c>
      <c r="M874" t="str">
        <f>IF(discount_impact_on_profit_2000_rows[[#This Row],[Discount %]]=0,"Zero Discount",IF(discount_impact_on_profit_2000_rows[[#This Row],[Discount %]]&lt;=10,"Low Discount","High Discount"))</f>
        <v>Low Discount</v>
      </c>
      <c r="N874" t="str">
        <f t="shared" si="13"/>
        <v>0-10%</v>
      </c>
    </row>
    <row r="875" spans="1:14">
      <c r="A875" s="1">
        <v>45588</v>
      </c>
      <c r="B875" t="s">
        <v>937</v>
      </c>
      <c r="C875" t="s">
        <v>33</v>
      </c>
      <c r="D875" t="s">
        <v>92</v>
      </c>
      <c r="E875">
        <v>42478.47</v>
      </c>
      <c r="F875" t="s">
        <v>26</v>
      </c>
      <c r="G875">
        <v>65654.320000000007</v>
      </c>
      <c r="H875">
        <v>23175.85</v>
      </c>
      <c r="I875">
        <v>10</v>
      </c>
      <c r="J875">
        <v>8</v>
      </c>
      <c r="K875" t="str">
        <f>TEXT(discount_impact_on_profit_2000_rows[[#This Row],[order date]],"mmmm")</f>
        <v>October</v>
      </c>
      <c r="L875">
        <f>YEAR(discount_impact_on_profit_2000_rows[[#This Row],[order date]])</f>
        <v>2024</v>
      </c>
      <c r="M875" t="str">
        <f>IF(discount_impact_on_profit_2000_rows[[#This Row],[Discount %]]=0,"Zero Discount",IF(discount_impact_on_profit_2000_rows[[#This Row],[Discount %]]&lt;=10,"Low Discount","High Discount"))</f>
        <v>Low Discount</v>
      </c>
      <c r="N875" t="str">
        <f t="shared" si="13"/>
        <v>0-10%</v>
      </c>
    </row>
    <row r="876" spans="1:14">
      <c r="A876" s="1">
        <v>45185</v>
      </c>
      <c r="B876" t="s">
        <v>938</v>
      </c>
      <c r="C876" t="s">
        <v>53</v>
      </c>
      <c r="D876" t="s">
        <v>59</v>
      </c>
      <c r="E876">
        <v>1173.08</v>
      </c>
      <c r="F876" t="s">
        <v>26</v>
      </c>
      <c r="G876">
        <v>1880.64</v>
      </c>
      <c r="H876">
        <v>707.56</v>
      </c>
      <c r="I876">
        <v>15</v>
      </c>
      <c r="J876">
        <v>1</v>
      </c>
      <c r="K876" t="str">
        <f>TEXT(discount_impact_on_profit_2000_rows[[#This Row],[order date]],"mmmm")</f>
        <v>September</v>
      </c>
      <c r="L876">
        <f>YEAR(discount_impact_on_profit_2000_rows[[#This Row],[order date]])</f>
        <v>2023</v>
      </c>
      <c r="M876" t="str">
        <f>IF(discount_impact_on_profit_2000_rows[[#This Row],[Discount %]]=0,"Zero Discount",IF(discount_impact_on_profit_2000_rows[[#This Row],[Discount %]]&lt;=10,"Low Discount","High Discount"))</f>
        <v>High Discount</v>
      </c>
      <c r="N876" t="str">
        <f t="shared" si="13"/>
        <v>10-20%</v>
      </c>
    </row>
    <row r="877" spans="1:14">
      <c r="A877" s="1">
        <v>44948</v>
      </c>
      <c r="B877" t="s">
        <v>939</v>
      </c>
      <c r="C877" t="s">
        <v>53</v>
      </c>
      <c r="D877" t="s">
        <v>95</v>
      </c>
      <c r="E877">
        <v>2281.7199999999998</v>
      </c>
      <c r="F877" t="s">
        <v>36</v>
      </c>
      <c r="G877">
        <v>3201.64</v>
      </c>
      <c r="H877">
        <v>919.92</v>
      </c>
      <c r="I877">
        <v>10</v>
      </c>
      <c r="J877">
        <v>3</v>
      </c>
      <c r="K877" t="str">
        <f>TEXT(discount_impact_on_profit_2000_rows[[#This Row],[order date]],"mmmm")</f>
        <v>January</v>
      </c>
      <c r="L877">
        <f>YEAR(discount_impact_on_profit_2000_rows[[#This Row],[order date]])</f>
        <v>2023</v>
      </c>
      <c r="M877" t="str">
        <f>IF(discount_impact_on_profit_2000_rows[[#This Row],[Discount %]]=0,"Zero Discount",IF(discount_impact_on_profit_2000_rows[[#This Row],[Discount %]]&lt;=10,"Low Discount","High Discount"))</f>
        <v>Low Discount</v>
      </c>
      <c r="N877" t="str">
        <f t="shared" si="13"/>
        <v>0-10%</v>
      </c>
    </row>
    <row r="878" spans="1:14">
      <c r="A878" s="1">
        <v>45087</v>
      </c>
      <c r="B878" t="s">
        <v>940</v>
      </c>
      <c r="C878" t="s">
        <v>15</v>
      </c>
      <c r="D878" t="s">
        <v>16</v>
      </c>
      <c r="E878">
        <v>6226.29</v>
      </c>
      <c r="F878" t="s">
        <v>26</v>
      </c>
      <c r="G878">
        <v>7098.65</v>
      </c>
      <c r="H878">
        <v>872.36</v>
      </c>
      <c r="I878">
        <v>15</v>
      </c>
      <c r="J878">
        <v>4</v>
      </c>
      <c r="K878" t="str">
        <f>TEXT(discount_impact_on_profit_2000_rows[[#This Row],[order date]],"mmmm")</f>
        <v>June</v>
      </c>
      <c r="L878">
        <f>YEAR(discount_impact_on_profit_2000_rows[[#This Row],[order date]])</f>
        <v>2023</v>
      </c>
      <c r="M878" t="str">
        <f>IF(discount_impact_on_profit_2000_rows[[#This Row],[Discount %]]=0,"Zero Discount",IF(discount_impact_on_profit_2000_rows[[#This Row],[Discount %]]&lt;=10,"Low Discount","High Discount"))</f>
        <v>High Discount</v>
      </c>
      <c r="N878" t="str">
        <f t="shared" si="13"/>
        <v>10-20%</v>
      </c>
    </row>
    <row r="879" spans="1:14">
      <c r="A879" s="1">
        <v>45553</v>
      </c>
      <c r="B879" t="s">
        <v>941</v>
      </c>
      <c r="C879" t="s">
        <v>21</v>
      </c>
      <c r="D879" t="s">
        <v>97</v>
      </c>
      <c r="E879">
        <v>9300.86</v>
      </c>
      <c r="F879" t="s">
        <v>31</v>
      </c>
      <c r="G879">
        <v>12082.35</v>
      </c>
      <c r="H879">
        <v>2781.49</v>
      </c>
      <c r="I879">
        <v>10</v>
      </c>
      <c r="J879">
        <v>6</v>
      </c>
      <c r="K879" t="str">
        <f>TEXT(discount_impact_on_profit_2000_rows[[#This Row],[order date]],"mmmm")</f>
        <v>September</v>
      </c>
      <c r="L879">
        <f>YEAR(discount_impact_on_profit_2000_rows[[#This Row],[order date]])</f>
        <v>2024</v>
      </c>
      <c r="M879" t="str">
        <f>IF(discount_impact_on_profit_2000_rows[[#This Row],[Discount %]]=0,"Zero Discount",IF(discount_impact_on_profit_2000_rows[[#This Row],[Discount %]]&lt;=10,"Low Discount","High Discount"))</f>
        <v>Low Discount</v>
      </c>
      <c r="N879" t="str">
        <f t="shared" si="13"/>
        <v>0-10%</v>
      </c>
    </row>
    <row r="880" spans="1:14">
      <c r="A880" s="1">
        <v>45961</v>
      </c>
      <c r="B880" t="s">
        <v>942</v>
      </c>
      <c r="C880" t="s">
        <v>21</v>
      </c>
      <c r="D880" t="s">
        <v>82</v>
      </c>
      <c r="E880">
        <v>25038.68</v>
      </c>
      <c r="F880" t="s">
        <v>23</v>
      </c>
      <c r="G880">
        <v>25789.84</v>
      </c>
      <c r="H880">
        <v>751.16</v>
      </c>
      <c r="I880">
        <v>17</v>
      </c>
      <c r="J880">
        <v>2</v>
      </c>
      <c r="K880" t="str">
        <f>TEXT(discount_impact_on_profit_2000_rows[[#This Row],[order date]],"mmmm")</f>
        <v>October</v>
      </c>
      <c r="L880">
        <f>YEAR(discount_impact_on_profit_2000_rows[[#This Row],[order date]])</f>
        <v>2025</v>
      </c>
      <c r="M880" t="str">
        <f>IF(discount_impact_on_profit_2000_rows[[#This Row],[Discount %]]=0,"Zero Discount",IF(discount_impact_on_profit_2000_rows[[#This Row],[Discount %]]&lt;=10,"Low Discount","High Discount"))</f>
        <v>High Discount</v>
      </c>
      <c r="N880" t="str">
        <f t="shared" si="13"/>
        <v>10-20%</v>
      </c>
    </row>
    <row r="881" spans="1:14">
      <c r="A881" s="1">
        <v>45768</v>
      </c>
      <c r="B881" t="s">
        <v>943</v>
      </c>
      <c r="C881" t="s">
        <v>33</v>
      </c>
      <c r="D881" t="s">
        <v>273</v>
      </c>
      <c r="E881">
        <v>1385.87</v>
      </c>
      <c r="F881" t="s">
        <v>31</v>
      </c>
      <c r="G881">
        <v>1566.31</v>
      </c>
      <c r="H881">
        <v>180.44</v>
      </c>
      <c r="I881">
        <v>20</v>
      </c>
      <c r="J881">
        <v>1</v>
      </c>
      <c r="K881" t="str">
        <f>TEXT(discount_impact_on_profit_2000_rows[[#This Row],[order date]],"mmmm")</f>
        <v>April</v>
      </c>
      <c r="L881">
        <f>YEAR(discount_impact_on_profit_2000_rows[[#This Row],[order date]])</f>
        <v>2025</v>
      </c>
      <c r="M881" t="str">
        <f>IF(discount_impact_on_profit_2000_rows[[#This Row],[Discount %]]=0,"Zero Discount",IF(discount_impact_on_profit_2000_rows[[#This Row],[Discount %]]&lt;=10,"Low Discount","High Discount"))</f>
        <v>High Discount</v>
      </c>
      <c r="N881" t="str">
        <f t="shared" si="13"/>
        <v>10-20%</v>
      </c>
    </row>
    <row r="882" spans="1:14">
      <c r="A882" s="1">
        <v>45883</v>
      </c>
      <c r="B882" t="s">
        <v>944</v>
      </c>
      <c r="C882" t="s">
        <v>33</v>
      </c>
      <c r="D882" t="s">
        <v>273</v>
      </c>
      <c r="E882">
        <v>2378.0500000000002</v>
      </c>
      <c r="F882" t="s">
        <v>26</v>
      </c>
      <c r="G882">
        <v>3464.23</v>
      </c>
      <c r="H882">
        <v>1086.18</v>
      </c>
      <c r="I882">
        <v>0</v>
      </c>
      <c r="J882">
        <v>1</v>
      </c>
      <c r="K882" t="str">
        <f>TEXT(discount_impact_on_profit_2000_rows[[#This Row],[order date]],"mmmm")</f>
        <v>August</v>
      </c>
      <c r="L882">
        <f>YEAR(discount_impact_on_profit_2000_rows[[#This Row],[order date]])</f>
        <v>2025</v>
      </c>
      <c r="M882" t="str">
        <f>IF(discount_impact_on_profit_2000_rows[[#This Row],[Discount %]]=0,"Zero Discount",IF(discount_impact_on_profit_2000_rows[[#This Row],[Discount %]]&lt;=10,"Low Discount","High Discount"))</f>
        <v>Zero Discount</v>
      </c>
      <c r="N882" t="str">
        <f t="shared" si="13"/>
        <v>0-10%</v>
      </c>
    </row>
    <row r="883" spans="1:14">
      <c r="A883" s="1">
        <v>45691</v>
      </c>
      <c r="B883" t="s">
        <v>945</v>
      </c>
      <c r="C883" t="s">
        <v>18</v>
      </c>
      <c r="D883" t="s">
        <v>42</v>
      </c>
      <c r="E883">
        <v>1276.23</v>
      </c>
      <c r="F883" t="s">
        <v>36</v>
      </c>
      <c r="G883">
        <v>2527.4499999999998</v>
      </c>
      <c r="H883">
        <v>1251.22</v>
      </c>
      <c r="I883">
        <v>0</v>
      </c>
      <c r="J883">
        <v>3</v>
      </c>
      <c r="K883" t="str">
        <f>TEXT(discount_impact_on_profit_2000_rows[[#This Row],[order date]],"mmmm")</f>
        <v>February</v>
      </c>
      <c r="L883">
        <f>YEAR(discount_impact_on_profit_2000_rows[[#This Row],[order date]])</f>
        <v>2025</v>
      </c>
      <c r="M883" t="str">
        <f>IF(discount_impact_on_profit_2000_rows[[#This Row],[Discount %]]=0,"Zero Discount",IF(discount_impact_on_profit_2000_rows[[#This Row],[Discount %]]&lt;=10,"Low Discount","High Discount"))</f>
        <v>Zero Discount</v>
      </c>
      <c r="N883" t="str">
        <f t="shared" si="13"/>
        <v>0-10%</v>
      </c>
    </row>
    <row r="884" spans="1:14">
      <c r="A884" s="1">
        <v>45347</v>
      </c>
      <c r="B884" t="s">
        <v>946</v>
      </c>
      <c r="C884" t="s">
        <v>53</v>
      </c>
      <c r="D884" t="s">
        <v>113</v>
      </c>
      <c r="E884">
        <v>595.72</v>
      </c>
      <c r="F884" t="s">
        <v>31</v>
      </c>
      <c r="G884">
        <v>1172.1199999999999</v>
      </c>
      <c r="H884">
        <v>576.4</v>
      </c>
      <c r="I884">
        <v>15</v>
      </c>
      <c r="J884">
        <v>2</v>
      </c>
      <c r="K884" t="str">
        <f>TEXT(discount_impact_on_profit_2000_rows[[#This Row],[order date]],"mmmm")</f>
        <v>February</v>
      </c>
      <c r="L884">
        <f>YEAR(discount_impact_on_profit_2000_rows[[#This Row],[order date]])</f>
        <v>2024</v>
      </c>
      <c r="M884" t="str">
        <f>IF(discount_impact_on_profit_2000_rows[[#This Row],[Discount %]]=0,"Zero Discount",IF(discount_impact_on_profit_2000_rows[[#This Row],[Discount %]]&lt;=10,"Low Discount","High Discount"))</f>
        <v>High Discount</v>
      </c>
      <c r="N884" t="str">
        <f t="shared" si="13"/>
        <v>10-20%</v>
      </c>
    </row>
    <row r="885" spans="1:14">
      <c r="A885" s="1">
        <v>45671</v>
      </c>
      <c r="B885" t="s">
        <v>947</v>
      </c>
      <c r="C885" t="s">
        <v>21</v>
      </c>
      <c r="D885" t="s">
        <v>154</v>
      </c>
      <c r="E885">
        <v>9131.3799999999992</v>
      </c>
      <c r="F885" t="s">
        <v>36</v>
      </c>
      <c r="G885">
        <v>10998.68</v>
      </c>
      <c r="H885">
        <v>1867.3</v>
      </c>
      <c r="I885">
        <v>15</v>
      </c>
      <c r="J885">
        <v>3</v>
      </c>
      <c r="K885" t="str">
        <f>TEXT(discount_impact_on_profit_2000_rows[[#This Row],[order date]],"mmmm")</f>
        <v>January</v>
      </c>
      <c r="L885">
        <f>YEAR(discount_impact_on_profit_2000_rows[[#This Row],[order date]])</f>
        <v>2025</v>
      </c>
      <c r="M885" t="str">
        <f>IF(discount_impact_on_profit_2000_rows[[#This Row],[Discount %]]=0,"Zero Discount",IF(discount_impact_on_profit_2000_rows[[#This Row],[Discount %]]&lt;=10,"Low Discount","High Discount"))</f>
        <v>High Discount</v>
      </c>
      <c r="N885" t="str">
        <f t="shared" si="13"/>
        <v>10-20%</v>
      </c>
    </row>
    <row r="886" spans="1:14">
      <c r="A886" s="1">
        <v>45765</v>
      </c>
      <c r="B886" t="s">
        <v>948</v>
      </c>
      <c r="C886" t="s">
        <v>33</v>
      </c>
      <c r="D886" t="s">
        <v>44</v>
      </c>
      <c r="E886">
        <v>50392.32</v>
      </c>
      <c r="F886" t="s">
        <v>36</v>
      </c>
      <c r="G886">
        <v>69297.88</v>
      </c>
      <c r="H886">
        <v>18905.560000000001</v>
      </c>
      <c r="I886">
        <v>10</v>
      </c>
      <c r="J886">
        <v>3</v>
      </c>
      <c r="K886" t="str">
        <f>TEXT(discount_impact_on_profit_2000_rows[[#This Row],[order date]],"mmmm")</f>
        <v>April</v>
      </c>
      <c r="L886">
        <f>YEAR(discount_impact_on_profit_2000_rows[[#This Row],[order date]])</f>
        <v>2025</v>
      </c>
      <c r="M886" t="str">
        <f>IF(discount_impact_on_profit_2000_rows[[#This Row],[Discount %]]=0,"Zero Discount",IF(discount_impact_on_profit_2000_rows[[#This Row],[Discount %]]&lt;=10,"Low Discount","High Discount"))</f>
        <v>Low Discount</v>
      </c>
      <c r="N886" t="str">
        <f t="shared" si="13"/>
        <v>0-10%</v>
      </c>
    </row>
    <row r="887" spans="1:14">
      <c r="A887" s="1">
        <v>45655</v>
      </c>
      <c r="B887" t="s">
        <v>949</v>
      </c>
      <c r="C887" t="s">
        <v>33</v>
      </c>
      <c r="D887" t="s">
        <v>44</v>
      </c>
      <c r="E887">
        <v>2111.62</v>
      </c>
      <c r="F887" t="s">
        <v>36</v>
      </c>
      <c r="G887">
        <v>2440.69</v>
      </c>
      <c r="H887">
        <v>329.07</v>
      </c>
      <c r="I887">
        <v>15</v>
      </c>
      <c r="J887">
        <v>1</v>
      </c>
      <c r="K887" t="str">
        <f>TEXT(discount_impact_on_profit_2000_rows[[#This Row],[order date]],"mmmm")</f>
        <v>December</v>
      </c>
      <c r="L887">
        <f>YEAR(discount_impact_on_profit_2000_rows[[#This Row],[order date]])</f>
        <v>2024</v>
      </c>
      <c r="M887" t="str">
        <f>IF(discount_impact_on_profit_2000_rows[[#This Row],[Discount %]]=0,"Zero Discount",IF(discount_impact_on_profit_2000_rows[[#This Row],[Discount %]]&lt;=10,"Low Discount","High Discount"))</f>
        <v>High Discount</v>
      </c>
      <c r="N887" t="str">
        <f t="shared" si="13"/>
        <v>10-20%</v>
      </c>
    </row>
    <row r="888" spans="1:14">
      <c r="A888" s="1">
        <v>45150</v>
      </c>
      <c r="B888" t="s">
        <v>950</v>
      </c>
      <c r="C888" t="s">
        <v>21</v>
      </c>
      <c r="D888" t="s">
        <v>57</v>
      </c>
      <c r="E888">
        <v>77420.42</v>
      </c>
      <c r="F888" t="s">
        <v>26</v>
      </c>
      <c r="G888">
        <v>116811.62</v>
      </c>
      <c r="H888">
        <v>39391.199999999997</v>
      </c>
      <c r="I888">
        <v>0</v>
      </c>
      <c r="J888">
        <v>5</v>
      </c>
      <c r="K888" t="str">
        <f>TEXT(discount_impact_on_profit_2000_rows[[#This Row],[order date]],"mmmm")</f>
        <v>August</v>
      </c>
      <c r="L888">
        <f>YEAR(discount_impact_on_profit_2000_rows[[#This Row],[order date]])</f>
        <v>2023</v>
      </c>
      <c r="M888" t="str">
        <f>IF(discount_impact_on_profit_2000_rows[[#This Row],[Discount %]]=0,"Zero Discount",IF(discount_impact_on_profit_2000_rows[[#This Row],[Discount %]]&lt;=10,"Low Discount","High Discount"))</f>
        <v>Zero Discount</v>
      </c>
      <c r="N888" t="str">
        <f t="shared" si="13"/>
        <v>0-10%</v>
      </c>
    </row>
    <row r="889" spans="1:14">
      <c r="A889" s="1">
        <v>45597</v>
      </c>
      <c r="B889" t="s">
        <v>951</v>
      </c>
      <c r="C889" t="s">
        <v>18</v>
      </c>
      <c r="D889" t="s">
        <v>42</v>
      </c>
      <c r="E889">
        <v>1749.44</v>
      </c>
      <c r="F889" t="s">
        <v>31</v>
      </c>
      <c r="G889">
        <v>2977.4</v>
      </c>
      <c r="H889">
        <v>1227.96</v>
      </c>
      <c r="I889">
        <v>10</v>
      </c>
      <c r="J889">
        <v>5</v>
      </c>
      <c r="K889" t="str">
        <f>TEXT(discount_impact_on_profit_2000_rows[[#This Row],[order date]],"mmmm")</f>
        <v>November</v>
      </c>
      <c r="L889">
        <f>YEAR(discount_impact_on_profit_2000_rows[[#This Row],[order date]])</f>
        <v>2024</v>
      </c>
      <c r="M889" t="str">
        <f>IF(discount_impact_on_profit_2000_rows[[#This Row],[Discount %]]=0,"Zero Discount",IF(discount_impact_on_profit_2000_rows[[#This Row],[Discount %]]&lt;=10,"Low Discount","High Discount"))</f>
        <v>Low Discount</v>
      </c>
      <c r="N889" t="str">
        <f t="shared" si="13"/>
        <v>0-10%</v>
      </c>
    </row>
    <row r="890" spans="1:14">
      <c r="A890" s="1">
        <v>45819</v>
      </c>
      <c r="B890" t="s">
        <v>952</v>
      </c>
      <c r="C890" t="s">
        <v>33</v>
      </c>
      <c r="D890" t="s">
        <v>44</v>
      </c>
      <c r="E890">
        <v>13799.06</v>
      </c>
      <c r="F890" t="s">
        <v>31</v>
      </c>
      <c r="G890">
        <v>21191.51</v>
      </c>
      <c r="H890">
        <v>7392.45</v>
      </c>
      <c r="I890">
        <v>10</v>
      </c>
      <c r="J890">
        <v>1</v>
      </c>
      <c r="K890" t="str">
        <f>TEXT(discount_impact_on_profit_2000_rows[[#This Row],[order date]],"mmmm")</f>
        <v>June</v>
      </c>
      <c r="L890">
        <f>YEAR(discount_impact_on_profit_2000_rows[[#This Row],[order date]])</f>
        <v>2025</v>
      </c>
      <c r="M890" t="str">
        <f>IF(discount_impact_on_profit_2000_rows[[#This Row],[Discount %]]=0,"Zero Discount",IF(discount_impact_on_profit_2000_rows[[#This Row],[Discount %]]&lt;=10,"Low Discount","High Discount"))</f>
        <v>Low Discount</v>
      </c>
      <c r="N890" t="str">
        <f t="shared" si="13"/>
        <v>0-10%</v>
      </c>
    </row>
    <row r="891" spans="1:14">
      <c r="A891" s="1">
        <v>45249</v>
      </c>
      <c r="B891" t="s">
        <v>953</v>
      </c>
      <c r="C891" t="s">
        <v>18</v>
      </c>
      <c r="D891" t="s">
        <v>19</v>
      </c>
      <c r="E891">
        <v>804.98</v>
      </c>
      <c r="F891" t="s">
        <v>26</v>
      </c>
      <c r="G891">
        <v>1140.7</v>
      </c>
      <c r="H891">
        <v>335.72</v>
      </c>
      <c r="I891">
        <v>15</v>
      </c>
      <c r="J891">
        <v>4</v>
      </c>
      <c r="K891" t="str">
        <f>TEXT(discount_impact_on_profit_2000_rows[[#This Row],[order date]],"mmmm")</f>
        <v>November</v>
      </c>
      <c r="L891">
        <f>YEAR(discount_impact_on_profit_2000_rows[[#This Row],[order date]])</f>
        <v>2023</v>
      </c>
      <c r="M891" t="str">
        <f>IF(discount_impact_on_profit_2000_rows[[#This Row],[Discount %]]=0,"Zero Discount",IF(discount_impact_on_profit_2000_rows[[#This Row],[Discount %]]&lt;=10,"Low Discount","High Discount"))</f>
        <v>High Discount</v>
      </c>
      <c r="N891" t="str">
        <f t="shared" si="13"/>
        <v>10-20%</v>
      </c>
    </row>
    <row r="892" spans="1:14">
      <c r="A892" s="1">
        <v>45035</v>
      </c>
      <c r="B892" t="s">
        <v>954</v>
      </c>
      <c r="C892" t="s">
        <v>53</v>
      </c>
      <c r="D892" t="s">
        <v>70</v>
      </c>
      <c r="E892">
        <v>461.2</v>
      </c>
      <c r="F892" t="s">
        <v>26</v>
      </c>
      <c r="G892">
        <v>970.45</v>
      </c>
      <c r="H892">
        <v>509.25</v>
      </c>
      <c r="I892">
        <v>5</v>
      </c>
      <c r="J892">
        <v>2</v>
      </c>
      <c r="K892" t="str">
        <f>TEXT(discount_impact_on_profit_2000_rows[[#This Row],[order date]],"mmmm")</f>
        <v>April</v>
      </c>
      <c r="L892">
        <f>YEAR(discount_impact_on_profit_2000_rows[[#This Row],[order date]])</f>
        <v>2023</v>
      </c>
      <c r="M892" t="str">
        <f>IF(discount_impact_on_profit_2000_rows[[#This Row],[Discount %]]=0,"Zero Discount",IF(discount_impact_on_profit_2000_rows[[#This Row],[Discount %]]&lt;=10,"Low Discount","High Discount"))</f>
        <v>Low Discount</v>
      </c>
      <c r="N892" t="str">
        <f t="shared" si="13"/>
        <v>0-10%</v>
      </c>
    </row>
    <row r="893" spans="1:14">
      <c r="A893" s="1">
        <v>45047</v>
      </c>
      <c r="B893" t="s">
        <v>955</v>
      </c>
      <c r="C893" t="s">
        <v>11</v>
      </c>
      <c r="D893" t="s">
        <v>30</v>
      </c>
      <c r="E893">
        <v>955.71</v>
      </c>
      <c r="F893" t="s">
        <v>23</v>
      </c>
      <c r="G893">
        <v>1606.24</v>
      </c>
      <c r="H893">
        <v>650.53</v>
      </c>
      <c r="I893">
        <v>5</v>
      </c>
      <c r="J893">
        <v>4</v>
      </c>
      <c r="K893" t="str">
        <f>TEXT(discount_impact_on_profit_2000_rows[[#This Row],[order date]],"mmmm")</f>
        <v>May</v>
      </c>
      <c r="L893">
        <f>YEAR(discount_impact_on_profit_2000_rows[[#This Row],[order date]])</f>
        <v>2023</v>
      </c>
      <c r="M893" t="str">
        <f>IF(discount_impact_on_profit_2000_rows[[#This Row],[Discount %]]=0,"Zero Discount",IF(discount_impact_on_profit_2000_rows[[#This Row],[Discount %]]&lt;=10,"Low Discount","High Discount"))</f>
        <v>Low Discount</v>
      </c>
      <c r="N893" t="str">
        <f t="shared" si="13"/>
        <v>0-10%</v>
      </c>
    </row>
    <row r="894" spans="1:14">
      <c r="A894" s="1">
        <v>45165</v>
      </c>
      <c r="B894" t="s">
        <v>956</v>
      </c>
      <c r="C894" t="s">
        <v>18</v>
      </c>
      <c r="D894" t="s">
        <v>104</v>
      </c>
      <c r="E894">
        <v>4388.95</v>
      </c>
      <c r="F894" t="s">
        <v>36</v>
      </c>
      <c r="G894">
        <v>6364.76</v>
      </c>
      <c r="H894">
        <v>1975.81</v>
      </c>
      <c r="I894">
        <v>0</v>
      </c>
      <c r="J894">
        <v>6</v>
      </c>
      <c r="K894" t="str">
        <f>TEXT(discount_impact_on_profit_2000_rows[[#This Row],[order date]],"mmmm")</f>
        <v>August</v>
      </c>
      <c r="L894">
        <f>YEAR(discount_impact_on_profit_2000_rows[[#This Row],[order date]])</f>
        <v>2023</v>
      </c>
      <c r="M894" t="str">
        <f>IF(discount_impact_on_profit_2000_rows[[#This Row],[Discount %]]=0,"Zero Discount",IF(discount_impact_on_profit_2000_rows[[#This Row],[Discount %]]&lt;=10,"Low Discount","High Discount"))</f>
        <v>Zero Discount</v>
      </c>
      <c r="N894" t="str">
        <f t="shared" si="13"/>
        <v>0-10%</v>
      </c>
    </row>
    <row r="895" spans="1:14">
      <c r="A895" s="1">
        <v>45691</v>
      </c>
      <c r="B895" t="s">
        <v>957</v>
      </c>
      <c r="C895" t="s">
        <v>53</v>
      </c>
      <c r="D895" t="s">
        <v>113</v>
      </c>
      <c r="E895">
        <v>4495.57</v>
      </c>
      <c r="F895" t="s">
        <v>13</v>
      </c>
      <c r="G895">
        <v>7256.7</v>
      </c>
      <c r="H895">
        <v>2761.13</v>
      </c>
      <c r="I895">
        <v>15</v>
      </c>
      <c r="J895">
        <v>2</v>
      </c>
      <c r="K895" t="str">
        <f>TEXT(discount_impact_on_profit_2000_rows[[#This Row],[order date]],"mmmm")</f>
        <v>February</v>
      </c>
      <c r="L895">
        <f>YEAR(discount_impact_on_profit_2000_rows[[#This Row],[order date]])</f>
        <v>2025</v>
      </c>
      <c r="M895" t="str">
        <f>IF(discount_impact_on_profit_2000_rows[[#This Row],[Discount %]]=0,"Zero Discount",IF(discount_impact_on_profit_2000_rows[[#This Row],[Discount %]]&lt;=10,"Low Discount","High Discount"))</f>
        <v>High Discount</v>
      </c>
      <c r="N895" t="str">
        <f t="shared" si="13"/>
        <v>10-20%</v>
      </c>
    </row>
    <row r="896" spans="1:14">
      <c r="A896" s="1">
        <v>45393</v>
      </c>
      <c r="B896" t="s">
        <v>958</v>
      </c>
      <c r="C896" t="s">
        <v>53</v>
      </c>
      <c r="D896" t="s">
        <v>113</v>
      </c>
      <c r="E896">
        <v>1484.05</v>
      </c>
      <c r="F896" t="s">
        <v>36</v>
      </c>
      <c r="G896">
        <v>2528.2399999999998</v>
      </c>
      <c r="H896">
        <v>1044.19</v>
      </c>
      <c r="I896">
        <v>5</v>
      </c>
      <c r="J896">
        <v>2</v>
      </c>
      <c r="K896" t="str">
        <f>TEXT(discount_impact_on_profit_2000_rows[[#This Row],[order date]],"mmmm")</f>
        <v>April</v>
      </c>
      <c r="L896">
        <f>YEAR(discount_impact_on_profit_2000_rows[[#This Row],[order date]])</f>
        <v>2024</v>
      </c>
      <c r="M896" t="str">
        <f>IF(discount_impact_on_profit_2000_rows[[#This Row],[Discount %]]=0,"Zero Discount",IF(discount_impact_on_profit_2000_rows[[#This Row],[Discount %]]&lt;=10,"Low Discount","High Discount"))</f>
        <v>Low Discount</v>
      </c>
      <c r="N896" t="str">
        <f t="shared" si="13"/>
        <v>0-10%</v>
      </c>
    </row>
    <row r="897" spans="1:14">
      <c r="A897" s="1">
        <v>44947</v>
      </c>
      <c r="B897" t="s">
        <v>959</v>
      </c>
      <c r="C897" t="s">
        <v>21</v>
      </c>
      <c r="D897" t="s">
        <v>154</v>
      </c>
      <c r="E897">
        <v>32423.84</v>
      </c>
      <c r="F897" t="s">
        <v>36</v>
      </c>
      <c r="G897">
        <v>44282.18</v>
      </c>
      <c r="H897">
        <v>11858.34</v>
      </c>
      <c r="I897">
        <v>5</v>
      </c>
      <c r="J897">
        <v>2</v>
      </c>
      <c r="K897" t="str">
        <f>TEXT(discount_impact_on_profit_2000_rows[[#This Row],[order date]],"mmmm")</f>
        <v>January</v>
      </c>
      <c r="L897">
        <f>YEAR(discount_impact_on_profit_2000_rows[[#This Row],[order date]])</f>
        <v>2023</v>
      </c>
      <c r="M897" t="str">
        <f>IF(discount_impact_on_profit_2000_rows[[#This Row],[Discount %]]=0,"Zero Discount",IF(discount_impact_on_profit_2000_rows[[#This Row],[Discount %]]&lt;=10,"Low Discount","High Discount"))</f>
        <v>Low Discount</v>
      </c>
      <c r="N897" t="str">
        <f t="shared" si="13"/>
        <v>0-10%</v>
      </c>
    </row>
    <row r="898" spans="1:14">
      <c r="A898" s="1">
        <v>45192</v>
      </c>
      <c r="B898" t="s">
        <v>960</v>
      </c>
      <c r="C898" t="s">
        <v>21</v>
      </c>
      <c r="D898" t="s">
        <v>154</v>
      </c>
      <c r="E898">
        <v>5816.45</v>
      </c>
      <c r="F898" t="s">
        <v>36</v>
      </c>
      <c r="G898">
        <v>7382.07</v>
      </c>
      <c r="H898">
        <v>1565.62</v>
      </c>
      <c r="I898">
        <v>10</v>
      </c>
      <c r="J898">
        <v>4</v>
      </c>
      <c r="K898" t="str">
        <f>TEXT(discount_impact_on_profit_2000_rows[[#This Row],[order date]],"mmmm")</f>
        <v>September</v>
      </c>
      <c r="L898">
        <f>YEAR(discount_impact_on_profit_2000_rows[[#This Row],[order date]])</f>
        <v>2023</v>
      </c>
      <c r="M898" t="str">
        <f>IF(discount_impact_on_profit_2000_rows[[#This Row],[Discount %]]=0,"Zero Discount",IF(discount_impact_on_profit_2000_rows[[#This Row],[Discount %]]&lt;=10,"Low Discount","High Discount"))</f>
        <v>Low Discount</v>
      </c>
      <c r="N898" t="str">
        <f t="shared" ref="N898:N961" si="14">IF(I898&lt;=10,"0-10%",IF(I898&lt;=20,"10-20%",IF(I898&lt;=30,"20-30%","30%+")))</f>
        <v>0-10%</v>
      </c>
    </row>
    <row r="899" spans="1:14">
      <c r="A899" s="1">
        <v>45010</v>
      </c>
      <c r="B899" t="s">
        <v>961</v>
      </c>
      <c r="C899" t="s">
        <v>53</v>
      </c>
      <c r="D899" t="s">
        <v>113</v>
      </c>
      <c r="E899">
        <v>573.05999999999995</v>
      </c>
      <c r="F899" t="s">
        <v>36</v>
      </c>
      <c r="G899">
        <v>912.99</v>
      </c>
      <c r="H899">
        <v>339.93</v>
      </c>
      <c r="I899">
        <v>20</v>
      </c>
      <c r="J899">
        <v>1</v>
      </c>
      <c r="K899" t="str">
        <f>TEXT(discount_impact_on_profit_2000_rows[[#This Row],[order date]],"mmmm")</f>
        <v>March</v>
      </c>
      <c r="L899">
        <f>YEAR(discount_impact_on_profit_2000_rows[[#This Row],[order date]])</f>
        <v>2023</v>
      </c>
      <c r="M899" t="str">
        <f>IF(discount_impact_on_profit_2000_rows[[#This Row],[Discount %]]=0,"Zero Discount",IF(discount_impact_on_profit_2000_rows[[#This Row],[Discount %]]&lt;=10,"Low Discount","High Discount"))</f>
        <v>High Discount</v>
      </c>
      <c r="N899" t="str">
        <f t="shared" si="14"/>
        <v>10-20%</v>
      </c>
    </row>
    <row r="900" spans="1:14">
      <c r="A900" s="1">
        <v>44998</v>
      </c>
      <c r="B900" t="s">
        <v>962</v>
      </c>
      <c r="C900" t="s">
        <v>18</v>
      </c>
      <c r="D900" t="s">
        <v>104</v>
      </c>
      <c r="E900">
        <v>1068.22</v>
      </c>
      <c r="F900" t="s">
        <v>13</v>
      </c>
      <c r="G900">
        <v>1247.8699999999999</v>
      </c>
      <c r="H900">
        <v>179.65</v>
      </c>
      <c r="I900">
        <v>25</v>
      </c>
      <c r="J900">
        <v>4</v>
      </c>
      <c r="K900" t="str">
        <f>TEXT(discount_impact_on_profit_2000_rows[[#This Row],[order date]],"mmmm")</f>
        <v>March</v>
      </c>
      <c r="L900">
        <f>YEAR(discount_impact_on_profit_2000_rows[[#This Row],[order date]])</f>
        <v>2023</v>
      </c>
      <c r="M900" t="str">
        <f>IF(discount_impact_on_profit_2000_rows[[#This Row],[Discount %]]=0,"Zero Discount",IF(discount_impact_on_profit_2000_rows[[#This Row],[Discount %]]&lt;=10,"Low Discount","High Discount"))</f>
        <v>High Discount</v>
      </c>
      <c r="N900" t="str">
        <f t="shared" si="14"/>
        <v>20-30%</v>
      </c>
    </row>
    <row r="901" spans="1:14">
      <c r="A901" s="1">
        <v>45278</v>
      </c>
      <c r="B901" t="s">
        <v>963</v>
      </c>
      <c r="C901" t="s">
        <v>18</v>
      </c>
      <c r="D901" t="s">
        <v>50</v>
      </c>
      <c r="E901">
        <v>3010.68</v>
      </c>
      <c r="F901" t="s">
        <v>31</v>
      </c>
      <c r="G901">
        <v>5394.97</v>
      </c>
      <c r="H901">
        <v>2384.29</v>
      </c>
      <c r="I901">
        <v>15</v>
      </c>
      <c r="J901">
        <v>4</v>
      </c>
      <c r="K901" t="str">
        <f>TEXT(discount_impact_on_profit_2000_rows[[#This Row],[order date]],"mmmm")</f>
        <v>December</v>
      </c>
      <c r="L901">
        <f>YEAR(discount_impact_on_profit_2000_rows[[#This Row],[order date]])</f>
        <v>2023</v>
      </c>
      <c r="M901" t="str">
        <f>IF(discount_impact_on_profit_2000_rows[[#This Row],[Discount %]]=0,"Zero Discount",IF(discount_impact_on_profit_2000_rows[[#This Row],[Discount %]]&lt;=10,"Low Discount","High Discount"))</f>
        <v>High Discount</v>
      </c>
      <c r="N901" t="str">
        <f t="shared" si="14"/>
        <v>10-20%</v>
      </c>
    </row>
    <row r="902" spans="1:14">
      <c r="A902" s="1">
        <v>45689</v>
      </c>
      <c r="B902" t="s">
        <v>964</v>
      </c>
      <c r="C902" t="s">
        <v>21</v>
      </c>
      <c r="D902" t="s">
        <v>97</v>
      </c>
      <c r="E902">
        <v>5865.76</v>
      </c>
      <c r="F902" t="s">
        <v>36</v>
      </c>
      <c r="G902">
        <v>6568.04</v>
      </c>
      <c r="H902">
        <v>702.28</v>
      </c>
      <c r="I902">
        <v>25</v>
      </c>
      <c r="J902">
        <v>3</v>
      </c>
      <c r="K902" t="str">
        <f>TEXT(discount_impact_on_profit_2000_rows[[#This Row],[order date]],"mmmm")</f>
        <v>February</v>
      </c>
      <c r="L902">
        <f>YEAR(discount_impact_on_profit_2000_rows[[#This Row],[order date]])</f>
        <v>2025</v>
      </c>
      <c r="M902" t="str">
        <f>IF(discount_impact_on_profit_2000_rows[[#This Row],[Discount %]]=0,"Zero Discount",IF(discount_impact_on_profit_2000_rows[[#This Row],[Discount %]]&lt;=10,"Low Discount","High Discount"))</f>
        <v>High Discount</v>
      </c>
      <c r="N902" t="str">
        <f t="shared" si="14"/>
        <v>20-30%</v>
      </c>
    </row>
    <row r="903" spans="1:14">
      <c r="A903" s="1">
        <v>45922</v>
      </c>
      <c r="B903" t="s">
        <v>965</v>
      </c>
      <c r="C903" t="s">
        <v>21</v>
      </c>
      <c r="D903" t="s">
        <v>22</v>
      </c>
      <c r="E903">
        <v>27409.7</v>
      </c>
      <c r="F903" t="s">
        <v>23</v>
      </c>
      <c r="G903">
        <v>28231.99</v>
      </c>
      <c r="H903">
        <v>822.29</v>
      </c>
      <c r="I903">
        <v>25</v>
      </c>
      <c r="J903">
        <v>3</v>
      </c>
      <c r="K903" t="str">
        <f>TEXT(discount_impact_on_profit_2000_rows[[#This Row],[order date]],"mmmm")</f>
        <v>September</v>
      </c>
      <c r="L903">
        <f>YEAR(discount_impact_on_profit_2000_rows[[#This Row],[order date]])</f>
        <v>2025</v>
      </c>
      <c r="M903" t="str">
        <f>IF(discount_impact_on_profit_2000_rows[[#This Row],[Discount %]]=0,"Zero Discount",IF(discount_impact_on_profit_2000_rows[[#This Row],[Discount %]]&lt;=10,"Low Discount","High Discount"))</f>
        <v>High Discount</v>
      </c>
      <c r="N903" t="str">
        <f t="shared" si="14"/>
        <v>20-30%</v>
      </c>
    </row>
    <row r="904" spans="1:14">
      <c r="A904" s="1">
        <v>45775</v>
      </c>
      <c r="B904" t="s">
        <v>966</v>
      </c>
      <c r="C904" t="s">
        <v>18</v>
      </c>
      <c r="D904" t="s">
        <v>188</v>
      </c>
      <c r="E904">
        <v>1989.43</v>
      </c>
      <c r="F904" t="s">
        <v>26</v>
      </c>
      <c r="G904">
        <v>3354.74</v>
      </c>
      <c r="H904">
        <v>1365.31</v>
      </c>
      <c r="I904">
        <v>0</v>
      </c>
      <c r="J904">
        <v>6</v>
      </c>
      <c r="K904" t="str">
        <f>TEXT(discount_impact_on_profit_2000_rows[[#This Row],[order date]],"mmmm")</f>
        <v>April</v>
      </c>
      <c r="L904">
        <f>YEAR(discount_impact_on_profit_2000_rows[[#This Row],[order date]])</f>
        <v>2025</v>
      </c>
      <c r="M904" t="str">
        <f>IF(discount_impact_on_profit_2000_rows[[#This Row],[Discount %]]=0,"Zero Discount",IF(discount_impact_on_profit_2000_rows[[#This Row],[Discount %]]&lt;=10,"Low Discount","High Discount"))</f>
        <v>Zero Discount</v>
      </c>
      <c r="N904" t="str">
        <f t="shared" si="14"/>
        <v>0-10%</v>
      </c>
    </row>
    <row r="905" spans="1:14">
      <c r="A905" s="1">
        <v>45951</v>
      </c>
      <c r="B905" t="s">
        <v>967</v>
      </c>
      <c r="C905" t="s">
        <v>18</v>
      </c>
      <c r="D905" t="s">
        <v>188</v>
      </c>
      <c r="E905">
        <v>863.17</v>
      </c>
      <c r="F905" t="s">
        <v>26</v>
      </c>
      <c r="G905">
        <v>1081.68</v>
      </c>
      <c r="H905">
        <v>218.51</v>
      </c>
      <c r="I905">
        <v>20</v>
      </c>
      <c r="J905">
        <v>2</v>
      </c>
      <c r="K905" t="str">
        <f>TEXT(discount_impact_on_profit_2000_rows[[#This Row],[order date]],"mmmm")</f>
        <v>October</v>
      </c>
      <c r="L905">
        <f>YEAR(discount_impact_on_profit_2000_rows[[#This Row],[order date]])</f>
        <v>2025</v>
      </c>
      <c r="M905" t="str">
        <f>IF(discount_impact_on_profit_2000_rows[[#This Row],[Discount %]]=0,"Zero Discount",IF(discount_impact_on_profit_2000_rows[[#This Row],[Discount %]]&lt;=10,"Low Discount","High Discount"))</f>
        <v>High Discount</v>
      </c>
      <c r="N905" t="str">
        <f t="shared" si="14"/>
        <v>10-20%</v>
      </c>
    </row>
    <row r="906" spans="1:14">
      <c r="A906" s="1">
        <v>45171</v>
      </c>
      <c r="B906" t="s">
        <v>968</v>
      </c>
      <c r="C906" t="s">
        <v>21</v>
      </c>
      <c r="D906" t="s">
        <v>109</v>
      </c>
      <c r="E906">
        <v>83117.539999999994</v>
      </c>
      <c r="F906" t="s">
        <v>26</v>
      </c>
      <c r="G906">
        <v>93219.48</v>
      </c>
      <c r="H906">
        <v>10101.94</v>
      </c>
      <c r="I906">
        <v>10</v>
      </c>
      <c r="J906">
        <v>5</v>
      </c>
      <c r="K906" t="str">
        <f>TEXT(discount_impact_on_profit_2000_rows[[#This Row],[order date]],"mmmm")</f>
        <v>September</v>
      </c>
      <c r="L906">
        <f>YEAR(discount_impact_on_profit_2000_rows[[#This Row],[order date]])</f>
        <v>2023</v>
      </c>
      <c r="M906" t="str">
        <f>IF(discount_impact_on_profit_2000_rows[[#This Row],[Discount %]]=0,"Zero Discount",IF(discount_impact_on_profit_2000_rows[[#This Row],[Discount %]]&lt;=10,"Low Discount","High Discount"))</f>
        <v>Low Discount</v>
      </c>
      <c r="N906" t="str">
        <f t="shared" si="14"/>
        <v>0-10%</v>
      </c>
    </row>
    <row r="907" spans="1:14">
      <c r="A907" s="1">
        <v>45456</v>
      </c>
      <c r="B907" t="s">
        <v>969</v>
      </c>
      <c r="C907" t="s">
        <v>11</v>
      </c>
      <c r="D907" t="s">
        <v>207</v>
      </c>
      <c r="E907">
        <v>270.13</v>
      </c>
      <c r="F907" t="s">
        <v>31</v>
      </c>
      <c r="G907">
        <v>562.76</v>
      </c>
      <c r="H907">
        <v>292.63</v>
      </c>
      <c r="I907">
        <v>5</v>
      </c>
      <c r="J907">
        <v>1</v>
      </c>
      <c r="K907" t="str">
        <f>TEXT(discount_impact_on_profit_2000_rows[[#This Row],[order date]],"mmmm")</f>
        <v>June</v>
      </c>
      <c r="L907">
        <f>YEAR(discount_impact_on_profit_2000_rows[[#This Row],[order date]])</f>
        <v>2024</v>
      </c>
      <c r="M907" t="str">
        <f>IF(discount_impact_on_profit_2000_rows[[#This Row],[Discount %]]=0,"Zero Discount",IF(discount_impact_on_profit_2000_rows[[#This Row],[Discount %]]&lt;=10,"Low Discount","High Discount"))</f>
        <v>Low Discount</v>
      </c>
      <c r="N907" t="str">
        <f t="shared" si="14"/>
        <v>0-10%</v>
      </c>
    </row>
    <row r="908" spans="1:14">
      <c r="A908" s="1">
        <v>45961</v>
      </c>
      <c r="B908" t="s">
        <v>970</v>
      </c>
      <c r="C908" t="s">
        <v>33</v>
      </c>
      <c r="D908" t="s">
        <v>102</v>
      </c>
      <c r="E908">
        <v>23952.52</v>
      </c>
      <c r="F908" t="s">
        <v>26</v>
      </c>
      <c r="G908">
        <v>33388.76</v>
      </c>
      <c r="H908">
        <v>9436.24</v>
      </c>
      <c r="I908">
        <v>15</v>
      </c>
      <c r="J908">
        <v>3</v>
      </c>
      <c r="K908" t="str">
        <f>TEXT(discount_impact_on_profit_2000_rows[[#This Row],[order date]],"mmmm")</f>
        <v>October</v>
      </c>
      <c r="L908">
        <f>YEAR(discount_impact_on_profit_2000_rows[[#This Row],[order date]])</f>
        <v>2025</v>
      </c>
      <c r="M908" t="str">
        <f>IF(discount_impact_on_profit_2000_rows[[#This Row],[Discount %]]=0,"Zero Discount",IF(discount_impact_on_profit_2000_rows[[#This Row],[Discount %]]&lt;=10,"Low Discount","High Discount"))</f>
        <v>High Discount</v>
      </c>
      <c r="N908" t="str">
        <f t="shared" si="14"/>
        <v>10-20%</v>
      </c>
    </row>
    <row r="909" spans="1:14">
      <c r="A909" s="1">
        <v>45935</v>
      </c>
      <c r="B909" t="s">
        <v>971</v>
      </c>
      <c r="C909" t="s">
        <v>21</v>
      </c>
      <c r="D909" t="s">
        <v>82</v>
      </c>
      <c r="E909">
        <v>17391.18</v>
      </c>
      <c r="F909" t="s">
        <v>36</v>
      </c>
      <c r="G909">
        <v>17434.240000000002</v>
      </c>
      <c r="H909">
        <v>43.06</v>
      </c>
      <c r="I909">
        <v>14</v>
      </c>
      <c r="J909">
        <v>1</v>
      </c>
      <c r="K909" t="str">
        <f>TEXT(discount_impact_on_profit_2000_rows[[#This Row],[order date]],"mmmm")</f>
        <v>October</v>
      </c>
      <c r="L909">
        <f>YEAR(discount_impact_on_profit_2000_rows[[#This Row],[order date]])</f>
        <v>2025</v>
      </c>
      <c r="M909" t="str">
        <f>IF(discount_impact_on_profit_2000_rows[[#This Row],[Discount %]]=0,"Zero Discount",IF(discount_impact_on_profit_2000_rows[[#This Row],[Discount %]]&lt;=10,"Low Discount","High Discount"))</f>
        <v>High Discount</v>
      </c>
      <c r="N909" t="str">
        <f t="shared" si="14"/>
        <v>10-20%</v>
      </c>
    </row>
    <row r="910" spans="1:14">
      <c r="A910" s="1">
        <v>45057</v>
      </c>
      <c r="B910" t="s">
        <v>972</v>
      </c>
      <c r="C910" t="s">
        <v>33</v>
      </c>
      <c r="D910" t="s">
        <v>34</v>
      </c>
      <c r="E910">
        <v>14048.31</v>
      </c>
      <c r="F910" t="s">
        <v>26</v>
      </c>
      <c r="G910">
        <v>21918</v>
      </c>
      <c r="H910">
        <v>7869.69</v>
      </c>
      <c r="I910">
        <v>5</v>
      </c>
      <c r="J910">
        <v>4</v>
      </c>
      <c r="K910" t="str">
        <f>TEXT(discount_impact_on_profit_2000_rows[[#This Row],[order date]],"mmmm")</f>
        <v>May</v>
      </c>
      <c r="L910">
        <f>YEAR(discount_impact_on_profit_2000_rows[[#This Row],[order date]])</f>
        <v>2023</v>
      </c>
      <c r="M910" t="str">
        <f>IF(discount_impact_on_profit_2000_rows[[#This Row],[Discount %]]=0,"Zero Discount",IF(discount_impact_on_profit_2000_rows[[#This Row],[Discount %]]&lt;=10,"Low Discount","High Discount"))</f>
        <v>Low Discount</v>
      </c>
      <c r="N910" t="str">
        <f t="shared" si="14"/>
        <v>0-10%</v>
      </c>
    </row>
    <row r="911" spans="1:14">
      <c r="A911" s="1">
        <v>45412</v>
      </c>
      <c r="B911" t="s">
        <v>973</v>
      </c>
      <c r="C911" t="s">
        <v>11</v>
      </c>
      <c r="D911" t="s">
        <v>25</v>
      </c>
      <c r="E911">
        <v>846.47</v>
      </c>
      <c r="F911" t="s">
        <v>13</v>
      </c>
      <c r="G911">
        <v>1169.3</v>
      </c>
      <c r="H911">
        <v>322.83</v>
      </c>
      <c r="I911">
        <v>30</v>
      </c>
      <c r="J911">
        <v>3</v>
      </c>
      <c r="K911" t="str">
        <f>TEXT(discount_impact_on_profit_2000_rows[[#This Row],[order date]],"mmmm")</f>
        <v>April</v>
      </c>
      <c r="L911">
        <f>YEAR(discount_impact_on_profit_2000_rows[[#This Row],[order date]])</f>
        <v>2024</v>
      </c>
      <c r="M911" t="str">
        <f>IF(discount_impact_on_profit_2000_rows[[#This Row],[Discount %]]=0,"Zero Discount",IF(discount_impact_on_profit_2000_rows[[#This Row],[Discount %]]&lt;=10,"Low Discount","High Discount"))</f>
        <v>High Discount</v>
      </c>
      <c r="N911" t="str">
        <f t="shared" si="14"/>
        <v>20-30%</v>
      </c>
    </row>
    <row r="912" spans="1:14">
      <c r="A912" s="1">
        <v>45456</v>
      </c>
      <c r="B912" t="s">
        <v>974</v>
      </c>
      <c r="C912" t="s">
        <v>33</v>
      </c>
      <c r="D912" t="s">
        <v>102</v>
      </c>
      <c r="E912">
        <v>152993.38</v>
      </c>
      <c r="F912" t="s">
        <v>26</v>
      </c>
      <c r="G912">
        <v>236875.56</v>
      </c>
      <c r="H912">
        <v>83882.179999999993</v>
      </c>
      <c r="I912">
        <v>5</v>
      </c>
      <c r="J912">
        <v>10</v>
      </c>
      <c r="K912" t="str">
        <f>TEXT(discount_impact_on_profit_2000_rows[[#This Row],[order date]],"mmmm")</f>
        <v>June</v>
      </c>
      <c r="L912">
        <f>YEAR(discount_impact_on_profit_2000_rows[[#This Row],[order date]])</f>
        <v>2024</v>
      </c>
      <c r="M912" t="str">
        <f>IF(discount_impact_on_profit_2000_rows[[#This Row],[Discount %]]=0,"Zero Discount",IF(discount_impact_on_profit_2000_rows[[#This Row],[Discount %]]&lt;=10,"Low Discount","High Discount"))</f>
        <v>Low Discount</v>
      </c>
      <c r="N912" t="str">
        <f t="shared" si="14"/>
        <v>0-10%</v>
      </c>
    </row>
    <row r="913" spans="1:14">
      <c r="A913" s="1">
        <v>45448</v>
      </c>
      <c r="B913" t="s">
        <v>975</v>
      </c>
      <c r="C913" t="s">
        <v>33</v>
      </c>
      <c r="D913" t="s">
        <v>92</v>
      </c>
      <c r="E913">
        <v>22166.87</v>
      </c>
      <c r="F913" t="s">
        <v>31</v>
      </c>
      <c r="G913">
        <v>22831.88</v>
      </c>
      <c r="H913">
        <v>665.01</v>
      </c>
      <c r="I913">
        <v>23</v>
      </c>
      <c r="J913">
        <v>4</v>
      </c>
      <c r="K913" t="str">
        <f>TEXT(discount_impact_on_profit_2000_rows[[#This Row],[order date]],"mmmm")</f>
        <v>June</v>
      </c>
      <c r="L913">
        <f>YEAR(discount_impact_on_profit_2000_rows[[#This Row],[order date]])</f>
        <v>2024</v>
      </c>
      <c r="M913" t="str">
        <f>IF(discount_impact_on_profit_2000_rows[[#This Row],[Discount %]]=0,"Zero Discount",IF(discount_impact_on_profit_2000_rows[[#This Row],[Discount %]]&lt;=10,"Low Discount","High Discount"))</f>
        <v>High Discount</v>
      </c>
      <c r="N913" t="str">
        <f t="shared" si="14"/>
        <v>20-30%</v>
      </c>
    </row>
    <row r="914" spans="1:14">
      <c r="A914" s="1">
        <v>46014</v>
      </c>
      <c r="B914" t="s">
        <v>976</v>
      </c>
      <c r="C914" t="s">
        <v>18</v>
      </c>
      <c r="D914" t="s">
        <v>50</v>
      </c>
      <c r="E914">
        <v>382.91</v>
      </c>
      <c r="F914" t="s">
        <v>36</v>
      </c>
      <c r="G914">
        <v>626.94000000000005</v>
      </c>
      <c r="H914">
        <v>244.03</v>
      </c>
      <c r="I914">
        <v>30</v>
      </c>
      <c r="J914">
        <v>3</v>
      </c>
      <c r="K914" t="str">
        <f>TEXT(discount_impact_on_profit_2000_rows[[#This Row],[order date]],"mmmm")</f>
        <v>December</v>
      </c>
      <c r="L914">
        <f>YEAR(discount_impact_on_profit_2000_rows[[#This Row],[order date]])</f>
        <v>2025</v>
      </c>
      <c r="M914" t="str">
        <f>IF(discount_impact_on_profit_2000_rows[[#This Row],[Discount %]]=0,"Zero Discount",IF(discount_impact_on_profit_2000_rows[[#This Row],[Discount %]]&lt;=10,"Low Discount","High Discount"))</f>
        <v>High Discount</v>
      </c>
      <c r="N914" t="str">
        <f t="shared" si="14"/>
        <v>20-30%</v>
      </c>
    </row>
    <row r="915" spans="1:14">
      <c r="A915" s="1">
        <v>45667</v>
      </c>
      <c r="B915" t="s">
        <v>977</v>
      </c>
      <c r="C915" t="s">
        <v>18</v>
      </c>
      <c r="D915" t="s">
        <v>140</v>
      </c>
      <c r="E915">
        <v>816.54</v>
      </c>
      <c r="F915" t="s">
        <v>31</v>
      </c>
      <c r="G915">
        <v>1216.57</v>
      </c>
      <c r="H915">
        <v>400.03</v>
      </c>
      <c r="I915">
        <v>10</v>
      </c>
      <c r="J915">
        <v>4</v>
      </c>
      <c r="K915" t="str">
        <f>TEXT(discount_impact_on_profit_2000_rows[[#This Row],[order date]],"mmmm")</f>
        <v>January</v>
      </c>
      <c r="L915">
        <f>YEAR(discount_impact_on_profit_2000_rows[[#This Row],[order date]])</f>
        <v>2025</v>
      </c>
      <c r="M915" t="str">
        <f>IF(discount_impact_on_profit_2000_rows[[#This Row],[Discount %]]=0,"Zero Discount",IF(discount_impact_on_profit_2000_rows[[#This Row],[Discount %]]&lt;=10,"Low Discount","High Discount"))</f>
        <v>Low Discount</v>
      </c>
      <c r="N915" t="str">
        <f t="shared" si="14"/>
        <v>0-10%</v>
      </c>
    </row>
    <row r="916" spans="1:14">
      <c r="A916" s="1">
        <v>45127</v>
      </c>
      <c r="B916" t="s">
        <v>978</v>
      </c>
      <c r="C916" t="s">
        <v>11</v>
      </c>
      <c r="D916" t="s">
        <v>64</v>
      </c>
      <c r="E916">
        <v>12553.01</v>
      </c>
      <c r="F916" t="s">
        <v>23</v>
      </c>
      <c r="G916">
        <v>21066.15</v>
      </c>
      <c r="H916">
        <v>8513.14</v>
      </c>
      <c r="I916">
        <v>0</v>
      </c>
      <c r="J916">
        <v>8</v>
      </c>
      <c r="K916" t="str">
        <f>TEXT(discount_impact_on_profit_2000_rows[[#This Row],[order date]],"mmmm")</f>
        <v>July</v>
      </c>
      <c r="L916">
        <f>YEAR(discount_impact_on_profit_2000_rows[[#This Row],[order date]])</f>
        <v>2023</v>
      </c>
      <c r="M916" t="str">
        <f>IF(discount_impact_on_profit_2000_rows[[#This Row],[Discount %]]=0,"Zero Discount",IF(discount_impact_on_profit_2000_rows[[#This Row],[Discount %]]&lt;=10,"Low Discount","High Discount"))</f>
        <v>Zero Discount</v>
      </c>
      <c r="N916" t="str">
        <f t="shared" si="14"/>
        <v>0-10%</v>
      </c>
    </row>
    <row r="917" spans="1:14">
      <c r="A917" s="1">
        <v>45097</v>
      </c>
      <c r="B917" t="s">
        <v>979</v>
      </c>
      <c r="C917" t="s">
        <v>15</v>
      </c>
      <c r="D917" t="s">
        <v>84</v>
      </c>
      <c r="E917">
        <v>1169.69</v>
      </c>
      <c r="F917" t="s">
        <v>36</v>
      </c>
      <c r="G917">
        <v>1399.73</v>
      </c>
      <c r="H917">
        <v>230.04</v>
      </c>
      <c r="I917">
        <v>10</v>
      </c>
      <c r="J917">
        <v>1</v>
      </c>
      <c r="K917" t="str">
        <f>TEXT(discount_impact_on_profit_2000_rows[[#This Row],[order date]],"mmmm")</f>
        <v>June</v>
      </c>
      <c r="L917">
        <f>YEAR(discount_impact_on_profit_2000_rows[[#This Row],[order date]])</f>
        <v>2023</v>
      </c>
      <c r="M917" t="str">
        <f>IF(discount_impact_on_profit_2000_rows[[#This Row],[Discount %]]=0,"Zero Discount",IF(discount_impact_on_profit_2000_rows[[#This Row],[Discount %]]&lt;=10,"Low Discount","High Discount"))</f>
        <v>Low Discount</v>
      </c>
      <c r="N917" t="str">
        <f t="shared" si="14"/>
        <v>0-10%</v>
      </c>
    </row>
    <row r="918" spans="1:14">
      <c r="A918" s="1">
        <v>45889</v>
      </c>
      <c r="B918" t="s">
        <v>980</v>
      </c>
      <c r="C918" t="s">
        <v>11</v>
      </c>
      <c r="D918" t="s">
        <v>30</v>
      </c>
      <c r="E918">
        <v>517.35</v>
      </c>
      <c r="F918" t="s">
        <v>26</v>
      </c>
      <c r="G918">
        <v>864.13</v>
      </c>
      <c r="H918">
        <v>346.78</v>
      </c>
      <c r="I918">
        <v>5</v>
      </c>
      <c r="J918">
        <v>2</v>
      </c>
      <c r="K918" t="str">
        <f>TEXT(discount_impact_on_profit_2000_rows[[#This Row],[order date]],"mmmm")</f>
        <v>August</v>
      </c>
      <c r="L918">
        <f>YEAR(discount_impact_on_profit_2000_rows[[#This Row],[order date]])</f>
        <v>2025</v>
      </c>
      <c r="M918" t="str">
        <f>IF(discount_impact_on_profit_2000_rows[[#This Row],[Discount %]]=0,"Zero Discount",IF(discount_impact_on_profit_2000_rows[[#This Row],[Discount %]]&lt;=10,"Low Discount","High Discount"))</f>
        <v>Low Discount</v>
      </c>
      <c r="N918" t="str">
        <f t="shared" si="14"/>
        <v>0-10%</v>
      </c>
    </row>
    <row r="919" spans="1:14">
      <c r="A919" s="1">
        <v>45393</v>
      </c>
      <c r="B919" t="s">
        <v>981</v>
      </c>
      <c r="C919" t="s">
        <v>18</v>
      </c>
      <c r="D919" t="s">
        <v>42</v>
      </c>
      <c r="E919">
        <v>63.54</v>
      </c>
      <c r="F919" t="s">
        <v>13</v>
      </c>
      <c r="G919">
        <v>88.2</v>
      </c>
      <c r="H919">
        <v>24.66</v>
      </c>
      <c r="I919">
        <v>15</v>
      </c>
      <c r="J919">
        <v>1</v>
      </c>
      <c r="K919" t="str">
        <f>TEXT(discount_impact_on_profit_2000_rows[[#This Row],[order date]],"mmmm")</f>
        <v>April</v>
      </c>
      <c r="L919">
        <f>YEAR(discount_impact_on_profit_2000_rows[[#This Row],[order date]])</f>
        <v>2024</v>
      </c>
      <c r="M919" t="str">
        <f>IF(discount_impact_on_profit_2000_rows[[#This Row],[Discount %]]=0,"Zero Discount",IF(discount_impact_on_profit_2000_rows[[#This Row],[Discount %]]&lt;=10,"Low Discount","High Discount"))</f>
        <v>High Discount</v>
      </c>
      <c r="N919" t="str">
        <f t="shared" si="14"/>
        <v>10-20%</v>
      </c>
    </row>
    <row r="920" spans="1:14">
      <c r="A920" s="1">
        <v>45644</v>
      </c>
      <c r="B920" t="s">
        <v>982</v>
      </c>
      <c r="C920" t="s">
        <v>11</v>
      </c>
      <c r="D920" t="s">
        <v>25</v>
      </c>
      <c r="E920">
        <v>1421.1</v>
      </c>
      <c r="F920" t="s">
        <v>31</v>
      </c>
      <c r="G920">
        <v>3727.89</v>
      </c>
      <c r="H920">
        <v>2306.79</v>
      </c>
      <c r="I920">
        <v>0</v>
      </c>
      <c r="J920">
        <v>1</v>
      </c>
      <c r="K920" t="str">
        <f>TEXT(discount_impact_on_profit_2000_rows[[#This Row],[order date]],"mmmm")</f>
        <v>December</v>
      </c>
      <c r="L920">
        <f>YEAR(discount_impact_on_profit_2000_rows[[#This Row],[order date]])</f>
        <v>2024</v>
      </c>
      <c r="M920" t="str">
        <f>IF(discount_impact_on_profit_2000_rows[[#This Row],[Discount %]]=0,"Zero Discount",IF(discount_impact_on_profit_2000_rows[[#This Row],[Discount %]]&lt;=10,"Low Discount","High Discount"))</f>
        <v>Zero Discount</v>
      </c>
      <c r="N920" t="str">
        <f t="shared" si="14"/>
        <v>0-10%</v>
      </c>
    </row>
    <row r="921" spans="1:14">
      <c r="A921" s="1">
        <v>44964</v>
      </c>
      <c r="B921" t="s">
        <v>983</v>
      </c>
      <c r="C921" t="s">
        <v>15</v>
      </c>
      <c r="D921" t="s">
        <v>76</v>
      </c>
      <c r="E921">
        <v>3107.87</v>
      </c>
      <c r="F921" t="s">
        <v>13</v>
      </c>
      <c r="G921">
        <v>3121.25</v>
      </c>
      <c r="H921">
        <v>13.38</v>
      </c>
      <c r="I921">
        <v>20</v>
      </c>
      <c r="J921">
        <v>3</v>
      </c>
      <c r="K921" t="str">
        <f>TEXT(discount_impact_on_profit_2000_rows[[#This Row],[order date]],"mmmm")</f>
        <v>February</v>
      </c>
      <c r="L921">
        <f>YEAR(discount_impact_on_profit_2000_rows[[#This Row],[order date]])</f>
        <v>2023</v>
      </c>
      <c r="M921" t="str">
        <f>IF(discount_impact_on_profit_2000_rows[[#This Row],[Discount %]]=0,"Zero Discount",IF(discount_impact_on_profit_2000_rows[[#This Row],[Discount %]]&lt;=10,"Low Discount","High Discount"))</f>
        <v>High Discount</v>
      </c>
      <c r="N921" t="str">
        <f t="shared" si="14"/>
        <v>10-20%</v>
      </c>
    </row>
    <row r="922" spans="1:14">
      <c r="A922" s="1">
        <v>45373</v>
      </c>
      <c r="B922" t="s">
        <v>984</v>
      </c>
      <c r="C922" t="s">
        <v>53</v>
      </c>
      <c r="D922" t="s">
        <v>70</v>
      </c>
      <c r="E922">
        <v>4566.3999999999996</v>
      </c>
      <c r="F922" t="s">
        <v>13</v>
      </c>
      <c r="G922">
        <v>7247.85</v>
      </c>
      <c r="H922">
        <v>2681.45</v>
      </c>
      <c r="I922">
        <v>25</v>
      </c>
      <c r="J922">
        <v>2</v>
      </c>
      <c r="K922" t="str">
        <f>TEXT(discount_impact_on_profit_2000_rows[[#This Row],[order date]],"mmmm")</f>
        <v>March</v>
      </c>
      <c r="L922">
        <f>YEAR(discount_impact_on_profit_2000_rows[[#This Row],[order date]])</f>
        <v>2024</v>
      </c>
      <c r="M922" t="str">
        <f>IF(discount_impact_on_profit_2000_rows[[#This Row],[Discount %]]=0,"Zero Discount",IF(discount_impact_on_profit_2000_rows[[#This Row],[Discount %]]&lt;=10,"Low Discount","High Discount"))</f>
        <v>High Discount</v>
      </c>
      <c r="N922" t="str">
        <f t="shared" si="14"/>
        <v>20-30%</v>
      </c>
    </row>
    <row r="923" spans="1:14">
      <c r="A923" s="1">
        <v>45194</v>
      </c>
      <c r="B923" t="s">
        <v>985</v>
      </c>
      <c r="C923" t="s">
        <v>53</v>
      </c>
      <c r="D923" t="s">
        <v>78</v>
      </c>
      <c r="E923">
        <v>3029.59</v>
      </c>
      <c r="F923" t="s">
        <v>26</v>
      </c>
      <c r="G923">
        <v>4820.96</v>
      </c>
      <c r="H923">
        <v>1791.37</v>
      </c>
      <c r="I923">
        <v>0</v>
      </c>
      <c r="J923">
        <v>4</v>
      </c>
      <c r="K923" t="str">
        <f>TEXT(discount_impact_on_profit_2000_rows[[#This Row],[order date]],"mmmm")</f>
        <v>September</v>
      </c>
      <c r="L923">
        <f>YEAR(discount_impact_on_profit_2000_rows[[#This Row],[order date]])</f>
        <v>2023</v>
      </c>
      <c r="M923" t="str">
        <f>IF(discount_impact_on_profit_2000_rows[[#This Row],[Discount %]]=0,"Zero Discount",IF(discount_impact_on_profit_2000_rows[[#This Row],[Discount %]]&lt;=10,"Low Discount","High Discount"))</f>
        <v>Zero Discount</v>
      </c>
      <c r="N923" t="str">
        <f t="shared" si="14"/>
        <v>0-10%</v>
      </c>
    </row>
    <row r="924" spans="1:14">
      <c r="A924" s="1">
        <v>45623</v>
      </c>
      <c r="B924" t="s">
        <v>986</v>
      </c>
      <c r="C924" t="s">
        <v>53</v>
      </c>
      <c r="D924" t="s">
        <v>78</v>
      </c>
      <c r="E924">
        <v>2951.89</v>
      </c>
      <c r="F924" t="s">
        <v>31</v>
      </c>
      <c r="G924">
        <v>4537.84</v>
      </c>
      <c r="H924">
        <v>1585.95</v>
      </c>
      <c r="I924">
        <v>5</v>
      </c>
      <c r="J924">
        <v>1</v>
      </c>
      <c r="K924" t="str">
        <f>TEXT(discount_impact_on_profit_2000_rows[[#This Row],[order date]],"mmmm")</f>
        <v>November</v>
      </c>
      <c r="L924">
        <f>YEAR(discount_impact_on_profit_2000_rows[[#This Row],[order date]])</f>
        <v>2024</v>
      </c>
      <c r="M924" t="str">
        <f>IF(discount_impact_on_profit_2000_rows[[#This Row],[Discount %]]=0,"Zero Discount",IF(discount_impact_on_profit_2000_rows[[#This Row],[Discount %]]&lt;=10,"Low Discount","High Discount"))</f>
        <v>Low Discount</v>
      </c>
      <c r="N924" t="str">
        <f t="shared" si="14"/>
        <v>0-10%</v>
      </c>
    </row>
    <row r="925" spans="1:14">
      <c r="A925" s="1">
        <v>44987</v>
      </c>
      <c r="B925" t="s">
        <v>987</v>
      </c>
      <c r="C925" t="s">
        <v>11</v>
      </c>
      <c r="D925" t="s">
        <v>25</v>
      </c>
      <c r="E925">
        <v>260.93</v>
      </c>
      <c r="F925" t="s">
        <v>36</v>
      </c>
      <c r="G925">
        <v>501.08</v>
      </c>
      <c r="H925">
        <v>240.15</v>
      </c>
      <c r="I925">
        <v>25</v>
      </c>
      <c r="J925">
        <v>2</v>
      </c>
      <c r="K925" t="str">
        <f>TEXT(discount_impact_on_profit_2000_rows[[#This Row],[order date]],"mmmm")</f>
        <v>March</v>
      </c>
      <c r="L925">
        <f>YEAR(discount_impact_on_profit_2000_rows[[#This Row],[order date]])</f>
        <v>2023</v>
      </c>
      <c r="M925" t="str">
        <f>IF(discount_impact_on_profit_2000_rows[[#This Row],[Discount %]]=0,"Zero Discount",IF(discount_impact_on_profit_2000_rows[[#This Row],[Discount %]]&lt;=10,"Low Discount","High Discount"))</f>
        <v>High Discount</v>
      </c>
      <c r="N925" t="str">
        <f t="shared" si="14"/>
        <v>20-30%</v>
      </c>
    </row>
    <row r="926" spans="1:14">
      <c r="A926" s="1">
        <v>45427</v>
      </c>
      <c r="B926" t="s">
        <v>988</v>
      </c>
      <c r="C926" t="s">
        <v>53</v>
      </c>
      <c r="D926" t="s">
        <v>152</v>
      </c>
      <c r="E926">
        <v>4302.8100000000004</v>
      </c>
      <c r="F926" t="s">
        <v>36</v>
      </c>
      <c r="G926">
        <v>8552.9599999999991</v>
      </c>
      <c r="H926">
        <v>4250.1499999999996</v>
      </c>
      <c r="I926">
        <v>0</v>
      </c>
      <c r="J926">
        <v>2</v>
      </c>
      <c r="K926" t="str">
        <f>TEXT(discount_impact_on_profit_2000_rows[[#This Row],[order date]],"mmmm")</f>
        <v>May</v>
      </c>
      <c r="L926">
        <f>YEAR(discount_impact_on_profit_2000_rows[[#This Row],[order date]])</f>
        <v>2024</v>
      </c>
      <c r="M926" t="str">
        <f>IF(discount_impact_on_profit_2000_rows[[#This Row],[Discount %]]=0,"Zero Discount",IF(discount_impact_on_profit_2000_rows[[#This Row],[Discount %]]&lt;=10,"Low Discount","High Discount"))</f>
        <v>Zero Discount</v>
      </c>
      <c r="N926" t="str">
        <f t="shared" si="14"/>
        <v>0-10%</v>
      </c>
    </row>
    <row r="927" spans="1:14">
      <c r="A927" s="1">
        <v>45306</v>
      </c>
      <c r="B927" t="s">
        <v>989</v>
      </c>
      <c r="C927" t="s">
        <v>53</v>
      </c>
      <c r="D927" t="s">
        <v>95</v>
      </c>
      <c r="E927">
        <v>613.12</v>
      </c>
      <c r="F927" t="s">
        <v>13</v>
      </c>
      <c r="G927">
        <v>1330.09</v>
      </c>
      <c r="H927">
        <v>716.97</v>
      </c>
      <c r="I927">
        <v>0</v>
      </c>
      <c r="J927">
        <v>2</v>
      </c>
      <c r="K927" t="str">
        <f>TEXT(discount_impact_on_profit_2000_rows[[#This Row],[order date]],"mmmm")</f>
        <v>January</v>
      </c>
      <c r="L927">
        <f>YEAR(discount_impact_on_profit_2000_rows[[#This Row],[order date]])</f>
        <v>2024</v>
      </c>
      <c r="M927" t="str">
        <f>IF(discount_impact_on_profit_2000_rows[[#This Row],[Discount %]]=0,"Zero Discount",IF(discount_impact_on_profit_2000_rows[[#This Row],[Discount %]]&lt;=10,"Low Discount","High Discount"))</f>
        <v>Zero Discount</v>
      </c>
      <c r="N927" t="str">
        <f t="shared" si="14"/>
        <v>0-10%</v>
      </c>
    </row>
    <row r="928" spans="1:14">
      <c r="A928" s="1">
        <v>45922</v>
      </c>
      <c r="B928" t="s">
        <v>990</v>
      </c>
      <c r="C928" t="s">
        <v>15</v>
      </c>
      <c r="D928" t="s">
        <v>99</v>
      </c>
      <c r="E928">
        <v>15529.21</v>
      </c>
      <c r="F928" t="s">
        <v>23</v>
      </c>
      <c r="G928">
        <v>17953.48</v>
      </c>
      <c r="H928">
        <v>2424.27</v>
      </c>
      <c r="I928">
        <v>10</v>
      </c>
      <c r="J928">
        <v>10</v>
      </c>
      <c r="K928" t="str">
        <f>TEXT(discount_impact_on_profit_2000_rows[[#This Row],[order date]],"mmmm")</f>
        <v>September</v>
      </c>
      <c r="L928">
        <f>YEAR(discount_impact_on_profit_2000_rows[[#This Row],[order date]])</f>
        <v>2025</v>
      </c>
      <c r="M928" t="str">
        <f>IF(discount_impact_on_profit_2000_rows[[#This Row],[Discount %]]=0,"Zero Discount",IF(discount_impact_on_profit_2000_rows[[#This Row],[Discount %]]&lt;=10,"Low Discount","High Discount"))</f>
        <v>Low Discount</v>
      </c>
      <c r="N928" t="str">
        <f t="shared" si="14"/>
        <v>0-10%</v>
      </c>
    </row>
    <row r="929" spans="1:14">
      <c r="A929" s="1">
        <v>45528</v>
      </c>
      <c r="B929" t="s">
        <v>991</v>
      </c>
      <c r="C929" t="s">
        <v>53</v>
      </c>
      <c r="D929" t="s">
        <v>70</v>
      </c>
      <c r="E929">
        <v>2175.7800000000002</v>
      </c>
      <c r="F929" t="s">
        <v>36</v>
      </c>
      <c r="G929">
        <v>3614.51</v>
      </c>
      <c r="H929">
        <v>1438.73</v>
      </c>
      <c r="I929">
        <v>25</v>
      </c>
      <c r="J929">
        <v>3</v>
      </c>
      <c r="K929" t="str">
        <f>TEXT(discount_impact_on_profit_2000_rows[[#This Row],[order date]],"mmmm")</f>
        <v>August</v>
      </c>
      <c r="L929">
        <f>YEAR(discount_impact_on_profit_2000_rows[[#This Row],[order date]])</f>
        <v>2024</v>
      </c>
      <c r="M929" t="str">
        <f>IF(discount_impact_on_profit_2000_rows[[#This Row],[Discount %]]=0,"Zero Discount",IF(discount_impact_on_profit_2000_rows[[#This Row],[Discount %]]&lt;=10,"Low Discount","High Discount"))</f>
        <v>High Discount</v>
      </c>
      <c r="N929" t="str">
        <f t="shared" si="14"/>
        <v>20-30%</v>
      </c>
    </row>
    <row r="930" spans="1:14">
      <c r="A930" s="1">
        <v>45630</v>
      </c>
      <c r="B930" t="s">
        <v>992</v>
      </c>
      <c r="C930" t="s">
        <v>21</v>
      </c>
      <c r="D930" t="s">
        <v>46</v>
      </c>
      <c r="E930">
        <v>10656.21</v>
      </c>
      <c r="F930" t="s">
        <v>31</v>
      </c>
      <c r="G930">
        <v>15211.6</v>
      </c>
      <c r="H930">
        <v>4555.3900000000003</v>
      </c>
      <c r="I930">
        <v>0</v>
      </c>
      <c r="J930">
        <v>2</v>
      </c>
      <c r="K930" t="str">
        <f>TEXT(discount_impact_on_profit_2000_rows[[#This Row],[order date]],"mmmm")</f>
        <v>December</v>
      </c>
      <c r="L930">
        <f>YEAR(discount_impact_on_profit_2000_rows[[#This Row],[order date]])</f>
        <v>2024</v>
      </c>
      <c r="M930" t="str">
        <f>IF(discount_impact_on_profit_2000_rows[[#This Row],[Discount %]]=0,"Zero Discount",IF(discount_impact_on_profit_2000_rows[[#This Row],[Discount %]]&lt;=10,"Low Discount","High Discount"))</f>
        <v>Zero Discount</v>
      </c>
      <c r="N930" t="str">
        <f t="shared" si="14"/>
        <v>0-10%</v>
      </c>
    </row>
    <row r="931" spans="1:14">
      <c r="A931" s="1">
        <v>45891</v>
      </c>
      <c r="B931" t="s">
        <v>993</v>
      </c>
      <c r="C931" t="s">
        <v>18</v>
      </c>
      <c r="D931" t="s">
        <v>140</v>
      </c>
      <c r="E931">
        <v>1146.3599999999999</v>
      </c>
      <c r="F931" t="s">
        <v>23</v>
      </c>
      <c r="G931">
        <v>1677.8</v>
      </c>
      <c r="H931">
        <v>531.44000000000005</v>
      </c>
      <c r="I931">
        <v>5</v>
      </c>
      <c r="J931">
        <v>6</v>
      </c>
      <c r="K931" t="str">
        <f>TEXT(discount_impact_on_profit_2000_rows[[#This Row],[order date]],"mmmm")</f>
        <v>August</v>
      </c>
      <c r="L931">
        <f>YEAR(discount_impact_on_profit_2000_rows[[#This Row],[order date]])</f>
        <v>2025</v>
      </c>
      <c r="M931" t="str">
        <f>IF(discount_impact_on_profit_2000_rows[[#This Row],[Discount %]]=0,"Zero Discount",IF(discount_impact_on_profit_2000_rows[[#This Row],[Discount %]]&lt;=10,"Low Discount","High Discount"))</f>
        <v>Low Discount</v>
      </c>
      <c r="N931" t="str">
        <f t="shared" si="14"/>
        <v>0-10%</v>
      </c>
    </row>
    <row r="932" spans="1:14">
      <c r="A932" s="1">
        <v>45874</v>
      </c>
      <c r="B932" t="s">
        <v>994</v>
      </c>
      <c r="C932" t="s">
        <v>53</v>
      </c>
      <c r="D932" t="s">
        <v>54</v>
      </c>
      <c r="E932">
        <v>2324.1999999999998</v>
      </c>
      <c r="F932" t="s">
        <v>23</v>
      </c>
      <c r="G932">
        <v>4532.67</v>
      </c>
      <c r="H932">
        <v>2208.4699999999998</v>
      </c>
      <c r="I932">
        <v>0</v>
      </c>
      <c r="J932">
        <v>3</v>
      </c>
      <c r="K932" t="str">
        <f>TEXT(discount_impact_on_profit_2000_rows[[#This Row],[order date]],"mmmm")</f>
        <v>August</v>
      </c>
      <c r="L932">
        <f>YEAR(discount_impact_on_profit_2000_rows[[#This Row],[order date]])</f>
        <v>2025</v>
      </c>
      <c r="M932" t="str">
        <f>IF(discount_impact_on_profit_2000_rows[[#This Row],[Discount %]]=0,"Zero Discount",IF(discount_impact_on_profit_2000_rows[[#This Row],[Discount %]]&lt;=10,"Low Discount","High Discount"))</f>
        <v>Zero Discount</v>
      </c>
      <c r="N932" t="str">
        <f t="shared" si="14"/>
        <v>0-10%</v>
      </c>
    </row>
    <row r="933" spans="1:14">
      <c r="A933" s="1">
        <v>45184</v>
      </c>
      <c r="B933" t="s">
        <v>995</v>
      </c>
      <c r="C933" t="s">
        <v>53</v>
      </c>
      <c r="D933" t="s">
        <v>70</v>
      </c>
      <c r="E933">
        <v>3240.34</v>
      </c>
      <c r="F933" t="s">
        <v>13</v>
      </c>
      <c r="G933">
        <v>5231.66</v>
      </c>
      <c r="H933">
        <v>1991.32</v>
      </c>
      <c r="I933">
        <v>10</v>
      </c>
      <c r="J933">
        <v>4</v>
      </c>
      <c r="K933" t="str">
        <f>TEXT(discount_impact_on_profit_2000_rows[[#This Row],[order date]],"mmmm")</f>
        <v>September</v>
      </c>
      <c r="L933">
        <f>YEAR(discount_impact_on_profit_2000_rows[[#This Row],[order date]])</f>
        <v>2023</v>
      </c>
      <c r="M933" t="str">
        <f>IF(discount_impact_on_profit_2000_rows[[#This Row],[Discount %]]=0,"Zero Discount",IF(discount_impact_on_profit_2000_rows[[#This Row],[Discount %]]&lt;=10,"Low Discount","High Discount"))</f>
        <v>Low Discount</v>
      </c>
      <c r="N933" t="str">
        <f t="shared" si="14"/>
        <v>0-10%</v>
      </c>
    </row>
    <row r="934" spans="1:14">
      <c r="A934" s="1">
        <v>45727</v>
      </c>
      <c r="B934" t="s">
        <v>996</v>
      </c>
      <c r="C934" t="s">
        <v>33</v>
      </c>
      <c r="D934" t="s">
        <v>34</v>
      </c>
      <c r="E934">
        <v>9696.61</v>
      </c>
      <c r="F934" t="s">
        <v>36</v>
      </c>
      <c r="G934">
        <v>11334.12</v>
      </c>
      <c r="H934">
        <v>1637.51</v>
      </c>
      <c r="I934">
        <v>20</v>
      </c>
      <c r="J934">
        <v>2</v>
      </c>
      <c r="K934" t="str">
        <f>TEXT(discount_impact_on_profit_2000_rows[[#This Row],[order date]],"mmmm")</f>
        <v>March</v>
      </c>
      <c r="L934">
        <f>YEAR(discount_impact_on_profit_2000_rows[[#This Row],[order date]])</f>
        <v>2025</v>
      </c>
      <c r="M934" t="str">
        <f>IF(discount_impact_on_profit_2000_rows[[#This Row],[Discount %]]=0,"Zero Discount",IF(discount_impact_on_profit_2000_rows[[#This Row],[Discount %]]&lt;=10,"Low Discount","High Discount"))</f>
        <v>High Discount</v>
      </c>
      <c r="N934" t="str">
        <f t="shared" si="14"/>
        <v>10-20%</v>
      </c>
    </row>
    <row r="935" spans="1:14">
      <c r="A935" s="1">
        <v>45159</v>
      </c>
      <c r="B935" t="s">
        <v>997</v>
      </c>
      <c r="C935" t="s">
        <v>18</v>
      </c>
      <c r="D935" t="s">
        <v>19</v>
      </c>
      <c r="E935">
        <v>197.83</v>
      </c>
      <c r="F935" t="s">
        <v>36</v>
      </c>
      <c r="G935">
        <v>343.49</v>
      </c>
      <c r="H935">
        <v>145.66</v>
      </c>
      <c r="I935">
        <v>10</v>
      </c>
      <c r="J935">
        <v>2</v>
      </c>
      <c r="K935" t="str">
        <f>TEXT(discount_impact_on_profit_2000_rows[[#This Row],[order date]],"mmmm")</f>
        <v>August</v>
      </c>
      <c r="L935">
        <f>YEAR(discount_impact_on_profit_2000_rows[[#This Row],[order date]])</f>
        <v>2023</v>
      </c>
      <c r="M935" t="str">
        <f>IF(discount_impact_on_profit_2000_rows[[#This Row],[Discount %]]=0,"Zero Discount",IF(discount_impact_on_profit_2000_rows[[#This Row],[Discount %]]&lt;=10,"Low Discount","High Discount"))</f>
        <v>Low Discount</v>
      </c>
      <c r="N935" t="str">
        <f t="shared" si="14"/>
        <v>0-10%</v>
      </c>
    </row>
    <row r="936" spans="1:14">
      <c r="A936" s="1">
        <v>45730</v>
      </c>
      <c r="B936" t="s">
        <v>998</v>
      </c>
      <c r="C936" t="s">
        <v>18</v>
      </c>
      <c r="D936" t="s">
        <v>104</v>
      </c>
      <c r="E936">
        <v>787.23</v>
      </c>
      <c r="F936" t="s">
        <v>36</v>
      </c>
      <c r="G936">
        <v>1208.79</v>
      </c>
      <c r="H936">
        <v>421.56</v>
      </c>
      <c r="I936">
        <v>15</v>
      </c>
      <c r="J936">
        <v>3</v>
      </c>
      <c r="K936" t="str">
        <f>TEXT(discount_impact_on_profit_2000_rows[[#This Row],[order date]],"mmmm")</f>
        <v>March</v>
      </c>
      <c r="L936">
        <f>YEAR(discount_impact_on_profit_2000_rows[[#This Row],[order date]])</f>
        <v>2025</v>
      </c>
      <c r="M936" t="str">
        <f>IF(discount_impact_on_profit_2000_rows[[#This Row],[Discount %]]=0,"Zero Discount",IF(discount_impact_on_profit_2000_rows[[#This Row],[Discount %]]&lt;=10,"Low Discount","High Discount"))</f>
        <v>High Discount</v>
      </c>
      <c r="N936" t="str">
        <f t="shared" si="14"/>
        <v>10-20%</v>
      </c>
    </row>
    <row r="937" spans="1:14">
      <c r="A937" s="1">
        <v>45491</v>
      </c>
      <c r="B937" t="s">
        <v>999</v>
      </c>
      <c r="C937" t="s">
        <v>21</v>
      </c>
      <c r="D937" t="s">
        <v>57</v>
      </c>
      <c r="E937">
        <v>5446.26</v>
      </c>
      <c r="F937" t="s">
        <v>36</v>
      </c>
      <c r="G937">
        <v>6229.1</v>
      </c>
      <c r="H937">
        <v>782.84</v>
      </c>
      <c r="I937">
        <v>5</v>
      </c>
      <c r="J937">
        <v>1</v>
      </c>
      <c r="K937" t="str">
        <f>TEXT(discount_impact_on_profit_2000_rows[[#This Row],[order date]],"mmmm")</f>
        <v>July</v>
      </c>
      <c r="L937">
        <f>YEAR(discount_impact_on_profit_2000_rows[[#This Row],[order date]])</f>
        <v>2024</v>
      </c>
      <c r="M937" t="str">
        <f>IF(discount_impact_on_profit_2000_rows[[#This Row],[Discount %]]=0,"Zero Discount",IF(discount_impact_on_profit_2000_rows[[#This Row],[Discount %]]&lt;=10,"Low Discount","High Discount"))</f>
        <v>Low Discount</v>
      </c>
      <c r="N937" t="str">
        <f t="shared" si="14"/>
        <v>0-10%</v>
      </c>
    </row>
    <row r="938" spans="1:14">
      <c r="A938" s="1">
        <v>45524</v>
      </c>
      <c r="B938" t="s">
        <v>1000</v>
      </c>
      <c r="C938" t="s">
        <v>53</v>
      </c>
      <c r="D938" t="s">
        <v>59</v>
      </c>
      <c r="E938">
        <v>10845.63</v>
      </c>
      <c r="F938" t="s">
        <v>23</v>
      </c>
      <c r="G938">
        <v>20031.54</v>
      </c>
      <c r="H938">
        <v>9185.91</v>
      </c>
      <c r="I938">
        <v>15</v>
      </c>
      <c r="J938">
        <v>5</v>
      </c>
      <c r="K938" t="str">
        <f>TEXT(discount_impact_on_profit_2000_rows[[#This Row],[order date]],"mmmm")</f>
        <v>August</v>
      </c>
      <c r="L938">
        <f>YEAR(discount_impact_on_profit_2000_rows[[#This Row],[order date]])</f>
        <v>2024</v>
      </c>
      <c r="M938" t="str">
        <f>IF(discount_impact_on_profit_2000_rows[[#This Row],[Discount %]]=0,"Zero Discount",IF(discount_impact_on_profit_2000_rows[[#This Row],[Discount %]]&lt;=10,"Low Discount","High Discount"))</f>
        <v>High Discount</v>
      </c>
      <c r="N938" t="str">
        <f t="shared" si="14"/>
        <v>10-20%</v>
      </c>
    </row>
    <row r="939" spans="1:14">
      <c r="A939" s="1">
        <v>45530</v>
      </c>
      <c r="B939" t="s">
        <v>1001</v>
      </c>
      <c r="C939" t="s">
        <v>21</v>
      </c>
      <c r="D939" t="s">
        <v>123</v>
      </c>
      <c r="E939">
        <v>1189.68</v>
      </c>
      <c r="F939" t="s">
        <v>36</v>
      </c>
      <c r="G939">
        <v>1646.01</v>
      </c>
      <c r="H939">
        <v>456.33</v>
      </c>
      <c r="I939">
        <v>5</v>
      </c>
      <c r="J939">
        <v>1</v>
      </c>
      <c r="K939" t="str">
        <f>TEXT(discount_impact_on_profit_2000_rows[[#This Row],[order date]],"mmmm")</f>
        <v>August</v>
      </c>
      <c r="L939">
        <f>YEAR(discount_impact_on_profit_2000_rows[[#This Row],[order date]])</f>
        <v>2024</v>
      </c>
      <c r="M939" t="str">
        <f>IF(discount_impact_on_profit_2000_rows[[#This Row],[Discount %]]=0,"Zero Discount",IF(discount_impact_on_profit_2000_rows[[#This Row],[Discount %]]&lt;=10,"Low Discount","High Discount"))</f>
        <v>Low Discount</v>
      </c>
      <c r="N939" t="str">
        <f t="shared" si="14"/>
        <v>0-10%</v>
      </c>
    </row>
    <row r="940" spans="1:14">
      <c r="A940" s="1">
        <v>45593</v>
      </c>
      <c r="B940" t="s">
        <v>1002</v>
      </c>
      <c r="C940" t="s">
        <v>53</v>
      </c>
      <c r="D940" t="s">
        <v>59</v>
      </c>
      <c r="E940">
        <v>572.66</v>
      </c>
      <c r="F940" t="s">
        <v>23</v>
      </c>
      <c r="G940">
        <v>818.13</v>
      </c>
      <c r="H940">
        <v>245.47</v>
      </c>
      <c r="I940">
        <v>10</v>
      </c>
      <c r="J940">
        <v>1</v>
      </c>
      <c r="K940" t="str">
        <f>TEXT(discount_impact_on_profit_2000_rows[[#This Row],[order date]],"mmmm")</f>
        <v>October</v>
      </c>
      <c r="L940">
        <f>YEAR(discount_impact_on_profit_2000_rows[[#This Row],[order date]])</f>
        <v>2024</v>
      </c>
      <c r="M940" t="str">
        <f>IF(discount_impact_on_profit_2000_rows[[#This Row],[Discount %]]=0,"Zero Discount",IF(discount_impact_on_profit_2000_rows[[#This Row],[Discount %]]&lt;=10,"Low Discount","High Discount"))</f>
        <v>Low Discount</v>
      </c>
      <c r="N940" t="str">
        <f t="shared" si="14"/>
        <v>0-10%</v>
      </c>
    </row>
    <row r="941" spans="1:14">
      <c r="A941" s="1">
        <v>45391</v>
      </c>
      <c r="B941" t="s">
        <v>1003</v>
      </c>
      <c r="C941" t="s">
        <v>18</v>
      </c>
      <c r="D941" t="s">
        <v>140</v>
      </c>
      <c r="E941">
        <v>517.55999999999995</v>
      </c>
      <c r="F941" t="s">
        <v>13</v>
      </c>
      <c r="G941">
        <v>1010.56</v>
      </c>
      <c r="H941">
        <v>493</v>
      </c>
      <c r="I941">
        <v>0</v>
      </c>
      <c r="J941">
        <v>3</v>
      </c>
      <c r="K941" t="str">
        <f>TEXT(discount_impact_on_profit_2000_rows[[#This Row],[order date]],"mmmm")</f>
        <v>April</v>
      </c>
      <c r="L941">
        <f>YEAR(discount_impact_on_profit_2000_rows[[#This Row],[order date]])</f>
        <v>2024</v>
      </c>
      <c r="M941" t="str">
        <f>IF(discount_impact_on_profit_2000_rows[[#This Row],[Discount %]]=0,"Zero Discount",IF(discount_impact_on_profit_2000_rows[[#This Row],[Discount %]]&lt;=10,"Low Discount","High Discount"))</f>
        <v>Zero Discount</v>
      </c>
      <c r="N941" t="str">
        <f t="shared" si="14"/>
        <v>0-10%</v>
      </c>
    </row>
    <row r="942" spans="1:14">
      <c r="A942" s="1">
        <v>45898</v>
      </c>
      <c r="B942" t="s">
        <v>1004</v>
      </c>
      <c r="C942" t="s">
        <v>21</v>
      </c>
      <c r="D942" t="s">
        <v>46</v>
      </c>
      <c r="E942">
        <v>40856.89</v>
      </c>
      <c r="F942" t="s">
        <v>36</v>
      </c>
      <c r="G942">
        <v>44810.95</v>
      </c>
      <c r="H942">
        <v>3954.06</v>
      </c>
      <c r="I942">
        <v>15</v>
      </c>
      <c r="J942">
        <v>4</v>
      </c>
      <c r="K942" t="str">
        <f>TEXT(discount_impact_on_profit_2000_rows[[#This Row],[order date]],"mmmm")</f>
        <v>August</v>
      </c>
      <c r="L942">
        <f>YEAR(discount_impact_on_profit_2000_rows[[#This Row],[order date]])</f>
        <v>2025</v>
      </c>
      <c r="M942" t="str">
        <f>IF(discount_impact_on_profit_2000_rows[[#This Row],[Discount %]]=0,"Zero Discount",IF(discount_impact_on_profit_2000_rows[[#This Row],[Discount %]]&lt;=10,"Low Discount","High Discount"))</f>
        <v>High Discount</v>
      </c>
      <c r="N942" t="str">
        <f t="shared" si="14"/>
        <v>10-20%</v>
      </c>
    </row>
    <row r="943" spans="1:14">
      <c r="A943" s="1">
        <v>45876</v>
      </c>
      <c r="B943" t="s">
        <v>1005</v>
      </c>
      <c r="C943" t="s">
        <v>18</v>
      </c>
      <c r="D943" t="s">
        <v>188</v>
      </c>
      <c r="E943">
        <v>703.29</v>
      </c>
      <c r="F943" t="s">
        <v>13</v>
      </c>
      <c r="G943">
        <v>1134.0899999999999</v>
      </c>
      <c r="H943">
        <v>430.8</v>
      </c>
      <c r="I943">
        <v>15</v>
      </c>
      <c r="J943">
        <v>2</v>
      </c>
      <c r="K943" t="str">
        <f>TEXT(discount_impact_on_profit_2000_rows[[#This Row],[order date]],"mmmm")</f>
        <v>August</v>
      </c>
      <c r="L943">
        <f>YEAR(discount_impact_on_profit_2000_rows[[#This Row],[order date]])</f>
        <v>2025</v>
      </c>
      <c r="M943" t="str">
        <f>IF(discount_impact_on_profit_2000_rows[[#This Row],[Discount %]]=0,"Zero Discount",IF(discount_impact_on_profit_2000_rows[[#This Row],[Discount %]]&lt;=10,"Low Discount","High Discount"))</f>
        <v>High Discount</v>
      </c>
      <c r="N943" t="str">
        <f t="shared" si="14"/>
        <v>10-20%</v>
      </c>
    </row>
    <row r="944" spans="1:14">
      <c r="A944" s="1">
        <v>45665</v>
      </c>
      <c r="B944" t="s">
        <v>1006</v>
      </c>
      <c r="C944" t="s">
        <v>18</v>
      </c>
      <c r="D944" t="s">
        <v>188</v>
      </c>
      <c r="E944">
        <v>1717.93</v>
      </c>
      <c r="F944" t="s">
        <v>26</v>
      </c>
      <c r="G944">
        <v>1876.2</v>
      </c>
      <c r="H944">
        <v>158.27000000000001</v>
      </c>
      <c r="I944">
        <v>25</v>
      </c>
      <c r="J944">
        <v>3</v>
      </c>
      <c r="K944" t="str">
        <f>TEXT(discount_impact_on_profit_2000_rows[[#This Row],[order date]],"mmmm")</f>
        <v>January</v>
      </c>
      <c r="L944">
        <f>YEAR(discount_impact_on_profit_2000_rows[[#This Row],[order date]])</f>
        <v>2025</v>
      </c>
      <c r="M944" t="str">
        <f>IF(discount_impact_on_profit_2000_rows[[#This Row],[Discount %]]=0,"Zero Discount",IF(discount_impact_on_profit_2000_rows[[#This Row],[Discount %]]&lt;=10,"Low Discount","High Discount"))</f>
        <v>High Discount</v>
      </c>
      <c r="N944" t="str">
        <f t="shared" si="14"/>
        <v>20-30%</v>
      </c>
    </row>
    <row r="945" spans="1:14">
      <c r="A945" s="1">
        <v>45808</v>
      </c>
      <c r="B945" t="s">
        <v>1007</v>
      </c>
      <c r="C945" t="s">
        <v>18</v>
      </c>
      <c r="D945" t="s">
        <v>188</v>
      </c>
      <c r="E945">
        <v>2949.02</v>
      </c>
      <c r="F945" t="s">
        <v>13</v>
      </c>
      <c r="G945">
        <v>4322.59</v>
      </c>
      <c r="H945">
        <v>1373.57</v>
      </c>
      <c r="I945">
        <v>25</v>
      </c>
      <c r="J945">
        <v>6</v>
      </c>
      <c r="K945" t="str">
        <f>TEXT(discount_impact_on_profit_2000_rows[[#This Row],[order date]],"mmmm")</f>
        <v>May</v>
      </c>
      <c r="L945">
        <f>YEAR(discount_impact_on_profit_2000_rows[[#This Row],[order date]])</f>
        <v>2025</v>
      </c>
      <c r="M945" t="str">
        <f>IF(discount_impact_on_profit_2000_rows[[#This Row],[Discount %]]=0,"Zero Discount",IF(discount_impact_on_profit_2000_rows[[#This Row],[Discount %]]&lt;=10,"Low Discount","High Discount"))</f>
        <v>High Discount</v>
      </c>
      <c r="N945" t="str">
        <f t="shared" si="14"/>
        <v>20-30%</v>
      </c>
    </row>
    <row r="946" spans="1:14">
      <c r="A946" s="1">
        <v>45792</v>
      </c>
      <c r="B946" t="s">
        <v>1008</v>
      </c>
      <c r="C946" t="s">
        <v>53</v>
      </c>
      <c r="D946" t="s">
        <v>78</v>
      </c>
      <c r="E946">
        <v>401.23</v>
      </c>
      <c r="F946" t="s">
        <v>31</v>
      </c>
      <c r="G946">
        <v>496.69</v>
      </c>
      <c r="H946">
        <v>95.46</v>
      </c>
      <c r="I946">
        <v>20</v>
      </c>
      <c r="J946">
        <v>1</v>
      </c>
      <c r="K946" t="str">
        <f>TEXT(discount_impact_on_profit_2000_rows[[#This Row],[order date]],"mmmm")</f>
        <v>May</v>
      </c>
      <c r="L946">
        <f>YEAR(discount_impact_on_profit_2000_rows[[#This Row],[order date]])</f>
        <v>2025</v>
      </c>
      <c r="M946" t="str">
        <f>IF(discount_impact_on_profit_2000_rows[[#This Row],[Discount %]]=0,"Zero Discount",IF(discount_impact_on_profit_2000_rows[[#This Row],[Discount %]]&lt;=10,"Low Discount","High Discount"))</f>
        <v>High Discount</v>
      </c>
      <c r="N946" t="str">
        <f t="shared" si="14"/>
        <v>10-20%</v>
      </c>
    </row>
    <row r="947" spans="1:14">
      <c r="A947" s="1">
        <v>45597</v>
      </c>
      <c r="B947" t="s">
        <v>1009</v>
      </c>
      <c r="C947" t="s">
        <v>53</v>
      </c>
      <c r="D947" t="s">
        <v>70</v>
      </c>
      <c r="E947">
        <v>962.56</v>
      </c>
      <c r="F947" t="s">
        <v>31</v>
      </c>
      <c r="G947">
        <v>1322.78</v>
      </c>
      <c r="H947">
        <v>360.22</v>
      </c>
      <c r="I947">
        <v>15</v>
      </c>
      <c r="J947">
        <v>2</v>
      </c>
      <c r="K947" t="str">
        <f>TEXT(discount_impact_on_profit_2000_rows[[#This Row],[order date]],"mmmm")</f>
        <v>November</v>
      </c>
      <c r="L947">
        <f>YEAR(discount_impact_on_profit_2000_rows[[#This Row],[order date]])</f>
        <v>2024</v>
      </c>
      <c r="M947" t="str">
        <f>IF(discount_impact_on_profit_2000_rows[[#This Row],[Discount %]]=0,"Zero Discount",IF(discount_impact_on_profit_2000_rows[[#This Row],[Discount %]]&lt;=10,"Low Discount","High Discount"))</f>
        <v>High Discount</v>
      </c>
      <c r="N947" t="str">
        <f t="shared" si="14"/>
        <v>10-20%</v>
      </c>
    </row>
    <row r="948" spans="1:14">
      <c r="A948" s="1">
        <v>45003</v>
      </c>
      <c r="B948" t="s">
        <v>1010</v>
      </c>
      <c r="C948" t="s">
        <v>53</v>
      </c>
      <c r="D948" t="s">
        <v>70</v>
      </c>
      <c r="E948">
        <v>648.67999999999995</v>
      </c>
      <c r="F948" t="s">
        <v>26</v>
      </c>
      <c r="G948">
        <v>1340.04</v>
      </c>
      <c r="H948">
        <v>691.36</v>
      </c>
      <c r="I948">
        <v>10</v>
      </c>
      <c r="J948">
        <v>1</v>
      </c>
      <c r="K948" t="str">
        <f>TEXT(discount_impact_on_profit_2000_rows[[#This Row],[order date]],"mmmm")</f>
        <v>March</v>
      </c>
      <c r="L948">
        <f>YEAR(discount_impact_on_profit_2000_rows[[#This Row],[order date]])</f>
        <v>2023</v>
      </c>
      <c r="M948" t="str">
        <f>IF(discount_impact_on_profit_2000_rows[[#This Row],[Discount %]]=0,"Zero Discount",IF(discount_impact_on_profit_2000_rows[[#This Row],[Discount %]]&lt;=10,"Low Discount","High Discount"))</f>
        <v>Low Discount</v>
      </c>
      <c r="N948" t="str">
        <f t="shared" si="14"/>
        <v>0-10%</v>
      </c>
    </row>
    <row r="949" spans="1:14">
      <c r="A949" s="1">
        <v>45763</v>
      </c>
      <c r="B949" t="s">
        <v>1011</v>
      </c>
      <c r="C949" t="s">
        <v>21</v>
      </c>
      <c r="D949" t="s">
        <v>22</v>
      </c>
      <c r="E949">
        <v>3536.42</v>
      </c>
      <c r="F949" t="s">
        <v>26</v>
      </c>
      <c r="G949">
        <v>4553.37</v>
      </c>
      <c r="H949">
        <v>1016.95</v>
      </c>
      <c r="I949">
        <v>0</v>
      </c>
      <c r="J949">
        <v>1</v>
      </c>
      <c r="K949" t="str">
        <f>TEXT(discount_impact_on_profit_2000_rows[[#This Row],[order date]],"mmmm")</f>
        <v>April</v>
      </c>
      <c r="L949">
        <f>YEAR(discount_impact_on_profit_2000_rows[[#This Row],[order date]])</f>
        <v>2025</v>
      </c>
      <c r="M949" t="str">
        <f>IF(discount_impact_on_profit_2000_rows[[#This Row],[Discount %]]=0,"Zero Discount",IF(discount_impact_on_profit_2000_rows[[#This Row],[Discount %]]&lt;=10,"Low Discount","High Discount"))</f>
        <v>Zero Discount</v>
      </c>
      <c r="N949" t="str">
        <f t="shared" si="14"/>
        <v>0-10%</v>
      </c>
    </row>
    <row r="950" spans="1:14">
      <c r="A950" s="1">
        <v>45714</v>
      </c>
      <c r="B950" t="s">
        <v>1012</v>
      </c>
      <c r="C950" t="s">
        <v>21</v>
      </c>
      <c r="D950" t="s">
        <v>154</v>
      </c>
      <c r="E950">
        <v>4748.84</v>
      </c>
      <c r="F950" t="s">
        <v>13</v>
      </c>
      <c r="G950">
        <v>5848.84</v>
      </c>
      <c r="H950">
        <v>1100</v>
      </c>
      <c r="I950">
        <v>0</v>
      </c>
      <c r="J950">
        <v>3</v>
      </c>
      <c r="K950" t="str">
        <f>TEXT(discount_impact_on_profit_2000_rows[[#This Row],[order date]],"mmmm")</f>
        <v>February</v>
      </c>
      <c r="L950">
        <f>YEAR(discount_impact_on_profit_2000_rows[[#This Row],[order date]])</f>
        <v>2025</v>
      </c>
      <c r="M950" t="str">
        <f>IF(discount_impact_on_profit_2000_rows[[#This Row],[Discount %]]=0,"Zero Discount",IF(discount_impact_on_profit_2000_rows[[#This Row],[Discount %]]&lt;=10,"Low Discount","High Discount"))</f>
        <v>Zero Discount</v>
      </c>
      <c r="N950" t="str">
        <f t="shared" si="14"/>
        <v>0-10%</v>
      </c>
    </row>
    <row r="951" spans="1:14">
      <c r="A951" s="1">
        <v>45139</v>
      </c>
      <c r="B951" t="s">
        <v>1013</v>
      </c>
      <c r="C951" t="s">
        <v>15</v>
      </c>
      <c r="D951" t="s">
        <v>28</v>
      </c>
      <c r="E951">
        <v>4644.46</v>
      </c>
      <c r="F951" t="s">
        <v>26</v>
      </c>
      <c r="G951">
        <v>5920.4</v>
      </c>
      <c r="H951">
        <v>1275.94</v>
      </c>
      <c r="I951">
        <v>10</v>
      </c>
      <c r="J951">
        <v>1</v>
      </c>
      <c r="K951" t="str">
        <f>TEXT(discount_impact_on_profit_2000_rows[[#This Row],[order date]],"mmmm")</f>
        <v>August</v>
      </c>
      <c r="L951">
        <f>YEAR(discount_impact_on_profit_2000_rows[[#This Row],[order date]])</f>
        <v>2023</v>
      </c>
      <c r="M951" t="str">
        <f>IF(discount_impact_on_profit_2000_rows[[#This Row],[Discount %]]=0,"Zero Discount",IF(discount_impact_on_profit_2000_rows[[#This Row],[Discount %]]&lt;=10,"Low Discount","High Discount"))</f>
        <v>Low Discount</v>
      </c>
      <c r="N951" t="str">
        <f t="shared" si="14"/>
        <v>0-10%</v>
      </c>
    </row>
    <row r="952" spans="1:14">
      <c r="A952" s="1">
        <v>45322</v>
      </c>
      <c r="B952" t="s">
        <v>1014</v>
      </c>
      <c r="C952" t="s">
        <v>15</v>
      </c>
      <c r="D952" t="s">
        <v>28</v>
      </c>
      <c r="E952">
        <v>5216.88</v>
      </c>
      <c r="F952" t="s">
        <v>26</v>
      </c>
      <c r="G952">
        <v>5897.06</v>
      </c>
      <c r="H952">
        <v>680.18</v>
      </c>
      <c r="I952">
        <v>10</v>
      </c>
      <c r="J952">
        <v>2</v>
      </c>
      <c r="K952" t="str">
        <f>TEXT(discount_impact_on_profit_2000_rows[[#This Row],[order date]],"mmmm")</f>
        <v>January</v>
      </c>
      <c r="L952">
        <f>YEAR(discount_impact_on_profit_2000_rows[[#This Row],[order date]])</f>
        <v>2024</v>
      </c>
      <c r="M952" t="str">
        <f>IF(discount_impact_on_profit_2000_rows[[#This Row],[Discount %]]=0,"Zero Discount",IF(discount_impact_on_profit_2000_rows[[#This Row],[Discount %]]&lt;=10,"Low Discount","High Discount"))</f>
        <v>Low Discount</v>
      </c>
      <c r="N952" t="str">
        <f t="shared" si="14"/>
        <v>0-10%</v>
      </c>
    </row>
    <row r="953" spans="1:14">
      <c r="A953" s="1">
        <v>45064</v>
      </c>
      <c r="B953" t="s">
        <v>1015</v>
      </c>
      <c r="C953" t="s">
        <v>11</v>
      </c>
      <c r="D953" t="s">
        <v>12</v>
      </c>
      <c r="E953">
        <v>9006.4599999999991</v>
      </c>
      <c r="F953" t="s">
        <v>13</v>
      </c>
      <c r="G953">
        <v>13528.82</v>
      </c>
      <c r="H953">
        <v>4522.3599999999997</v>
      </c>
      <c r="I953">
        <v>5</v>
      </c>
      <c r="J953">
        <v>5</v>
      </c>
      <c r="K953" t="str">
        <f>TEXT(discount_impact_on_profit_2000_rows[[#This Row],[order date]],"mmmm")</f>
        <v>May</v>
      </c>
      <c r="L953">
        <f>YEAR(discount_impact_on_profit_2000_rows[[#This Row],[order date]])</f>
        <v>2023</v>
      </c>
      <c r="M953" t="str">
        <f>IF(discount_impact_on_profit_2000_rows[[#This Row],[Discount %]]=0,"Zero Discount",IF(discount_impact_on_profit_2000_rows[[#This Row],[Discount %]]&lt;=10,"Low Discount","High Discount"))</f>
        <v>Low Discount</v>
      </c>
      <c r="N953" t="str">
        <f t="shared" si="14"/>
        <v>0-10%</v>
      </c>
    </row>
    <row r="954" spans="1:14">
      <c r="A954" s="1">
        <v>45854</v>
      </c>
      <c r="B954" t="s">
        <v>1016</v>
      </c>
      <c r="C954" t="s">
        <v>11</v>
      </c>
      <c r="D954" t="s">
        <v>207</v>
      </c>
      <c r="E954">
        <v>346.99</v>
      </c>
      <c r="F954" t="s">
        <v>36</v>
      </c>
      <c r="G954">
        <v>711.68</v>
      </c>
      <c r="H954">
        <v>364.69</v>
      </c>
      <c r="I954">
        <v>20</v>
      </c>
      <c r="J954">
        <v>2</v>
      </c>
      <c r="K954" t="str">
        <f>TEXT(discount_impact_on_profit_2000_rows[[#This Row],[order date]],"mmmm")</f>
        <v>July</v>
      </c>
      <c r="L954">
        <f>YEAR(discount_impact_on_profit_2000_rows[[#This Row],[order date]])</f>
        <v>2025</v>
      </c>
      <c r="M954" t="str">
        <f>IF(discount_impact_on_profit_2000_rows[[#This Row],[Discount %]]=0,"Zero Discount",IF(discount_impact_on_profit_2000_rows[[#This Row],[Discount %]]&lt;=10,"Low Discount","High Discount"))</f>
        <v>High Discount</v>
      </c>
      <c r="N954" t="str">
        <f t="shared" si="14"/>
        <v>10-20%</v>
      </c>
    </row>
    <row r="955" spans="1:14">
      <c r="A955" s="1">
        <v>45145</v>
      </c>
      <c r="B955" t="s">
        <v>1017</v>
      </c>
      <c r="C955" t="s">
        <v>11</v>
      </c>
      <c r="D955" t="s">
        <v>30</v>
      </c>
      <c r="E955">
        <v>2833.94</v>
      </c>
      <c r="F955" t="s">
        <v>36</v>
      </c>
      <c r="G955">
        <v>4459.33</v>
      </c>
      <c r="H955">
        <v>1625.39</v>
      </c>
      <c r="I955">
        <v>15</v>
      </c>
      <c r="J955">
        <v>10</v>
      </c>
      <c r="K955" t="str">
        <f>TEXT(discount_impact_on_profit_2000_rows[[#This Row],[order date]],"mmmm")</f>
        <v>August</v>
      </c>
      <c r="L955">
        <f>YEAR(discount_impact_on_profit_2000_rows[[#This Row],[order date]])</f>
        <v>2023</v>
      </c>
      <c r="M955" t="str">
        <f>IF(discount_impact_on_profit_2000_rows[[#This Row],[Discount %]]=0,"Zero Discount",IF(discount_impact_on_profit_2000_rows[[#This Row],[Discount %]]&lt;=10,"Low Discount","High Discount"))</f>
        <v>High Discount</v>
      </c>
      <c r="N955" t="str">
        <f t="shared" si="14"/>
        <v>10-20%</v>
      </c>
    </row>
    <row r="956" spans="1:14">
      <c r="A956" s="1">
        <v>45708</v>
      </c>
      <c r="B956" t="s">
        <v>1018</v>
      </c>
      <c r="C956" t="s">
        <v>18</v>
      </c>
      <c r="D956" t="s">
        <v>19</v>
      </c>
      <c r="E956">
        <v>512.76</v>
      </c>
      <c r="F956" t="s">
        <v>36</v>
      </c>
      <c r="G956">
        <v>1185.6199999999999</v>
      </c>
      <c r="H956">
        <v>672.86</v>
      </c>
      <c r="I956">
        <v>0</v>
      </c>
      <c r="J956">
        <v>2</v>
      </c>
      <c r="K956" t="str">
        <f>TEXT(discount_impact_on_profit_2000_rows[[#This Row],[order date]],"mmmm")</f>
        <v>February</v>
      </c>
      <c r="L956">
        <f>YEAR(discount_impact_on_profit_2000_rows[[#This Row],[order date]])</f>
        <v>2025</v>
      </c>
      <c r="M956" t="str">
        <f>IF(discount_impact_on_profit_2000_rows[[#This Row],[Discount %]]=0,"Zero Discount",IF(discount_impact_on_profit_2000_rows[[#This Row],[Discount %]]&lt;=10,"Low Discount","High Discount"))</f>
        <v>Zero Discount</v>
      </c>
      <c r="N956" t="str">
        <f t="shared" si="14"/>
        <v>0-10%</v>
      </c>
    </row>
    <row r="957" spans="1:14">
      <c r="A957" s="1">
        <v>45318</v>
      </c>
      <c r="B957" t="s">
        <v>1019</v>
      </c>
      <c r="C957" t="s">
        <v>18</v>
      </c>
      <c r="D957" t="s">
        <v>42</v>
      </c>
      <c r="E957">
        <v>56.14</v>
      </c>
      <c r="F957" t="s">
        <v>26</v>
      </c>
      <c r="G957">
        <v>116.17</v>
      </c>
      <c r="H957">
        <v>60.03</v>
      </c>
      <c r="I957">
        <v>10</v>
      </c>
      <c r="J957">
        <v>1</v>
      </c>
      <c r="K957" t="str">
        <f>TEXT(discount_impact_on_profit_2000_rows[[#This Row],[order date]],"mmmm")</f>
        <v>January</v>
      </c>
      <c r="L957">
        <f>YEAR(discount_impact_on_profit_2000_rows[[#This Row],[order date]])</f>
        <v>2024</v>
      </c>
      <c r="M957" t="str">
        <f>IF(discount_impact_on_profit_2000_rows[[#This Row],[Discount %]]=0,"Zero Discount",IF(discount_impact_on_profit_2000_rows[[#This Row],[Discount %]]&lt;=10,"Low Discount","High Discount"))</f>
        <v>Low Discount</v>
      </c>
      <c r="N957" t="str">
        <f t="shared" si="14"/>
        <v>0-10%</v>
      </c>
    </row>
    <row r="958" spans="1:14">
      <c r="A958" s="1">
        <v>45699</v>
      </c>
      <c r="B958" t="s">
        <v>1020</v>
      </c>
      <c r="C958" t="s">
        <v>53</v>
      </c>
      <c r="D958" t="s">
        <v>54</v>
      </c>
      <c r="E958">
        <v>592.07000000000005</v>
      </c>
      <c r="F958" t="s">
        <v>31</v>
      </c>
      <c r="G958">
        <v>972.29</v>
      </c>
      <c r="H958">
        <v>380.22</v>
      </c>
      <c r="I958">
        <v>10</v>
      </c>
      <c r="J958">
        <v>2</v>
      </c>
      <c r="K958" t="str">
        <f>TEXT(discount_impact_on_profit_2000_rows[[#This Row],[order date]],"mmmm")</f>
        <v>February</v>
      </c>
      <c r="L958">
        <f>YEAR(discount_impact_on_profit_2000_rows[[#This Row],[order date]])</f>
        <v>2025</v>
      </c>
      <c r="M958" t="str">
        <f>IF(discount_impact_on_profit_2000_rows[[#This Row],[Discount %]]=0,"Zero Discount",IF(discount_impact_on_profit_2000_rows[[#This Row],[Discount %]]&lt;=10,"Low Discount","High Discount"))</f>
        <v>Low Discount</v>
      </c>
      <c r="N958" t="str">
        <f t="shared" si="14"/>
        <v>0-10%</v>
      </c>
    </row>
    <row r="959" spans="1:14">
      <c r="A959" s="1">
        <v>45718</v>
      </c>
      <c r="B959" t="s">
        <v>1021</v>
      </c>
      <c r="C959" t="s">
        <v>11</v>
      </c>
      <c r="D959" t="s">
        <v>12</v>
      </c>
      <c r="E959">
        <v>3197.11</v>
      </c>
      <c r="F959" t="s">
        <v>31</v>
      </c>
      <c r="G959">
        <v>5199.9399999999996</v>
      </c>
      <c r="H959">
        <v>2002.83</v>
      </c>
      <c r="I959">
        <v>5</v>
      </c>
      <c r="J959">
        <v>2</v>
      </c>
      <c r="K959" t="str">
        <f>TEXT(discount_impact_on_profit_2000_rows[[#This Row],[order date]],"mmmm")</f>
        <v>March</v>
      </c>
      <c r="L959">
        <f>YEAR(discount_impact_on_profit_2000_rows[[#This Row],[order date]])</f>
        <v>2025</v>
      </c>
      <c r="M959" t="str">
        <f>IF(discount_impact_on_profit_2000_rows[[#This Row],[Discount %]]=0,"Zero Discount",IF(discount_impact_on_profit_2000_rows[[#This Row],[Discount %]]&lt;=10,"Low Discount","High Discount"))</f>
        <v>Low Discount</v>
      </c>
      <c r="N959" t="str">
        <f t="shared" si="14"/>
        <v>0-10%</v>
      </c>
    </row>
    <row r="960" spans="1:14">
      <c r="A960" s="1">
        <v>45572</v>
      </c>
      <c r="B960" t="s">
        <v>1022</v>
      </c>
      <c r="C960" t="s">
        <v>15</v>
      </c>
      <c r="D960" t="s">
        <v>40</v>
      </c>
      <c r="E960">
        <v>2993.43</v>
      </c>
      <c r="F960" t="s">
        <v>23</v>
      </c>
      <c r="G960">
        <v>3259.35</v>
      </c>
      <c r="H960">
        <v>265.92</v>
      </c>
      <c r="I960">
        <v>15</v>
      </c>
      <c r="J960">
        <v>2</v>
      </c>
      <c r="K960" t="str">
        <f>TEXT(discount_impact_on_profit_2000_rows[[#This Row],[order date]],"mmmm")</f>
        <v>October</v>
      </c>
      <c r="L960">
        <f>YEAR(discount_impact_on_profit_2000_rows[[#This Row],[order date]])</f>
        <v>2024</v>
      </c>
      <c r="M960" t="str">
        <f>IF(discount_impact_on_profit_2000_rows[[#This Row],[Discount %]]=0,"Zero Discount",IF(discount_impact_on_profit_2000_rows[[#This Row],[Discount %]]&lt;=10,"Low Discount","High Discount"))</f>
        <v>High Discount</v>
      </c>
      <c r="N960" t="str">
        <f t="shared" si="14"/>
        <v>10-20%</v>
      </c>
    </row>
    <row r="961" spans="1:14">
      <c r="A961" s="1">
        <v>45952</v>
      </c>
      <c r="B961" t="s">
        <v>1023</v>
      </c>
      <c r="C961" t="s">
        <v>18</v>
      </c>
      <c r="D961" t="s">
        <v>50</v>
      </c>
      <c r="E961">
        <v>5451.21</v>
      </c>
      <c r="F961" t="s">
        <v>26</v>
      </c>
      <c r="G961">
        <v>7774.89</v>
      </c>
      <c r="H961">
        <v>2323.6799999999998</v>
      </c>
      <c r="I961">
        <v>10</v>
      </c>
      <c r="J961">
        <v>8</v>
      </c>
      <c r="K961" t="str">
        <f>TEXT(discount_impact_on_profit_2000_rows[[#This Row],[order date]],"mmmm")</f>
        <v>October</v>
      </c>
      <c r="L961">
        <f>YEAR(discount_impact_on_profit_2000_rows[[#This Row],[order date]])</f>
        <v>2025</v>
      </c>
      <c r="M961" t="str">
        <f>IF(discount_impact_on_profit_2000_rows[[#This Row],[Discount %]]=0,"Zero Discount",IF(discount_impact_on_profit_2000_rows[[#This Row],[Discount %]]&lt;=10,"Low Discount","High Discount"))</f>
        <v>Low Discount</v>
      </c>
      <c r="N961" t="str">
        <f t="shared" si="14"/>
        <v>0-10%</v>
      </c>
    </row>
    <row r="962" spans="1:14">
      <c r="A962" s="1">
        <v>45705</v>
      </c>
      <c r="B962" t="s">
        <v>1024</v>
      </c>
      <c r="C962" t="s">
        <v>21</v>
      </c>
      <c r="D962" t="s">
        <v>154</v>
      </c>
      <c r="E962">
        <v>41590.559999999998</v>
      </c>
      <c r="F962" t="s">
        <v>23</v>
      </c>
      <c r="G962">
        <v>44941.67</v>
      </c>
      <c r="H962">
        <v>3351.11</v>
      </c>
      <c r="I962">
        <v>15</v>
      </c>
      <c r="J962">
        <v>6</v>
      </c>
      <c r="K962" t="str">
        <f>TEXT(discount_impact_on_profit_2000_rows[[#This Row],[order date]],"mmmm")</f>
        <v>February</v>
      </c>
      <c r="L962">
        <f>YEAR(discount_impact_on_profit_2000_rows[[#This Row],[order date]])</f>
        <v>2025</v>
      </c>
      <c r="M962" t="str">
        <f>IF(discount_impact_on_profit_2000_rows[[#This Row],[Discount %]]=0,"Zero Discount",IF(discount_impact_on_profit_2000_rows[[#This Row],[Discount %]]&lt;=10,"Low Discount","High Discount"))</f>
        <v>High Discount</v>
      </c>
      <c r="N962" t="str">
        <f t="shared" ref="N962:N1025" si="15">IF(I962&lt;=10,"0-10%",IF(I962&lt;=20,"10-20%",IF(I962&lt;=30,"20-30%","30%+")))</f>
        <v>10-20%</v>
      </c>
    </row>
    <row r="963" spans="1:14">
      <c r="A963" s="1">
        <v>45541</v>
      </c>
      <c r="B963" t="s">
        <v>1025</v>
      </c>
      <c r="C963" t="s">
        <v>11</v>
      </c>
      <c r="D963" t="s">
        <v>12</v>
      </c>
      <c r="E963">
        <v>164.94</v>
      </c>
      <c r="F963" t="s">
        <v>26</v>
      </c>
      <c r="G963">
        <v>397.71</v>
      </c>
      <c r="H963">
        <v>232.77</v>
      </c>
      <c r="I963">
        <v>5</v>
      </c>
      <c r="J963">
        <v>1</v>
      </c>
      <c r="K963" t="str">
        <f>TEXT(discount_impact_on_profit_2000_rows[[#This Row],[order date]],"mmmm")</f>
        <v>September</v>
      </c>
      <c r="L963">
        <f>YEAR(discount_impact_on_profit_2000_rows[[#This Row],[order date]])</f>
        <v>2024</v>
      </c>
      <c r="M963" t="str">
        <f>IF(discount_impact_on_profit_2000_rows[[#This Row],[Discount %]]=0,"Zero Discount",IF(discount_impact_on_profit_2000_rows[[#This Row],[Discount %]]&lt;=10,"Low Discount","High Discount"))</f>
        <v>Low Discount</v>
      </c>
      <c r="N963" t="str">
        <f t="shared" si="15"/>
        <v>0-10%</v>
      </c>
    </row>
    <row r="964" spans="1:14">
      <c r="A964" s="1">
        <v>45694</v>
      </c>
      <c r="B964" t="s">
        <v>1026</v>
      </c>
      <c r="C964" t="s">
        <v>53</v>
      </c>
      <c r="D964" t="s">
        <v>78</v>
      </c>
      <c r="E964">
        <v>1874.69</v>
      </c>
      <c r="F964" t="s">
        <v>31</v>
      </c>
      <c r="G964">
        <v>3415.25</v>
      </c>
      <c r="H964">
        <v>1540.56</v>
      </c>
      <c r="I964">
        <v>15</v>
      </c>
      <c r="J964">
        <v>1</v>
      </c>
      <c r="K964" t="str">
        <f>TEXT(discount_impact_on_profit_2000_rows[[#This Row],[order date]],"mmmm")</f>
        <v>February</v>
      </c>
      <c r="L964">
        <f>YEAR(discount_impact_on_profit_2000_rows[[#This Row],[order date]])</f>
        <v>2025</v>
      </c>
      <c r="M964" t="str">
        <f>IF(discount_impact_on_profit_2000_rows[[#This Row],[Discount %]]=0,"Zero Discount",IF(discount_impact_on_profit_2000_rows[[#This Row],[Discount %]]&lt;=10,"Low Discount","High Discount"))</f>
        <v>High Discount</v>
      </c>
      <c r="N964" t="str">
        <f t="shared" si="15"/>
        <v>10-20%</v>
      </c>
    </row>
    <row r="965" spans="1:14">
      <c r="A965" s="1">
        <v>46003</v>
      </c>
      <c r="B965" t="s">
        <v>1027</v>
      </c>
      <c r="C965" t="s">
        <v>11</v>
      </c>
      <c r="D965" t="s">
        <v>25</v>
      </c>
      <c r="E965">
        <v>5475.14</v>
      </c>
      <c r="F965" t="s">
        <v>23</v>
      </c>
      <c r="G965">
        <v>8851.7800000000007</v>
      </c>
      <c r="H965">
        <v>3376.64</v>
      </c>
      <c r="I965">
        <v>10</v>
      </c>
      <c r="J965">
        <v>3</v>
      </c>
      <c r="K965" t="str">
        <f>TEXT(discount_impact_on_profit_2000_rows[[#This Row],[order date]],"mmmm")</f>
        <v>December</v>
      </c>
      <c r="L965">
        <f>YEAR(discount_impact_on_profit_2000_rows[[#This Row],[order date]])</f>
        <v>2025</v>
      </c>
      <c r="M965" t="str">
        <f>IF(discount_impact_on_profit_2000_rows[[#This Row],[Discount %]]=0,"Zero Discount",IF(discount_impact_on_profit_2000_rows[[#This Row],[Discount %]]&lt;=10,"Low Discount","High Discount"))</f>
        <v>Low Discount</v>
      </c>
      <c r="N965" t="str">
        <f t="shared" si="15"/>
        <v>0-10%</v>
      </c>
    </row>
    <row r="966" spans="1:14">
      <c r="A966" s="1">
        <v>45788</v>
      </c>
      <c r="B966" t="s">
        <v>1028</v>
      </c>
      <c r="C966" t="s">
        <v>53</v>
      </c>
      <c r="D966" t="s">
        <v>54</v>
      </c>
      <c r="E966">
        <v>2198.84</v>
      </c>
      <c r="F966" t="s">
        <v>13</v>
      </c>
      <c r="G966">
        <v>3964.25</v>
      </c>
      <c r="H966">
        <v>1765.41</v>
      </c>
      <c r="I966">
        <v>20</v>
      </c>
      <c r="J966">
        <v>1</v>
      </c>
      <c r="K966" t="str">
        <f>TEXT(discount_impact_on_profit_2000_rows[[#This Row],[order date]],"mmmm")</f>
        <v>May</v>
      </c>
      <c r="L966">
        <f>YEAR(discount_impact_on_profit_2000_rows[[#This Row],[order date]])</f>
        <v>2025</v>
      </c>
      <c r="M966" t="str">
        <f>IF(discount_impact_on_profit_2000_rows[[#This Row],[Discount %]]=0,"Zero Discount",IF(discount_impact_on_profit_2000_rows[[#This Row],[Discount %]]&lt;=10,"Low Discount","High Discount"))</f>
        <v>High Discount</v>
      </c>
      <c r="N966" t="str">
        <f t="shared" si="15"/>
        <v>10-20%</v>
      </c>
    </row>
    <row r="967" spans="1:14">
      <c r="A967" s="1">
        <v>45536</v>
      </c>
      <c r="B967" t="s">
        <v>1029</v>
      </c>
      <c r="C967" t="s">
        <v>53</v>
      </c>
      <c r="D967" t="s">
        <v>54</v>
      </c>
      <c r="E967">
        <v>3039.21</v>
      </c>
      <c r="F967" t="s">
        <v>36</v>
      </c>
      <c r="G967">
        <v>6907.72</v>
      </c>
      <c r="H967">
        <v>3868.51</v>
      </c>
      <c r="I967">
        <v>5</v>
      </c>
      <c r="J967">
        <v>3</v>
      </c>
      <c r="K967" t="str">
        <f>TEXT(discount_impact_on_profit_2000_rows[[#This Row],[order date]],"mmmm")</f>
        <v>September</v>
      </c>
      <c r="L967">
        <f>YEAR(discount_impact_on_profit_2000_rows[[#This Row],[order date]])</f>
        <v>2024</v>
      </c>
      <c r="M967" t="str">
        <f>IF(discount_impact_on_profit_2000_rows[[#This Row],[Discount %]]=0,"Zero Discount",IF(discount_impact_on_profit_2000_rows[[#This Row],[Discount %]]&lt;=10,"Low Discount","High Discount"))</f>
        <v>Low Discount</v>
      </c>
      <c r="N967" t="str">
        <f t="shared" si="15"/>
        <v>0-10%</v>
      </c>
    </row>
    <row r="968" spans="1:14">
      <c r="A968" s="1">
        <v>44962</v>
      </c>
      <c r="B968" t="s">
        <v>1030</v>
      </c>
      <c r="C968" t="s">
        <v>21</v>
      </c>
      <c r="D968" t="s">
        <v>57</v>
      </c>
      <c r="E968">
        <v>1826.45</v>
      </c>
      <c r="F968" t="s">
        <v>23</v>
      </c>
      <c r="G968">
        <v>2613.37</v>
      </c>
      <c r="H968">
        <v>786.92</v>
      </c>
      <c r="I968">
        <v>0</v>
      </c>
      <c r="J968">
        <v>1</v>
      </c>
      <c r="K968" t="str">
        <f>TEXT(discount_impact_on_profit_2000_rows[[#This Row],[order date]],"mmmm")</f>
        <v>February</v>
      </c>
      <c r="L968">
        <f>YEAR(discount_impact_on_profit_2000_rows[[#This Row],[order date]])</f>
        <v>2023</v>
      </c>
      <c r="M968" t="str">
        <f>IF(discount_impact_on_profit_2000_rows[[#This Row],[Discount %]]=0,"Zero Discount",IF(discount_impact_on_profit_2000_rows[[#This Row],[Discount %]]&lt;=10,"Low Discount","High Discount"))</f>
        <v>Zero Discount</v>
      </c>
      <c r="N968" t="str">
        <f t="shared" si="15"/>
        <v>0-10%</v>
      </c>
    </row>
    <row r="969" spans="1:14">
      <c r="A969" s="1">
        <v>45261</v>
      </c>
      <c r="B969" t="s">
        <v>1031</v>
      </c>
      <c r="C969" t="s">
        <v>11</v>
      </c>
      <c r="D969" t="s">
        <v>12</v>
      </c>
      <c r="E969">
        <v>1070.01</v>
      </c>
      <c r="F969" t="s">
        <v>23</v>
      </c>
      <c r="G969">
        <v>1787.64</v>
      </c>
      <c r="H969">
        <v>717.63</v>
      </c>
      <c r="I969">
        <v>5</v>
      </c>
      <c r="J969">
        <v>1</v>
      </c>
      <c r="K969" t="str">
        <f>TEXT(discount_impact_on_profit_2000_rows[[#This Row],[order date]],"mmmm")</f>
        <v>December</v>
      </c>
      <c r="L969">
        <f>YEAR(discount_impact_on_profit_2000_rows[[#This Row],[order date]])</f>
        <v>2023</v>
      </c>
      <c r="M969" t="str">
        <f>IF(discount_impact_on_profit_2000_rows[[#This Row],[Discount %]]=0,"Zero Discount",IF(discount_impact_on_profit_2000_rows[[#This Row],[Discount %]]&lt;=10,"Low Discount","High Discount"))</f>
        <v>Low Discount</v>
      </c>
      <c r="N969" t="str">
        <f t="shared" si="15"/>
        <v>0-10%</v>
      </c>
    </row>
    <row r="970" spans="1:14">
      <c r="A970" s="1">
        <v>44976</v>
      </c>
      <c r="B970" t="s">
        <v>1032</v>
      </c>
      <c r="C970" t="s">
        <v>53</v>
      </c>
      <c r="D970" t="s">
        <v>54</v>
      </c>
      <c r="E970">
        <v>1971.3</v>
      </c>
      <c r="F970" t="s">
        <v>23</v>
      </c>
      <c r="G970">
        <v>4217.34</v>
      </c>
      <c r="H970">
        <v>2246.04</v>
      </c>
      <c r="I970">
        <v>5</v>
      </c>
      <c r="J970">
        <v>1</v>
      </c>
      <c r="K970" t="str">
        <f>TEXT(discount_impact_on_profit_2000_rows[[#This Row],[order date]],"mmmm")</f>
        <v>February</v>
      </c>
      <c r="L970">
        <f>YEAR(discount_impact_on_profit_2000_rows[[#This Row],[order date]])</f>
        <v>2023</v>
      </c>
      <c r="M970" t="str">
        <f>IF(discount_impact_on_profit_2000_rows[[#This Row],[Discount %]]=0,"Zero Discount",IF(discount_impact_on_profit_2000_rows[[#This Row],[Discount %]]&lt;=10,"Low Discount","High Discount"))</f>
        <v>Low Discount</v>
      </c>
      <c r="N970" t="str">
        <f t="shared" si="15"/>
        <v>0-10%</v>
      </c>
    </row>
    <row r="971" spans="1:14">
      <c r="A971" s="1">
        <v>45473</v>
      </c>
      <c r="B971" t="s">
        <v>1033</v>
      </c>
      <c r="C971" t="s">
        <v>15</v>
      </c>
      <c r="D971" t="s">
        <v>28</v>
      </c>
      <c r="E971">
        <v>4286.28</v>
      </c>
      <c r="F971" t="s">
        <v>13</v>
      </c>
      <c r="G971">
        <v>4482.21</v>
      </c>
      <c r="H971">
        <v>195.93</v>
      </c>
      <c r="I971">
        <v>20</v>
      </c>
      <c r="J971">
        <v>4</v>
      </c>
      <c r="K971" t="str">
        <f>TEXT(discount_impact_on_profit_2000_rows[[#This Row],[order date]],"mmmm")</f>
        <v>June</v>
      </c>
      <c r="L971">
        <f>YEAR(discount_impact_on_profit_2000_rows[[#This Row],[order date]])</f>
        <v>2024</v>
      </c>
      <c r="M971" t="str">
        <f>IF(discount_impact_on_profit_2000_rows[[#This Row],[Discount %]]=0,"Zero Discount",IF(discount_impact_on_profit_2000_rows[[#This Row],[Discount %]]&lt;=10,"Low Discount","High Discount"))</f>
        <v>High Discount</v>
      </c>
      <c r="N971" t="str">
        <f t="shared" si="15"/>
        <v>10-20%</v>
      </c>
    </row>
    <row r="972" spans="1:14">
      <c r="A972" s="1">
        <v>45726</v>
      </c>
      <c r="B972" t="s">
        <v>1034</v>
      </c>
      <c r="C972" t="s">
        <v>21</v>
      </c>
      <c r="D972" t="s">
        <v>123</v>
      </c>
      <c r="E972">
        <v>1473.83</v>
      </c>
      <c r="F972" t="s">
        <v>26</v>
      </c>
      <c r="G972">
        <v>2046.57</v>
      </c>
      <c r="H972">
        <v>572.74</v>
      </c>
      <c r="I972">
        <v>0</v>
      </c>
      <c r="J972">
        <v>1</v>
      </c>
      <c r="K972" t="str">
        <f>TEXT(discount_impact_on_profit_2000_rows[[#This Row],[order date]],"mmmm")</f>
        <v>March</v>
      </c>
      <c r="L972">
        <f>YEAR(discount_impact_on_profit_2000_rows[[#This Row],[order date]])</f>
        <v>2025</v>
      </c>
      <c r="M972" t="str">
        <f>IF(discount_impact_on_profit_2000_rows[[#This Row],[Discount %]]=0,"Zero Discount",IF(discount_impact_on_profit_2000_rows[[#This Row],[Discount %]]&lt;=10,"Low Discount","High Discount"))</f>
        <v>Zero Discount</v>
      </c>
      <c r="N972" t="str">
        <f t="shared" si="15"/>
        <v>0-10%</v>
      </c>
    </row>
    <row r="973" spans="1:14">
      <c r="A973" s="1">
        <v>45095</v>
      </c>
      <c r="B973" t="s">
        <v>1035</v>
      </c>
      <c r="C973" t="s">
        <v>53</v>
      </c>
      <c r="D973" t="s">
        <v>113</v>
      </c>
      <c r="E973">
        <v>571.26</v>
      </c>
      <c r="F973" t="s">
        <v>36</v>
      </c>
      <c r="G973">
        <v>974.03</v>
      </c>
      <c r="H973">
        <v>402.77</v>
      </c>
      <c r="I973">
        <v>0</v>
      </c>
      <c r="J973">
        <v>1</v>
      </c>
      <c r="K973" t="str">
        <f>TEXT(discount_impact_on_profit_2000_rows[[#This Row],[order date]],"mmmm")</f>
        <v>June</v>
      </c>
      <c r="L973">
        <f>YEAR(discount_impact_on_profit_2000_rows[[#This Row],[order date]])</f>
        <v>2023</v>
      </c>
      <c r="M973" t="str">
        <f>IF(discount_impact_on_profit_2000_rows[[#This Row],[Discount %]]=0,"Zero Discount",IF(discount_impact_on_profit_2000_rows[[#This Row],[Discount %]]&lt;=10,"Low Discount","High Discount"))</f>
        <v>Zero Discount</v>
      </c>
      <c r="N973" t="str">
        <f t="shared" si="15"/>
        <v>0-10%</v>
      </c>
    </row>
    <row r="974" spans="1:14">
      <c r="A974" s="1">
        <v>45700</v>
      </c>
      <c r="B974" t="s">
        <v>1036</v>
      </c>
      <c r="C974" t="s">
        <v>53</v>
      </c>
      <c r="D974" t="s">
        <v>59</v>
      </c>
      <c r="E974">
        <v>5629.4</v>
      </c>
      <c r="F974" t="s">
        <v>13</v>
      </c>
      <c r="G974">
        <v>12063.9</v>
      </c>
      <c r="H974">
        <v>6434.5</v>
      </c>
      <c r="I974">
        <v>0</v>
      </c>
      <c r="J974">
        <v>6</v>
      </c>
      <c r="K974" t="str">
        <f>TEXT(discount_impact_on_profit_2000_rows[[#This Row],[order date]],"mmmm")</f>
        <v>February</v>
      </c>
      <c r="L974">
        <f>YEAR(discount_impact_on_profit_2000_rows[[#This Row],[order date]])</f>
        <v>2025</v>
      </c>
      <c r="M974" t="str">
        <f>IF(discount_impact_on_profit_2000_rows[[#This Row],[Discount %]]=0,"Zero Discount",IF(discount_impact_on_profit_2000_rows[[#This Row],[Discount %]]&lt;=10,"Low Discount","High Discount"))</f>
        <v>Zero Discount</v>
      </c>
      <c r="N974" t="str">
        <f t="shared" si="15"/>
        <v>0-10%</v>
      </c>
    </row>
    <row r="975" spans="1:14">
      <c r="A975" s="1">
        <v>45054</v>
      </c>
      <c r="B975" t="s">
        <v>1037</v>
      </c>
      <c r="C975" t="s">
        <v>53</v>
      </c>
      <c r="D975" t="s">
        <v>113</v>
      </c>
      <c r="E975">
        <v>459.67</v>
      </c>
      <c r="F975" t="s">
        <v>31</v>
      </c>
      <c r="G975">
        <v>677.51</v>
      </c>
      <c r="H975">
        <v>217.84</v>
      </c>
      <c r="I975">
        <v>5</v>
      </c>
      <c r="J975">
        <v>1</v>
      </c>
      <c r="K975" t="str">
        <f>TEXT(discount_impact_on_profit_2000_rows[[#This Row],[order date]],"mmmm")</f>
        <v>May</v>
      </c>
      <c r="L975">
        <f>YEAR(discount_impact_on_profit_2000_rows[[#This Row],[order date]])</f>
        <v>2023</v>
      </c>
      <c r="M975" t="str">
        <f>IF(discount_impact_on_profit_2000_rows[[#This Row],[Discount %]]=0,"Zero Discount",IF(discount_impact_on_profit_2000_rows[[#This Row],[Discount %]]&lt;=10,"Low Discount","High Discount"))</f>
        <v>Low Discount</v>
      </c>
      <c r="N975" t="str">
        <f t="shared" si="15"/>
        <v>0-10%</v>
      </c>
    </row>
    <row r="976" spans="1:14">
      <c r="A976" s="1">
        <v>45598</v>
      </c>
      <c r="B976" t="s">
        <v>1038</v>
      </c>
      <c r="C976" t="s">
        <v>21</v>
      </c>
      <c r="D976" t="s">
        <v>22</v>
      </c>
      <c r="E976">
        <v>822.59</v>
      </c>
      <c r="F976" t="s">
        <v>31</v>
      </c>
      <c r="G976">
        <v>1130.03</v>
      </c>
      <c r="H976">
        <v>307.44</v>
      </c>
      <c r="I976">
        <v>5</v>
      </c>
      <c r="J976">
        <v>1</v>
      </c>
      <c r="K976" t="str">
        <f>TEXT(discount_impact_on_profit_2000_rows[[#This Row],[order date]],"mmmm")</f>
        <v>November</v>
      </c>
      <c r="L976">
        <f>YEAR(discount_impact_on_profit_2000_rows[[#This Row],[order date]])</f>
        <v>2024</v>
      </c>
      <c r="M976" t="str">
        <f>IF(discount_impact_on_profit_2000_rows[[#This Row],[Discount %]]=0,"Zero Discount",IF(discount_impact_on_profit_2000_rows[[#This Row],[Discount %]]&lt;=10,"Low Discount","High Discount"))</f>
        <v>Low Discount</v>
      </c>
      <c r="N976" t="str">
        <f t="shared" si="15"/>
        <v>0-10%</v>
      </c>
    </row>
    <row r="977" spans="1:14">
      <c r="A977" s="1">
        <v>45671</v>
      </c>
      <c r="B977" t="s">
        <v>1039</v>
      </c>
      <c r="C977" t="s">
        <v>21</v>
      </c>
      <c r="D977" t="s">
        <v>97</v>
      </c>
      <c r="E977">
        <v>7766.06</v>
      </c>
      <c r="F977" t="s">
        <v>31</v>
      </c>
      <c r="G977">
        <v>10451.89</v>
      </c>
      <c r="H977">
        <v>2685.83</v>
      </c>
      <c r="I977">
        <v>0</v>
      </c>
      <c r="J977">
        <v>2</v>
      </c>
      <c r="K977" t="str">
        <f>TEXT(discount_impact_on_profit_2000_rows[[#This Row],[order date]],"mmmm")</f>
        <v>January</v>
      </c>
      <c r="L977">
        <f>YEAR(discount_impact_on_profit_2000_rows[[#This Row],[order date]])</f>
        <v>2025</v>
      </c>
      <c r="M977" t="str">
        <f>IF(discount_impact_on_profit_2000_rows[[#This Row],[Discount %]]=0,"Zero Discount",IF(discount_impact_on_profit_2000_rows[[#This Row],[Discount %]]&lt;=10,"Low Discount","High Discount"))</f>
        <v>Zero Discount</v>
      </c>
      <c r="N977" t="str">
        <f t="shared" si="15"/>
        <v>0-10%</v>
      </c>
    </row>
    <row r="978" spans="1:14">
      <c r="A978" s="1">
        <v>45516</v>
      </c>
      <c r="B978" t="s">
        <v>1040</v>
      </c>
      <c r="C978" t="s">
        <v>18</v>
      </c>
      <c r="D978" t="s">
        <v>50</v>
      </c>
      <c r="E978">
        <v>3214.48</v>
      </c>
      <c r="F978" t="s">
        <v>26</v>
      </c>
      <c r="G978">
        <v>5063.55</v>
      </c>
      <c r="H978">
        <v>1849.07</v>
      </c>
      <c r="I978">
        <v>10</v>
      </c>
      <c r="J978">
        <v>8</v>
      </c>
      <c r="K978" t="str">
        <f>TEXT(discount_impact_on_profit_2000_rows[[#This Row],[order date]],"mmmm")</f>
        <v>August</v>
      </c>
      <c r="L978">
        <f>YEAR(discount_impact_on_profit_2000_rows[[#This Row],[order date]])</f>
        <v>2024</v>
      </c>
      <c r="M978" t="str">
        <f>IF(discount_impact_on_profit_2000_rows[[#This Row],[Discount %]]=0,"Zero Discount",IF(discount_impact_on_profit_2000_rows[[#This Row],[Discount %]]&lt;=10,"Low Discount","High Discount"))</f>
        <v>Low Discount</v>
      </c>
      <c r="N978" t="str">
        <f t="shared" si="15"/>
        <v>0-10%</v>
      </c>
    </row>
    <row r="979" spans="1:14">
      <c r="A979" s="1">
        <v>45265</v>
      </c>
      <c r="B979" t="s">
        <v>1041</v>
      </c>
      <c r="C979" t="s">
        <v>18</v>
      </c>
      <c r="D979" t="s">
        <v>104</v>
      </c>
      <c r="E979">
        <v>1248.68</v>
      </c>
      <c r="F979" t="s">
        <v>13</v>
      </c>
      <c r="G979">
        <v>1752.27</v>
      </c>
      <c r="H979">
        <v>503.59</v>
      </c>
      <c r="I979">
        <v>10</v>
      </c>
      <c r="J979">
        <v>2</v>
      </c>
      <c r="K979" t="str">
        <f>TEXT(discount_impact_on_profit_2000_rows[[#This Row],[order date]],"mmmm")</f>
        <v>December</v>
      </c>
      <c r="L979">
        <f>YEAR(discount_impact_on_profit_2000_rows[[#This Row],[order date]])</f>
        <v>2023</v>
      </c>
      <c r="M979" t="str">
        <f>IF(discount_impact_on_profit_2000_rows[[#This Row],[Discount %]]=0,"Zero Discount",IF(discount_impact_on_profit_2000_rows[[#This Row],[Discount %]]&lt;=10,"Low Discount","High Discount"))</f>
        <v>Low Discount</v>
      </c>
      <c r="N979" t="str">
        <f t="shared" si="15"/>
        <v>0-10%</v>
      </c>
    </row>
    <row r="980" spans="1:14">
      <c r="A980" s="1">
        <v>45155</v>
      </c>
      <c r="B980" t="s">
        <v>1042</v>
      </c>
      <c r="C980" t="s">
        <v>15</v>
      </c>
      <c r="D980" t="s">
        <v>40</v>
      </c>
      <c r="E980">
        <v>14188.51</v>
      </c>
      <c r="F980" t="s">
        <v>13</v>
      </c>
      <c r="G980">
        <v>15539.9</v>
      </c>
      <c r="H980">
        <v>1351.39</v>
      </c>
      <c r="I980">
        <v>15</v>
      </c>
      <c r="J980">
        <v>4</v>
      </c>
      <c r="K980" t="str">
        <f>TEXT(discount_impact_on_profit_2000_rows[[#This Row],[order date]],"mmmm")</f>
        <v>August</v>
      </c>
      <c r="L980">
        <f>YEAR(discount_impact_on_profit_2000_rows[[#This Row],[order date]])</f>
        <v>2023</v>
      </c>
      <c r="M980" t="str">
        <f>IF(discount_impact_on_profit_2000_rows[[#This Row],[Discount %]]=0,"Zero Discount",IF(discount_impact_on_profit_2000_rows[[#This Row],[Discount %]]&lt;=10,"Low Discount","High Discount"))</f>
        <v>High Discount</v>
      </c>
      <c r="N980" t="str">
        <f t="shared" si="15"/>
        <v>10-20%</v>
      </c>
    </row>
    <row r="981" spans="1:14">
      <c r="A981" s="1">
        <v>45227</v>
      </c>
      <c r="B981" t="s">
        <v>1043</v>
      </c>
      <c r="C981" t="s">
        <v>33</v>
      </c>
      <c r="D981" t="s">
        <v>273</v>
      </c>
      <c r="E981">
        <v>10549.04</v>
      </c>
      <c r="F981" t="s">
        <v>13</v>
      </c>
      <c r="G981">
        <v>13622.64</v>
      </c>
      <c r="H981">
        <v>3073.6</v>
      </c>
      <c r="I981">
        <v>20</v>
      </c>
      <c r="J981">
        <v>3</v>
      </c>
      <c r="K981" t="str">
        <f>TEXT(discount_impact_on_profit_2000_rows[[#This Row],[order date]],"mmmm")</f>
        <v>October</v>
      </c>
      <c r="L981">
        <f>YEAR(discount_impact_on_profit_2000_rows[[#This Row],[order date]])</f>
        <v>2023</v>
      </c>
      <c r="M981" t="str">
        <f>IF(discount_impact_on_profit_2000_rows[[#This Row],[Discount %]]=0,"Zero Discount",IF(discount_impact_on_profit_2000_rows[[#This Row],[Discount %]]&lt;=10,"Low Discount","High Discount"))</f>
        <v>High Discount</v>
      </c>
      <c r="N981" t="str">
        <f t="shared" si="15"/>
        <v>10-20%</v>
      </c>
    </row>
    <row r="982" spans="1:14">
      <c r="A982" s="1">
        <v>45702</v>
      </c>
      <c r="B982" t="s">
        <v>1044</v>
      </c>
      <c r="C982" t="s">
        <v>33</v>
      </c>
      <c r="D982" t="s">
        <v>102</v>
      </c>
      <c r="E982">
        <v>2320.75</v>
      </c>
      <c r="F982" t="s">
        <v>31</v>
      </c>
      <c r="G982">
        <v>2820.86</v>
      </c>
      <c r="H982">
        <v>500.11</v>
      </c>
      <c r="I982">
        <v>5</v>
      </c>
      <c r="J982">
        <v>1</v>
      </c>
      <c r="K982" t="str">
        <f>TEXT(discount_impact_on_profit_2000_rows[[#This Row],[order date]],"mmmm")</f>
        <v>February</v>
      </c>
      <c r="L982">
        <f>YEAR(discount_impact_on_profit_2000_rows[[#This Row],[order date]])</f>
        <v>2025</v>
      </c>
      <c r="M982" t="str">
        <f>IF(discount_impact_on_profit_2000_rows[[#This Row],[Discount %]]=0,"Zero Discount",IF(discount_impact_on_profit_2000_rows[[#This Row],[Discount %]]&lt;=10,"Low Discount","High Discount"))</f>
        <v>Low Discount</v>
      </c>
      <c r="N982" t="str">
        <f t="shared" si="15"/>
        <v>0-10%</v>
      </c>
    </row>
    <row r="983" spans="1:14">
      <c r="A983" s="1">
        <v>45384</v>
      </c>
      <c r="B983" t="s">
        <v>1045</v>
      </c>
      <c r="C983" t="s">
        <v>18</v>
      </c>
      <c r="D983" t="s">
        <v>104</v>
      </c>
      <c r="E983">
        <v>398.9</v>
      </c>
      <c r="F983" t="s">
        <v>23</v>
      </c>
      <c r="G983">
        <v>760.55</v>
      </c>
      <c r="H983">
        <v>361.65</v>
      </c>
      <c r="I983">
        <v>0</v>
      </c>
      <c r="J983">
        <v>5</v>
      </c>
      <c r="K983" t="str">
        <f>TEXT(discount_impact_on_profit_2000_rows[[#This Row],[order date]],"mmmm")</f>
        <v>April</v>
      </c>
      <c r="L983">
        <f>YEAR(discount_impact_on_profit_2000_rows[[#This Row],[order date]])</f>
        <v>2024</v>
      </c>
      <c r="M983" t="str">
        <f>IF(discount_impact_on_profit_2000_rows[[#This Row],[Discount %]]=0,"Zero Discount",IF(discount_impact_on_profit_2000_rows[[#This Row],[Discount %]]&lt;=10,"Low Discount","High Discount"))</f>
        <v>Zero Discount</v>
      </c>
      <c r="N983" t="str">
        <f t="shared" si="15"/>
        <v>0-10%</v>
      </c>
    </row>
    <row r="984" spans="1:14">
      <c r="A984" s="1">
        <v>45967</v>
      </c>
      <c r="B984" t="s">
        <v>1046</v>
      </c>
      <c r="C984" t="s">
        <v>53</v>
      </c>
      <c r="D984" t="s">
        <v>54</v>
      </c>
      <c r="E984">
        <v>2060.9499999999998</v>
      </c>
      <c r="F984" t="s">
        <v>31</v>
      </c>
      <c r="G984">
        <v>3760.58</v>
      </c>
      <c r="H984">
        <v>1699.63</v>
      </c>
      <c r="I984">
        <v>20</v>
      </c>
      <c r="J984">
        <v>1</v>
      </c>
      <c r="K984" t="str">
        <f>TEXT(discount_impact_on_profit_2000_rows[[#This Row],[order date]],"mmmm")</f>
        <v>November</v>
      </c>
      <c r="L984">
        <f>YEAR(discount_impact_on_profit_2000_rows[[#This Row],[order date]])</f>
        <v>2025</v>
      </c>
      <c r="M984" t="str">
        <f>IF(discount_impact_on_profit_2000_rows[[#This Row],[Discount %]]=0,"Zero Discount",IF(discount_impact_on_profit_2000_rows[[#This Row],[Discount %]]&lt;=10,"Low Discount","High Discount"))</f>
        <v>High Discount</v>
      </c>
      <c r="N984" t="str">
        <f t="shared" si="15"/>
        <v>10-20%</v>
      </c>
    </row>
    <row r="985" spans="1:14">
      <c r="A985" s="1">
        <v>45315</v>
      </c>
      <c r="B985" t="s">
        <v>1047</v>
      </c>
      <c r="C985" t="s">
        <v>33</v>
      </c>
      <c r="D985" t="s">
        <v>102</v>
      </c>
      <c r="E985">
        <v>30466.68</v>
      </c>
      <c r="F985" t="s">
        <v>23</v>
      </c>
      <c r="G985">
        <v>31599</v>
      </c>
      <c r="H985">
        <v>1132.32</v>
      </c>
      <c r="I985">
        <v>20</v>
      </c>
      <c r="J985">
        <v>6</v>
      </c>
      <c r="K985" t="str">
        <f>TEXT(discount_impact_on_profit_2000_rows[[#This Row],[order date]],"mmmm")</f>
        <v>January</v>
      </c>
      <c r="L985">
        <f>YEAR(discount_impact_on_profit_2000_rows[[#This Row],[order date]])</f>
        <v>2024</v>
      </c>
      <c r="M985" t="str">
        <f>IF(discount_impact_on_profit_2000_rows[[#This Row],[Discount %]]=0,"Zero Discount",IF(discount_impact_on_profit_2000_rows[[#This Row],[Discount %]]&lt;=10,"Low Discount","High Discount"))</f>
        <v>High Discount</v>
      </c>
      <c r="N985" t="str">
        <f t="shared" si="15"/>
        <v>10-20%</v>
      </c>
    </row>
    <row r="986" spans="1:14">
      <c r="A986" s="1">
        <v>45126</v>
      </c>
      <c r="B986" t="s">
        <v>1048</v>
      </c>
      <c r="C986" t="s">
        <v>53</v>
      </c>
      <c r="D986" t="s">
        <v>95</v>
      </c>
      <c r="E986">
        <v>3983.59</v>
      </c>
      <c r="F986" t="s">
        <v>26</v>
      </c>
      <c r="G986">
        <v>8697.92</v>
      </c>
      <c r="H986">
        <v>4714.33</v>
      </c>
      <c r="I986">
        <v>0</v>
      </c>
      <c r="J986">
        <v>4</v>
      </c>
      <c r="K986" t="str">
        <f>TEXT(discount_impact_on_profit_2000_rows[[#This Row],[order date]],"mmmm")</f>
        <v>July</v>
      </c>
      <c r="L986">
        <f>YEAR(discount_impact_on_profit_2000_rows[[#This Row],[order date]])</f>
        <v>2023</v>
      </c>
      <c r="M986" t="str">
        <f>IF(discount_impact_on_profit_2000_rows[[#This Row],[Discount %]]=0,"Zero Discount",IF(discount_impact_on_profit_2000_rows[[#This Row],[Discount %]]&lt;=10,"Low Discount","High Discount"))</f>
        <v>Zero Discount</v>
      </c>
      <c r="N986" t="str">
        <f t="shared" si="15"/>
        <v>0-10%</v>
      </c>
    </row>
    <row r="987" spans="1:14">
      <c r="A987" s="1">
        <v>45895</v>
      </c>
      <c r="B987" t="s">
        <v>1049</v>
      </c>
      <c r="C987" t="s">
        <v>11</v>
      </c>
      <c r="D987" t="s">
        <v>30</v>
      </c>
      <c r="E987">
        <v>2696.1</v>
      </c>
      <c r="F987" t="s">
        <v>23</v>
      </c>
      <c r="G987">
        <v>4560.88</v>
      </c>
      <c r="H987">
        <v>1864.78</v>
      </c>
      <c r="I987">
        <v>5</v>
      </c>
      <c r="J987">
        <v>2</v>
      </c>
      <c r="K987" t="str">
        <f>TEXT(discount_impact_on_profit_2000_rows[[#This Row],[order date]],"mmmm")</f>
        <v>August</v>
      </c>
      <c r="L987">
        <f>YEAR(discount_impact_on_profit_2000_rows[[#This Row],[order date]])</f>
        <v>2025</v>
      </c>
      <c r="M987" t="str">
        <f>IF(discount_impact_on_profit_2000_rows[[#This Row],[Discount %]]=0,"Zero Discount",IF(discount_impact_on_profit_2000_rows[[#This Row],[Discount %]]&lt;=10,"Low Discount","High Discount"))</f>
        <v>Low Discount</v>
      </c>
      <c r="N987" t="str">
        <f t="shared" si="15"/>
        <v>0-10%</v>
      </c>
    </row>
    <row r="988" spans="1:14">
      <c r="A988" s="1">
        <v>45944</v>
      </c>
      <c r="B988" t="s">
        <v>1050</v>
      </c>
      <c r="C988" t="s">
        <v>53</v>
      </c>
      <c r="D988" t="s">
        <v>54</v>
      </c>
      <c r="E988">
        <v>6520</v>
      </c>
      <c r="F988" t="s">
        <v>23</v>
      </c>
      <c r="G988">
        <v>7909.88</v>
      </c>
      <c r="H988">
        <v>1389.88</v>
      </c>
      <c r="I988">
        <v>20</v>
      </c>
      <c r="J988">
        <v>2</v>
      </c>
      <c r="K988" t="str">
        <f>TEXT(discount_impact_on_profit_2000_rows[[#This Row],[order date]],"mmmm")</f>
        <v>October</v>
      </c>
      <c r="L988">
        <f>YEAR(discount_impact_on_profit_2000_rows[[#This Row],[order date]])</f>
        <v>2025</v>
      </c>
      <c r="M988" t="str">
        <f>IF(discount_impact_on_profit_2000_rows[[#This Row],[Discount %]]=0,"Zero Discount",IF(discount_impact_on_profit_2000_rows[[#This Row],[Discount %]]&lt;=10,"Low Discount","High Discount"))</f>
        <v>High Discount</v>
      </c>
      <c r="N988" t="str">
        <f t="shared" si="15"/>
        <v>10-20%</v>
      </c>
    </row>
    <row r="989" spans="1:14">
      <c r="A989" s="1">
        <v>45132</v>
      </c>
      <c r="B989" t="s">
        <v>1051</v>
      </c>
      <c r="C989" t="s">
        <v>33</v>
      </c>
      <c r="D989" t="s">
        <v>102</v>
      </c>
      <c r="E989">
        <v>21983.91</v>
      </c>
      <c r="F989" t="s">
        <v>36</v>
      </c>
      <c r="G989">
        <v>23076.13</v>
      </c>
      <c r="H989">
        <v>1092.22</v>
      </c>
      <c r="I989">
        <v>30</v>
      </c>
      <c r="J989">
        <v>4</v>
      </c>
      <c r="K989" t="str">
        <f>TEXT(discount_impact_on_profit_2000_rows[[#This Row],[order date]],"mmmm")</f>
        <v>July</v>
      </c>
      <c r="L989">
        <f>YEAR(discount_impact_on_profit_2000_rows[[#This Row],[order date]])</f>
        <v>2023</v>
      </c>
      <c r="M989" t="str">
        <f>IF(discount_impact_on_profit_2000_rows[[#This Row],[Discount %]]=0,"Zero Discount",IF(discount_impact_on_profit_2000_rows[[#This Row],[Discount %]]&lt;=10,"Low Discount","High Discount"))</f>
        <v>High Discount</v>
      </c>
      <c r="N989" t="str">
        <f t="shared" si="15"/>
        <v>20-30%</v>
      </c>
    </row>
    <row r="990" spans="1:14">
      <c r="A990" s="1">
        <v>45115</v>
      </c>
      <c r="B990" t="s">
        <v>1052</v>
      </c>
      <c r="C990" t="s">
        <v>21</v>
      </c>
      <c r="D990" t="s">
        <v>109</v>
      </c>
      <c r="E990">
        <v>7393.89</v>
      </c>
      <c r="F990" t="s">
        <v>36</v>
      </c>
      <c r="G990">
        <v>9652.15</v>
      </c>
      <c r="H990">
        <v>2258.2600000000002</v>
      </c>
      <c r="I990">
        <v>5</v>
      </c>
      <c r="J990">
        <v>6</v>
      </c>
      <c r="K990" t="str">
        <f>TEXT(discount_impact_on_profit_2000_rows[[#This Row],[order date]],"mmmm")</f>
        <v>July</v>
      </c>
      <c r="L990">
        <f>YEAR(discount_impact_on_profit_2000_rows[[#This Row],[order date]])</f>
        <v>2023</v>
      </c>
      <c r="M990" t="str">
        <f>IF(discount_impact_on_profit_2000_rows[[#This Row],[Discount %]]=0,"Zero Discount",IF(discount_impact_on_profit_2000_rows[[#This Row],[Discount %]]&lt;=10,"Low Discount","High Discount"))</f>
        <v>Low Discount</v>
      </c>
      <c r="N990" t="str">
        <f t="shared" si="15"/>
        <v>0-10%</v>
      </c>
    </row>
    <row r="991" spans="1:14">
      <c r="A991" s="1">
        <v>45262</v>
      </c>
      <c r="B991" t="s">
        <v>1053</v>
      </c>
      <c r="C991" t="s">
        <v>53</v>
      </c>
      <c r="D991" t="s">
        <v>113</v>
      </c>
      <c r="E991">
        <v>1528.46</v>
      </c>
      <c r="F991" t="s">
        <v>31</v>
      </c>
      <c r="G991">
        <v>2184.91</v>
      </c>
      <c r="H991">
        <v>656.45</v>
      </c>
      <c r="I991">
        <v>15</v>
      </c>
      <c r="J991">
        <v>5</v>
      </c>
      <c r="K991" t="str">
        <f>TEXT(discount_impact_on_profit_2000_rows[[#This Row],[order date]],"mmmm")</f>
        <v>December</v>
      </c>
      <c r="L991">
        <f>YEAR(discount_impact_on_profit_2000_rows[[#This Row],[order date]])</f>
        <v>2023</v>
      </c>
      <c r="M991" t="str">
        <f>IF(discount_impact_on_profit_2000_rows[[#This Row],[Discount %]]=0,"Zero Discount",IF(discount_impact_on_profit_2000_rows[[#This Row],[Discount %]]&lt;=10,"Low Discount","High Discount"))</f>
        <v>High Discount</v>
      </c>
      <c r="N991" t="str">
        <f t="shared" si="15"/>
        <v>10-20%</v>
      </c>
    </row>
    <row r="992" spans="1:14">
      <c r="A992" s="1">
        <v>45014</v>
      </c>
      <c r="B992" t="s">
        <v>1054</v>
      </c>
      <c r="C992" t="s">
        <v>21</v>
      </c>
      <c r="D992" t="s">
        <v>22</v>
      </c>
      <c r="E992">
        <v>4777.75</v>
      </c>
      <c r="F992" t="s">
        <v>26</v>
      </c>
      <c r="G992">
        <v>6180.94</v>
      </c>
      <c r="H992">
        <v>1403.19</v>
      </c>
      <c r="I992">
        <v>5</v>
      </c>
      <c r="J992">
        <v>1</v>
      </c>
      <c r="K992" t="str">
        <f>TEXT(discount_impact_on_profit_2000_rows[[#This Row],[order date]],"mmmm")</f>
        <v>March</v>
      </c>
      <c r="L992">
        <f>YEAR(discount_impact_on_profit_2000_rows[[#This Row],[order date]])</f>
        <v>2023</v>
      </c>
      <c r="M992" t="str">
        <f>IF(discount_impact_on_profit_2000_rows[[#This Row],[Discount %]]=0,"Zero Discount",IF(discount_impact_on_profit_2000_rows[[#This Row],[Discount %]]&lt;=10,"Low Discount","High Discount"))</f>
        <v>Low Discount</v>
      </c>
      <c r="N992" t="str">
        <f t="shared" si="15"/>
        <v>0-10%</v>
      </c>
    </row>
    <row r="993" spans="1:14">
      <c r="A993" s="1">
        <v>45368</v>
      </c>
      <c r="B993" t="s">
        <v>1055</v>
      </c>
      <c r="C993" t="s">
        <v>18</v>
      </c>
      <c r="D993" t="s">
        <v>42</v>
      </c>
      <c r="E993">
        <v>3994.55</v>
      </c>
      <c r="F993" t="s">
        <v>13</v>
      </c>
      <c r="G993">
        <v>8476.6299999999992</v>
      </c>
      <c r="H993">
        <v>4482.08</v>
      </c>
      <c r="I993">
        <v>0</v>
      </c>
      <c r="J993">
        <v>5</v>
      </c>
      <c r="K993" t="str">
        <f>TEXT(discount_impact_on_profit_2000_rows[[#This Row],[order date]],"mmmm")</f>
        <v>March</v>
      </c>
      <c r="L993">
        <f>YEAR(discount_impact_on_profit_2000_rows[[#This Row],[order date]])</f>
        <v>2024</v>
      </c>
      <c r="M993" t="str">
        <f>IF(discount_impact_on_profit_2000_rows[[#This Row],[Discount %]]=0,"Zero Discount",IF(discount_impact_on_profit_2000_rows[[#This Row],[Discount %]]&lt;=10,"Low Discount","High Discount"))</f>
        <v>Zero Discount</v>
      </c>
      <c r="N993" t="str">
        <f t="shared" si="15"/>
        <v>0-10%</v>
      </c>
    </row>
    <row r="994" spans="1:14">
      <c r="A994" s="1">
        <v>45250</v>
      </c>
      <c r="B994" t="s">
        <v>1056</v>
      </c>
      <c r="C994" t="s">
        <v>53</v>
      </c>
      <c r="D994" t="s">
        <v>78</v>
      </c>
      <c r="E994">
        <v>2500.52</v>
      </c>
      <c r="F994" t="s">
        <v>31</v>
      </c>
      <c r="G994">
        <v>3705.86</v>
      </c>
      <c r="H994">
        <v>1205.3399999999999</v>
      </c>
      <c r="I994">
        <v>5</v>
      </c>
      <c r="J994">
        <v>2</v>
      </c>
      <c r="K994" t="str">
        <f>TEXT(discount_impact_on_profit_2000_rows[[#This Row],[order date]],"mmmm")</f>
        <v>November</v>
      </c>
      <c r="L994">
        <f>YEAR(discount_impact_on_profit_2000_rows[[#This Row],[order date]])</f>
        <v>2023</v>
      </c>
      <c r="M994" t="str">
        <f>IF(discount_impact_on_profit_2000_rows[[#This Row],[Discount %]]=0,"Zero Discount",IF(discount_impact_on_profit_2000_rows[[#This Row],[Discount %]]&lt;=10,"Low Discount","High Discount"))</f>
        <v>Low Discount</v>
      </c>
      <c r="N994" t="str">
        <f t="shared" si="15"/>
        <v>0-10%</v>
      </c>
    </row>
    <row r="995" spans="1:14">
      <c r="A995" s="1">
        <v>45533</v>
      </c>
      <c r="B995" t="s">
        <v>1057</v>
      </c>
      <c r="C995" t="s">
        <v>53</v>
      </c>
      <c r="D995" t="s">
        <v>54</v>
      </c>
      <c r="E995">
        <v>4260.6499999999996</v>
      </c>
      <c r="F995" t="s">
        <v>26</v>
      </c>
      <c r="G995">
        <v>6608.28</v>
      </c>
      <c r="H995">
        <v>2347.63</v>
      </c>
      <c r="I995">
        <v>20</v>
      </c>
      <c r="J995">
        <v>4</v>
      </c>
      <c r="K995" t="str">
        <f>TEXT(discount_impact_on_profit_2000_rows[[#This Row],[order date]],"mmmm")</f>
        <v>August</v>
      </c>
      <c r="L995">
        <f>YEAR(discount_impact_on_profit_2000_rows[[#This Row],[order date]])</f>
        <v>2024</v>
      </c>
      <c r="M995" t="str">
        <f>IF(discount_impact_on_profit_2000_rows[[#This Row],[Discount %]]=0,"Zero Discount",IF(discount_impact_on_profit_2000_rows[[#This Row],[Discount %]]&lt;=10,"Low Discount","High Discount"))</f>
        <v>High Discount</v>
      </c>
      <c r="N995" t="str">
        <f t="shared" si="15"/>
        <v>10-20%</v>
      </c>
    </row>
    <row r="996" spans="1:14">
      <c r="A996" s="1">
        <v>45919</v>
      </c>
      <c r="B996" t="s">
        <v>1058</v>
      </c>
      <c r="C996" t="s">
        <v>15</v>
      </c>
      <c r="D996" t="s">
        <v>99</v>
      </c>
      <c r="E996">
        <v>8462.84</v>
      </c>
      <c r="F996" t="s">
        <v>26</v>
      </c>
      <c r="G996">
        <v>13539.86</v>
      </c>
      <c r="H996">
        <v>5077.0200000000004</v>
      </c>
      <c r="I996">
        <v>0</v>
      </c>
      <c r="J996">
        <v>3</v>
      </c>
      <c r="K996" t="str">
        <f>TEXT(discount_impact_on_profit_2000_rows[[#This Row],[order date]],"mmmm")</f>
        <v>September</v>
      </c>
      <c r="L996">
        <f>YEAR(discount_impact_on_profit_2000_rows[[#This Row],[order date]])</f>
        <v>2025</v>
      </c>
      <c r="M996" t="str">
        <f>IF(discount_impact_on_profit_2000_rows[[#This Row],[Discount %]]=0,"Zero Discount",IF(discount_impact_on_profit_2000_rows[[#This Row],[Discount %]]&lt;=10,"Low Discount","High Discount"))</f>
        <v>Zero Discount</v>
      </c>
      <c r="N996" t="str">
        <f t="shared" si="15"/>
        <v>0-10%</v>
      </c>
    </row>
    <row r="997" spans="1:14">
      <c r="A997" s="1">
        <v>45444</v>
      </c>
      <c r="B997" t="s">
        <v>1059</v>
      </c>
      <c r="C997" t="s">
        <v>21</v>
      </c>
      <c r="D997" t="s">
        <v>109</v>
      </c>
      <c r="E997">
        <v>3575.21</v>
      </c>
      <c r="F997" t="s">
        <v>13</v>
      </c>
      <c r="G997">
        <v>4180.47</v>
      </c>
      <c r="H997">
        <v>605.26</v>
      </c>
      <c r="I997">
        <v>5</v>
      </c>
      <c r="J997">
        <v>2</v>
      </c>
      <c r="K997" t="str">
        <f>TEXT(discount_impact_on_profit_2000_rows[[#This Row],[order date]],"mmmm")</f>
        <v>June</v>
      </c>
      <c r="L997">
        <f>YEAR(discount_impact_on_profit_2000_rows[[#This Row],[order date]])</f>
        <v>2024</v>
      </c>
      <c r="M997" t="str">
        <f>IF(discount_impact_on_profit_2000_rows[[#This Row],[Discount %]]=0,"Zero Discount",IF(discount_impact_on_profit_2000_rows[[#This Row],[Discount %]]&lt;=10,"Low Discount","High Discount"))</f>
        <v>Low Discount</v>
      </c>
      <c r="N997" t="str">
        <f t="shared" si="15"/>
        <v>0-10%</v>
      </c>
    </row>
    <row r="998" spans="1:14">
      <c r="A998" s="1">
        <v>45550</v>
      </c>
      <c r="B998" t="s">
        <v>1060</v>
      </c>
      <c r="C998" t="s">
        <v>33</v>
      </c>
      <c r="D998" t="s">
        <v>102</v>
      </c>
      <c r="E998">
        <v>2690.55</v>
      </c>
      <c r="F998" t="s">
        <v>31</v>
      </c>
      <c r="G998">
        <v>3830.11</v>
      </c>
      <c r="H998">
        <v>1139.56</v>
      </c>
      <c r="I998">
        <v>10</v>
      </c>
      <c r="J998">
        <v>2</v>
      </c>
      <c r="K998" t="str">
        <f>TEXT(discount_impact_on_profit_2000_rows[[#This Row],[order date]],"mmmm")</f>
        <v>September</v>
      </c>
      <c r="L998">
        <f>YEAR(discount_impact_on_profit_2000_rows[[#This Row],[order date]])</f>
        <v>2024</v>
      </c>
      <c r="M998" t="str">
        <f>IF(discount_impact_on_profit_2000_rows[[#This Row],[Discount %]]=0,"Zero Discount",IF(discount_impact_on_profit_2000_rows[[#This Row],[Discount %]]&lt;=10,"Low Discount","High Discount"))</f>
        <v>Low Discount</v>
      </c>
      <c r="N998" t="str">
        <f t="shared" si="15"/>
        <v>0-10%</v>
      </c>
    </row>
    <row r="999" spans="1:14">
      <c r="A999" s="1">
        <v>45959</v>
      </c>
      <c r="B999" t="s">
        <v>1061</v>
      </c>
      <c r="C999" t="s">
        <v>21</v>
      </c>
      <c r="D999" t="s">
        <v>154</v>
      </c>
      <c r="E999">
        <v>11782.72</v>
      </c>
      <c r="F999" t="s">
        <v>13</v>
      </c>
      <c r="G999">
        <v>17629.849999999999</v>
      </c>
      <c r="H999">
        <v>5847.13</v>
      </c>
      <c r="I999">
        <v>0</v>
      </c>
      <c r="J999">
        <v>2</v>
      </c>
      <c r="K999" t="str">
        <f>TEXT(discount_impact_on_profit_2000_rows[[#This Row],[order date]],"mmmm")</f>
        <v>October</v>
      </c>
      <c r="L999">
        <f>YEAR(discount_impact_on_profit_2000_rows[[#This Row],[order date]])</f>
        <v>2025</v>
      </c>
      <c r="M999" t="str">
        <f>IF(discount_impact_on_profit_2000_rows[[#This Row],[Discount %]]=0,"Zero Discount",IF(discount_impact_on_profit_2000_rows[[#This Row],[Discount %]]&lt;=10,"Low Discount","High Discount"))</f>
        <v>Zero Discount</v>
      </c>
      <c r="N999" t="str">
        <f t="shared" si="15"/>
        <v>0-10%</v>
      </c>
    </row>
    <row r="1000" spans="1:14">
      <c r="A1000" s="1">
        <v>45948</v>
      </c>
      <c r="B1000" t="s">
        <v>1062</v>
      </c>
      <c r="C1000" t="s">
        <v>18</v>
      </c>
      <c r="D1000" t="s">
        <v>50</v>
      </c>
      <c r="E1000">
        <v>1000.95</v>
      </c>
      <c r="F1000" t="s">
        <v>23</v>
      </c>
      <c r="G1000">
        <v>1294.3800000000001</v>
      </c>
      <c r="H1000">
        <v>293.43</v>
      </c>
      <c r="I1000">
        <v>15</v>
      </c>
      <c r="J1000">
        <v>2</v>
      </c>
      <c r="K1000" t="str">
        <f>TEXT(discount_impact_on_profit_2000_rows[[#This Row],[order date]],"mmmm")</f>
        <v>October</v>
      </c>
      <c r="L1000">
        <f>YEAR(discount_impact_on_profit_2000_rows[[#This Row],[order date]])</f>
        <v>2025</v>
      </c>
      <c r="M1000" t="str">
        <f>IF(discount_impact_on_profit_2000_rows[[#This Row],[Discount %]]=0,"Zero Discount",IF(discount_impact_on_profit_2000_rows[[#This Row],[Discount %]]&lt;=10,"Low Discount","High Discount"))</f>
        <v>High Discount</v>
      </c>
      <c r="N1000" t="str">
        <f t="shared" si="15"/>
        <v>10-20%</v>
      </c>
    </row>
    <row r="1001" spans="1:14">
      <c r="A1001" s="1">
        <v>45490</v>
      </c>
      <c r="B1001" t="s">
        <v>1063</v>
      </c>
      <c r="C1001" t="s">
        <v>33</v>
      </c>
      <c r="D1001" t="s">
        <v>102</v>
      </c>
      <c r="E1001">
        <v>2665.19</v>
      </c>
      <c r="F1001" t="s">
        <v>36</v>
      </c>
      <c r="G1001">
        <v>4123.84</v>
      </c>
      <c r="H1001">
        <v>1458.65</v>
      </c>
      <c r="I1001">
        <v>5</v>
      </c>
      <c r="J1001">
        <v>1</v>
      </c>
      <c r="K1001" t="str">
        <f>TEXT(discount_impact_on_profit_2000_rows[[#This Row],[order date]],"mmmm")</f>
        <v>July</v>
      </c>
      <c r="L1001">
        <f>YEAR(discount_impact_on_profit_2000_rows[[#This Row],[order date]])</f>
        <v>2024</v>
      </c>
      <c r="M1001" t="str">
        <f>IF(discount_impact_on_profit_2000_rows[[#This Row],[Discount %]]=0,"Zero Discount",IF(discount_impact_on_profit_2000_rows[[#This Row],[Discount %]]&lt;=10,"Low Discount","High Discount"))</f>
        <v>Low Discount</v>
      </c>
      <c r="N1001" t="str">
        <f t="shared" si="15"/>
        <v>0-10%</v>
      </c>
    </row>
    <row r="1002" spans="1:14">
      <c r="A1002" s="1">
        <v>45206</v>
      </c>
      <c r="B1002" t="s">
        <v>1064</v>
      </c>
      <c r="C1002" t="s">
        <v>21</v>
      </c>
      <c r="D1002" t="s">
        <v>22</v>
      </c>
      <c r="E1002">
        <v>11867.25</v>
      </c>
      <c r="F1002" t="s">
        <v>26</v>
      </c>
      <c r="G1002">
        <v>12737.51</v>
      </c>
      <c r="H1002">
        <v>870.26</v>
      </c>
      <c r="I1002">
        <v>20</v>
      </c>
      <c r="J1002">
        <v>3</v>
      </c>
      <c r="K1002" t="str">
        <f>TEXT(discount_impact_on_profit_2000_rows[[#This Row],[order date]],"mmmm")</f>
        <v>October</v>
      </c>
      <c r="L1002">
        <f>YEAR(discount_impact_on_profit_2000_rows[[#This Row],[order date]])</f>
        <v>2023</v>
      </c>
      <c r="M1002" t="str">
        <f>IF(discount_impact_on_profit_2000_rows[[#This Row],[Discount %]]=0,"Zero Discount",IF(discount_impact_on_profit_2000_rows[[#This Row],[Discount %]]&lt;=10,"Low Discount","High Discount"))</f>
        <v>High Discount</v>
      </c>
      <c r="N1002" t="str">
        <f t="shared" si="15"/>
        <v>10-20%</v>
      </c>
    </row>
    <row r="1003" spans="1:14">
      <c r="A1003" s="1">
        <v>45361</v>
      </c>
      <c r="B1003" t="s">
        <v>1065</v>
      </c>
      <c r="C1003" t="s">
        <v>18</v>
      </c>
      <c r="D1003" t="s">
        <v>88</v>
      </c>
      <c r="E1003">
        <v>188.68</v>
      </c>
      <c r="F1003" t="s">
        <v>31</v>
      </c>
      <c r="G1003">
        <v>246.62</v>
      </c>
      <c r="H1003">
        <v>57.94</v>
      </c>
      <c r="I1003">
        <v>25</v>
      </c>
      <c r="J1003">
        <v>1</v>
      </c>
      <c r="K1003" t="str">
        <f>TEXT(discount_impact_on_profit_2000_rows[[#This Row],[order date]],"mmmm")</f>
        <v>March</v>
      </c>
      <c r="L1003">
        <f>YEAR(discount_impact_on_profit_2000_rows[[#This Row],[order date]])</f>
        <v>2024</v>
      </c>
      <c r="M1003" t="str">
        <f>IF(discount_impact_on_profit_2000_rows[[#This Row],[Discount %]]=0,"Zero Discount",IF(discount_impact_on_profit_2000_rows[[#This Row],[Discount %]]&lt;=10,"Low Discount","High Discount"))</f>
        <v>High Discount</v>
      </c>
      <c r="N1003" t="str">
        <f t="shared" si="15"/>
        <v>20-30%</v>
      </c>
    </row>
    <row r="1004" spans="1:14">
      <c r="A1004" s="1">
        <v>45661</v>
      </c>
      <c r="B1004" t="s">
        <v>1066</v>
      </c>
      <c r="C1004" t="s">
        <v>53</v>
      </c>
      <c r="D1004" t="s">
        <v>70</v>
      </c>
      <c r="E1004">
        <v>1227.72</v>
      </c>
      <c r="F1004" t="s">
        <v>26</v>
      </c>
      <c r="G1004">
        <v>2726.33</v>
      </c>
      <c r="H1004">
        <v>1498.61</v>
      </c>
      <c r="I1004">
        <v>5</v>
      </c>
      <c r="J1004">
        <v>2</v>
      </c>
      <c r="K1004" t="str">
        <f>TEXT(discount_impact_on_profit_2000_rows[[#This Row],[order date]],"mmmm")</f>
        <v>January</v>
      </c>
      <c r="L1004">
        <f>YEAR(discount_impact_on_profit_2000_rows[[#This Row],[order date]])</f>
        <v>2025</v>
      </c>
      <c r="M1004" t="str">
        <f>IF(discount_impact_on_profit_2000_rows[[#This Row],[Discount %]]=0,"Zero Discount",IF(discount_impact_on_profit_2000_rows[[#This Row],[Discount %]]&lt;=10,"Low Discount","High Discount"))</f>
        <v>Low Discount</v>
      </c>
      <c r="N1004" t="str">
        <f t="shared" si="15"/>
        <v>0-10%</v>
      </c>
    </row>
    <row r="1005" spans="1:14">
      <c r="A1005" s="1">
        <v>45379</v>
      </c>
      <c r="B1005" t="s">
        <v>1067</v>
      </c>
      <c r="C1005" t="s">
        <v>33</v>
      </c>
      <c r="D1005" t="s">
        <v>92</v>
      </c>
      <c r="E1005">
        <v>3188.74</v>
      </c>
      <c r="F1005" t="s">
        <v>26</v>
      </c>
      <c r="G1005">
        <v>4486.97</v>
      </c>
      <c r="H1005">
        <v>1298.23</v>
      </c>
      <c r="I1005">
        <v>5</v>
      </c>
      <c r="J1005">
        <v>1</v>
      </c>
      <c r="K1005" t="str">
        <f>TEXT(discount_impact_on_profit_2000_rows[[#This Row],[order date]],"mmmm")</f>
        <v>March</v>
      </c>
      <c r="L1005">
        <f>YEAR(discount_impact_on_profit_2000_rows[[#This Row],[order date]])</f>
        <v>2024</v>
      </c>
      <c r="M1005" t="str">
        <f>IF(discount_impact_on_profit_2000_rows[[#This Row],[Discount %]]=0,"Zero Discount",IF(discount_impact_on_profit_2000_rows[[#This Row],[Discount %]]&lt;=10,"Low Discount","High Discount"))</f>
        <v>Low Discount</v>
      </c>
      <c r="N1005" t="str">
        <f t="shared" si="15"/>
        <v>0-10%</v>
      </c>
    </row>
    <row r="1006" spans="1:14">
      <c r="A1006" s="1">
        <v>45363</v>
      </c>
      <c r="B1006" t="s">
        <v>1068</v>
      </c>
      <c r="C1006" t="s">
        <v>33</v>
      </c>
      <c r="D1006" t="s">
        <v>34</v>
      </c>
      <c r="E1006">
        <v>25488.06</v>
      </c>
      <c r="F1006" t="s">
        <v>26</v>
      </c>
      <c r="G1006">
        <v>31294.78</v>
      </c>
      <c r="H1006">
        <v>5806.72</v>
      </c>
      <c r="I1006">
        <v>20</v>
      </c>
      <c r="J1006">
        <v>6</v>
      </c>
      <c r="K1006" t="str">
        <f>TEXT(discount_impact_on_profit_2000_rows[[#This Row],[order date]],"mmmm")</f>
        <v>March</v>
      </c>
      <c r="L1006">
        <f>YEAR(discount_impact_on_profit_2000_rows[[#This Row],[order date]])</f>
        <v>2024</v>
      </c>
      <c r="M1006" t="str">
        <f>IF(discount_impact_on_profit_2000_rows[[#This Row],[Discount %]]=0,"Zero Discount",IF(discount_impact_on_profit_2000_rows[[#This Row],[Discount %]]&lt;=10,"Low Discount","High Discount"))</f>
        <v>High Discount</v>
      </c>
      <c r="N1006" t="str">
        <f t="shared" si="15"/>
        <v>10-20%</v>
      </c>
    </row>
    <row r="1007" spans="1:14">
      <c r="A1007" s="1">
        <v>45542</v>
      </c>
      <c r="B1007" t="s">
        <v>1069</v>
      </c>
      <c r="C1007" t="s">
        <v>11</v>
      </c>
      <c r="D1007" t="s">
        <v>12</v>
      </c>
      <c r="E1007">
        <v>1900.23</v>
      </c>
      <c r="F1007" t="s">
        <v>23</v>
      </c>
      <c r="G1007">
        <v>3604.87</v>
      </c>
      <c r="H1007">
        <v>1704.64</v>
      </c>
      <c r="I1007">
        <v>5</v>
      </c>
      <c r="J1007">
        <v>3</v>
      </c>
      <c r="K1007" t="str">
        <f>TEXT(discount_impact_on_profit_2000_rows[[#This Row],[order date]],"mmmm")</f>
        <v>September</v>
      </c>
      <c r="L1007">
        <f>YEAR(discount_impact_on_profit_2000_rows[[#This Row],[order date]])</f>
        <v>2024</v>
      </c>
      <c r="M1007" t="str">
        <f>IF(discount_impact_on_profit_2000_rows[[#This Row],[Discount %]]=0,"Zero Discount",IF(discount_impact_on_profit_2000_rows[[#This Row],[Discount %]]&lt;=10,"Low Discount","High Discount"))</f>
        <v>Low Discount</v>
      </c>
      <c r="N1007" t="str">
        <f t="shared" si="15"/>
        <v>0-10%</v>
      </c>
    </row>
    <row r="1008" spans="1:14">
      <c r="A1008" s="1">
        <v>45261</v>
      </c>
      <c r="B1008" t="s">
        <v>1070</v>
      </c>
      <c r="C1008" t="s">
        <v>53</v>
      </c>
      <c r="D1008" t="s">
        <v>95</v>
      </c>
      <c r="E1008">
        <v>845.42</v>
      </c>
      <c r="F1008" t="s">
        <v>31</v>
      </c>
      <c r="G1008">
        <v>1376.38</v>
      </c>
      <c r="H1008">
        <v>530.96</v>
      </c>
      <c r="I1008">
        <v>5</v>
      </c>
      <c r="J1008">
        <v>2</v>
      </c>
      <c r="K1008" t="str">
        <f>TEXT(discount_impact_on_profit_2000_rows[[#This Row],[order date]],"mmmm")</f>
        <v>December</v>
      </c>
      <c r="L1008">
        <f>YEAR(discount_impact_on_profit_2000_rows[[#This Row],[order date]])</f>
        <v>2023</v>
      </c>
      <c r="M1008" t="str">
        <f>IF(discount_impact_on_profit_2000_rows[[#This Row],[Discount %]]=0,"Zero Discount",IF(discount_impact_on_profit_2000_rows[[#This Row],[Discount %]]&lt;=10,"Low Discount","High Discount"))</f>
        <v>Low Discount</v>
      </c>
      <c r="N1008" t="str">
        <f t="shared" si="15"/>
        <v>0-10%</v>
      </c>
    </row>
    <row r="1009" spans="1:14">
      <c r="A1009" s="1">
        <v>45162</v>
      </c>
      <c r="B1009" t="s">
        <v>1071</v>
      </c>
      <c r="C1009" t="s">
        <v>18</v>
      </c>
      <c r="D1009" t="s">
        <v>50</v>
      </c>
      <c r="E1009">
        <v>1777.58</v>
      </c>
      <c r="F1009" t="s">
        <v>23</v>
      </c>
      <c r="G1009">
        <v>2268.4</v>
      </c>
      <c r="H1009">
        <v>490.82</v>
      </c>
      <c r="I1009">
        <v>25</v>
      </c>
      <c r="J1009">
        <v>2</v>
      </c>
      <c r="K1009" t="str">
        <f>TEXT(discount_impact_on_profit_2000_rows[[#This Row],[order date]],"mmmm")</f>
        <v>August</v>
      </c>
      <c r="L1009">
        <f>YEAR(discount_impact_on_profit_2000_rows[[#This Row],[order date]])</f>
        <v>2023</v>
      </c>
      <c r="M1009" t="str">
        <f>IF(discount_impact_on_profit_2000_rows[[#This Row],[Discount %]]=0,"Zero Discount",IF(discount_impact_on_profit_2000_rows[[#This Row],[Discount %]]&lt;=10,"Low Discount","High Discount"))</f>
        <v>High Discount</v>
      </c>
      <c r="N1009" t="str">
        <f t="shared" si="15"/>
        <v>20-30%</v>
      </c>
    </row>
    <row r="1010" spans="1:14">
      <c r="A1010" s="1">
        <v>45196</v>
      </c>
      <c r="B1010" t="s">
        <v>1072</v>
      </c>
      <c r="C1010" t="s">
        <v>21</v>
      </c>
      <c r="D1010" t="s">
        <v>46</v>
      </c>
      <c r="E1010">
        <v>1796.98</v>
      </c>
      <c r="F1010" t="s">
        <v>36</v>
      </c>
      <c r="G1010">
        <v>1946.7</v>
      </c>
      <c r="H1010">
        <v>149.72</v>
      </c>
      <c r="I1010">
        <v>20</v>
      </c>
      <c r="J1010">
        <v>2</v>
      </c>
      <c r="K1010" t="str">
        <f>TEXT(discount_impact_on_profit_2000_rows[[#This Row],[order date]],"mmmm")</f>
        <v>September</v>
      </c>
      <c r="L1010">
        <f>YEAR(discount_impact_on_profit_2000_rows[[#This Row],[order date]])</f>
        <v>2023</v>
      </c>
      <c r="M1010" t="str">
        <f>IF(discount_impact_on_profit_2000_rows[[#This Row],[Discount %]]=0,"Zero Discount",IF(discount_impact_on_profit_2000_rows[[#This Row],[Discount %]]&lt;=10,"Low Discount","High Discount"))</f>
        <v>High Discount</v>
      </c>
      <c r="N1010" t="str">
        <f t="shared" si="15"/>
        <v>10-20%</v>
      </c>
    </row>
    <row r="1011" spans="1:14">
      <c r="A1011" s="1">
        <v>45868</v>
      </c>
      <c r="B1011" t="s">
        <v>1073</v>
      </c>
      <c r="C1011" t="s">
        <v>53</v>
      </c>
      <c r="D1011" t="s">
        <v>54</v>
      </c>
      <c r="E1011">
        <v>4531.3</v>
      </c>
      <c r="F1011" t="s">
        <v>31</v>
      </c>
      <c r="G1011">
        <v>9209</v>
      </c>
      <c r="H1011">
        <v>4677.7</v>
      </c>
      <c r="I1011">
        <v>10</v>
      </c>
      <c r="J1011">
        <v>3</v>
      </c>
      <c r="K1011" t="str">
        <f>TEXT(discount_impact_on_profit_2000_rows[[#This Row],[order date]],"mmmm")</f>
        <v>July</v>
      </c>
      <c r="L1011">
        <f>YEAR(discount_impact_on_profit_2000_rows[[#This Row],[order date]])</f>
        <v>2025</v>
      </c>
      <c r="M1011" t="str">
        <f>IF(discount_impact_on_profit_2000_rows[[#This Row],[Discount %]]=0,"Zero Discount",IF(discount_impact_on_profit_2000_rows[[#This Row],[Discount %]]&lt;=10,"Low Discount","High Discount"))</f>
        <v>Low Discount</v>
      </c>
      <c r="N1011" t="str">
        <f t="shared" si="15"/>
        <v>0-10%</v>
      </c>
    </row>
    <row r="1012" spans="1:14">
      <c r="A1012" s="1">
        <v>45279</v>
      </c>
      <c r="B1012" t="s">
        <v>1074</v>
      </c>
      <c r="C1012" t="s">
        <v>11</v>
      </c>
      <c r="D1012" t="s">
        <v>12</v>
      </c>
      <c r="E1012">
        <v>617.26</v>
      </c>
      <c r="F1012" t="s">
        <v>13</v>
      </c>
      <c r="G1012">
        <v>913.62</v>
      </c>
      <c r="H1012">
        <v>296.36</v>
      </c>
      <c r="I1012">
        <v>10</v>
      </c>
      <c r="J1012">
        <v>2</v>
      </c>
      <c r="K1012" t="str">
        <f>TEXT(discount_impact_on_profit_2000_rows[[#This Row],[order date]],"mmmm")</f>
        <v>December</v>
      </c>
      <c r="L1012">
        <f>YEAR(discount_impact_on_profit_2000_rows[[#This Row],[order date]])</f>
        <v>2023</v>
      </c>
      <c r="M1012" t="str">
        <f>IF(discount_impact_on_profit_2000_rows[[#This Row],[Discount %]]=0,"Zero Discount",IF(discount_impact_on_profit_2000_rows[[#This Row],[Discount %]]&lt;=10,"Low Discount","High Discount"))</f>
        <v>Low Discount</v>
      </c>
      <c r="N1012" t="str">
        <f t="shared" si="15"/>
        <v>0-10%</v>
      </c>
    </row>
    <row r="1013" spans="1:14">
      <c r="A1013" s="1">
        <v>45572</v>
      </c>
      <c r="B1013" t="s">
        <v>1075</v>
      </c>
      <c r="C1013" t="s">
        <v>11</v>
      </c>
      <c r="D1013" t="s">
        <v>25</v>
      </c>
      <c r="E1013">
        <v>918.92</v>
      </c>
      <c r="F1013" t="s">
        <v>23</v>
      </c>
      <c r="G1013">
        <v>2029.68</v>
      </c>
      <c r="H1013">
        <v>1110.76</v>
      </c>
      <c r="I1013">
        <v>15</v>
      </c>
      <c r="J1013">
        <v>6</v>
      </c>
      <c r="K1013" t="str">
        <f>TEXT(discount_impact_on_profit_2000_rows[[#This Row],[order date]],"mmmm")</f>
        <v>October</v>
      </c>
      <c r="L1013">
        <f>YEAR(discount_impact_on_profit_2000_rows[[#This Row],[order date]])</f>
        <v>2024</v>
      </c>
      <c r="M1013" t="str">
        <f>IF(discount_impact_on_profit_2000_rows[[#This Row],[Discount %]]=0,"Zero Discount",IF(discount_impact_on_profit_2000_rows[[#This Row],[Discount %]]&lt;=10,"Low Discount","High Discount"))</f>
        <v>High Discount</v>
      </c>
      <c r="N1013" t="str">
        <f t="shared" si="15"/>
        <v>10-20%</v>
      </c>
    </row>
    <row r="1014" spans="1:14">
      <c r="A1014" s="1">
        <v>46017</v>
      </c>
      <c r="B1014" t="s">
        <v>1076</v>
      </c>
      <c r="C1014" t="s">
        <v>11</v>
      </c>
      <c r="D1014" t="s">
        <v>207</v>
      </c>
      <c r="E1014">
        <v>2827.22</v>
      </c>
      <c r="F1014" t="s">
        <v>26</v>
      </c>
      <c r="G1014">
        <v>4082.06</v>
      </c>
      <c r="H1014">
        <v>1254.8399999999999</v>
      </c>
      <c r="I1014">
        <v>10</v>
      </c>
      <c r="J1014">
        <v>2</v>
      </c>
      <c r="K1014" t="str">
        <f>TEXT(discount_impact_on_profit_2000_rows[[#This Row],[order date]],"mmmm")</f>
        <v>December</v>
      </c>
      <c r="L1014">
        <f>YEAR(discount_impact_on_profit_2000_rows[[#This Row],[order date]])</f>
        <v>2025</v>
      </c>
      <c r="M1014" t="str">
        <f>IF(discount_impact_on_profit_2000_rows[[#This Row],[Discount %]]=0,"Zero Discount",IF(discount_impact_on_profit_2000_rows[[#This Row],[Discount %]]&lt;=10,"Low Discount","High Discount"))</f>
        <v>Low Discount</v>
      </c>
      <c r="N1014" t="str">
        <f t="shared" si="15"/>
        <v>0-10%</v>
      </c>
    </row>
    <row r="1015" spans="1:14">
      <c r="A1015" s="1">
        <v>45184</v>
      </c>
      <c r="B1015" t="s">
        <v>1077</v>
      </c>
      <c r="C1015" t="s">
        <v>15</v>
      </c>
      <c r="D1015" t="s">
        <v>16</v>
      </c>
      <c r="E1015">
        <v>3623.94</v>
      </c>
      <c r="F1015" t="s">
        <v>31</v>
      </c>
      <c r="G1015">
        <v>3772.8</v>
      </c>
      <c r="H1015">
        <v>148.86000000000001</v>
      </c>
      <c r="I1015">
        <v>20</v>
      </c>
      <c r="J1015">
        <v>1</v>
      </c>
      <c r="K1015" t="str">
        <f>TEXT(discount_impact_on_profit_2000_rows[[#This Row],[order date]],"mmmm")</f>
        <v>September</v>
      </c>
      <c r="L1015">
        <f>YEAR(discount_impact_on_profit_2000_rows[[#This Row],[order date]])</f>
        <v>2023</v>
      </c>
      <c r="M1015" t="str">
        <f>IF(discount_impact_on_profit_2000_rows[[#This Row],[Discount %]]=0,"Zero Discount",IF(discount_impact_on_profit_2000_rows[[#This Row],[Discount %]]&lt;=10,"Low Discount","High Discount"))</f>
        <v>High Discount</v>
      </c>
      <c r="N1015" t="str">
        <f t="shared" si="15"/>
        <v>10-20%</v>
      </c>
    </row>
    <row r="1016" spans="1:14">
      <c r="A1016" s="1">
        <v>45591</v>
      </c>
      <c r="B1016" t="s">
        <v>1078</v>
      </c>
      <c r="C1016" t="s">
        <v>53</v>
      </c>
      <c r="D1016" t="s">
        <v>78</v>
      </c>
      <c r="E1016">
        <v>2380.9699999999998</v>
      </c>
      <c r="F1016" t="s">
        <v>36</v>
      </c>
      <c r="G1016">
        <v>3174.74</v>
      </c>
      <c r="H1016">
        <v>793.77</v>
      </c>
      <c r="I1016">
        <v>20</v>
      </c>
      <c r="J1016">
        <v>2</v>
      </c>
      <c r="K1016" t="str">
        <f>TEXT(discount_impact_on_profit_2000_rows[[#This Row],[order date]],"mmmm")</f>
        <v>October</v>
      </c>
      <c r="L1016">
        <f>YEAR(discount_impact_on_profit_2000_rows[[#This Row],[order date]])</f>
        <v>2024</v>
      </c>
      <c r="M1016" t="str">
        <f>IF(discount_impact_on_profit_2000_rows[[#This Row],[Discount %]]=0,"Zero Discount",IF(discount_impact_on_profit_2000_rows[[#This Row],[Discount %]]&lt;=10,"Low Discount","High Discount"))</f>
        <v>High Discount</v>
      </c>
      <c r="N1016" t="str">
        <f t="shared" si="15"/>
        <v>10-20%</v>
      </c>
    </row>
    <row r="1017" spans="1:14">
      <c r="A1017" s="1">
        <v>45071</v>
      </c>
      <c r="B1017" t="s">
        <v>1079</v>
      </c>
      <c r="C1017" t="s">
        <v>53</v>
      </c>
      <c r="D1017" t="s">
        <v>70</v>
      </c>
      <c r="E1017">
        <v>448.67</v>
      </c>
      <c r="F1017" t="s">
        <v>13</v>
      </c>
      <c r="G1017">
        <v>882.38</v>
      </c>
      <c r="H1017">
        <v>433.71</v>
      </c>
      <c r="I1017">
        <v>5</v>
      </c>
      <c r="J1017">
        <v>1</v>
      </c>
      <c r="K1017" t="str">
        <f>TEXT(discount_impact_on_profit_2000_rows[[#This Row],[order date]],"mmmm")</f>
        <v>May</v>
      </c>
      <c r="L1017">
        <f>YEAR(discount_impact_on_profit_2000_rows[[#This Row],[order date]])</f>
        <v>2023</v>
      </c>
      <c r="M1017" t="str">
        <f>IF(discount_impact_on_profit_2000_rows[[#This Row],[Discount %]]=0,"Zero Discount",IF(discount_impact_on_profit_2000_rows[[#This Row],[Discount %]]&lt;=10,"Low Discount","High Discount"))</f>
        <v>Low Discount</v>
      </c>
      <c r="N1017" t="str">
        <f t="shared" si="15"/>
        <v>0-10%</v>
      </c>
    </row>
    <row r="1018" spans="1:14">
      <c r="A1018" s="1">
        <v>45021</v>
      </c>
      <c r="B1018" t="s">
        <v>1080</v>
      </c>
      <c r="C1018" t="s">
        <v>18</v>
      </c>
      <c r="D1018" t="s">
        <v>188</v>
      </c>
      <c r="E1018">
        <v>265.23</v>
      </c>
      <c r="F1018" t="s">
        <v>23</v>
      </c>
      <c r="G1018">
        <v>353.81</v>
      </c>
      <c r="H1018">
        <v>88.58</v>
      </c>
      <c r="I1018">
        <v>10</v>
      </c>
      <c r="J1018">
        <v>1</v>
      </c>
      <c r="K1018" t="str">
        <f>TEXT(discount_impact_on_profit_2000_rows[[#This Row],[order date]],"mmmm")</f>
        <v>April</v>
      </c>
      <c r="L1018">
        <f>YEAR(discount_impact_on_profit_2000_rows[[#This Row],[order date]])</f>
        <v>2023</v>
      </c>
      <c r="M1018" t="str">
        <f>IF(discount_impact_on_profit_2000_rows[[#This Row],[Discount %]]=0,"Zero Discount",IF(discount_impact_on_profit_2000_rows[[#This Row],[Discount %]]&lt;=10,"Low Discount","High Discount"))</f>
        <v>Low Discount</v>
      </c>
      <c r="N1018" t="str">
        <f t="shared" si="15"/>
        <v>0-10%</v>
      </c>
    </row>
    <row r="1019" spans="1:14">
      <c r="A1019" s="1">
        <v>45457</v>
      </c>
      <c r="B1019" t="s">
        <v>1081</v>
      </c>
      <c r="C1019" t="s">
        <v>53</v>
      </c>
      <c r="D1019" t="s">
        <v>54</v>
      </c>
      <c r="E1019">
        <v>1326.32</v>
      </c>
      <c r="F1019" t="s">
        <v>31</v>
      </c>
      <c r="G1019">
        <v>1835.22</v>
      </c>
      <c r="H1019">
        <v>508.9</v>
      </c>
      <c r="I1019">
        <v>10</v>
      </c>
      <c r="J1019">
        <v>1</v>
      </c>
      <c r="K1019" t="str">
        <f>TEXT(discount_impact_on_profit_2000_rows[[#This Row],[order date]],"mmmm")</f>
        <v>June</v>
      </c>
      <c r="L1019">
        <f>YEAR(discount_impact_on_profit_2000_rows[[#This Row],[order date]])</f>
        <v>2024</v>
      </c>
      <c r="M1019" t="str">
        <f>IF(discount_impact_on_profit_2000_rows[[#This Row],[Discount %]]=0,"Zero Discount",IF(discount_impact_on_profit_2000_rows[[#This Row],[Discount %]]&lt;=10,"Low Discount","High Discount"))</f>
        <v>Low Discount</v>
      </c>
      <c r="N1019" t="str">
        <f t="shared" si="15"/>
        <v>0-10%</v>
      </c>
    </row>
    <row r="1020" spans="1:14">
      <c r="A1020" s="1">
        <v>45015</v>
      </c>
      <c r="B1020" t="s">
        <v>1082</v>
      </c>
      <c r="C1020" t="s">
        <v>15</v>
      </c>
      <c r="D1020" t="s">
        <v>84</v>
      </c>
      <c r="E1020">
        <v>3353.86</v>
      </c>
      <c r="F1020" t="s">
        <v>26</v>
      </c>
      <c r="G1020">
        <v>3643.48</v>
      </c>
      <c r="H1020">
        <v>289.62</v>
      </c>
      <c r="I1020">
        <v>20</v>
      </c>
      <c r="J1020">
        <v>2</v>
      </c>
      <c r="K1020" t="str">
        <f>TEXT(discount_impact_on_profit_2000_rows[[#This Row],[order date]],"mmmm")</f>
        <v>March</v>
      </c>
      <c r="L1020">
        <f>YEAR(discount_impact_on_profit_2000_rows[[#This Row],[order date]])</f>
        <v>2023</v>
      </c>
      <c r="M1020" t="str">
        <f>IF(discount_impact_on_profit_2000_rows[[#This Row],[Discount %]]=0,"Zero Discount",IF(discount_impact_on_profit_2000_rows[[#This Row],[Discount %]]&lt;=10,"Low Discount","High Discount"))</f>
        <v>High Discount</v>
      </c>
      <c r="N1020" t="str">
        <f t="shared" si="15"/>
        <v>10-20%</v>
      </c>
    </row>
    <row r="1021" spans="1:14">
      <c r="A1021" s="1">
        <v>44982</v>
      </c>
      <c r="B1021" t="s">
        <v>1083</v>
      </c>
      <c r="C1021" t="s">
        <v>15</v>
      </c>
      <c r="D1021" t="s">
        <v>76</v>
      </c>
      <c r="E1021">
        <v>1132.45</v>
      </c>
      <c r="F1021" t="s">
        <v>36</v>
      </c>
      <c r="G1021">
        <v>1446</v>
      </c>
      <c r="H1021">
        <v>313.55</v>
      </c>
      <c r="I1021">
        <v>10</v>
      </c>
      <c r="J1021">
        <v>1</v>
      </c>
      <c r="K1021" t="str">
        <f>TEXT(discount_impact_on_profit_2000_rows[[#This Row],[order date]],"mmmm")</f>
        <v>February</v>
      </c>
      <c r="L1021">
        <f>YEAR(discount_impact_on_profit_2000_rows[[#This Row],[order date]])</f>
        <v>2023</v>
      </c>
      <c r="M1021" t="str">
        <f>IF(discount_impact_on_profit_2000_rows[[#This Row],[Discount %]]=0,"Zero Discount",IF(discount_impact_on_profit_2000_rows[[#This Row],[Discount %]]&lt;=10,"Low Discount","High Discount"))</f>
        <v>Low Discount</v>
      </c>
      <c r="N1021" t="str">
        <f t="shared" si="15"/>
        <v>0-10%</v>
      </c>
    </row>
    <row r="1022" spans="1:14">
      <c r="A1022" s="1">
        <v>45760</v>
      </c>
      <c r="B1022" t="s">
        <v>1084</v>
      </c>
      <c r="C1022" t="s">
        <v>15</v>
      </c>
      <c r="D1022" t="s">
        <v>84</v>
      </c>
      <c r="E1022">
        <v>4949.01</v>
      </c>
      <c r="F1022" t="s">
        <v>31</v>
      </c>
      <c r="G1022">
        <v>5384.02</v>
      </c>
      <c r="H1022">
        <v>435.01</v>
      </c>
      <c r="I1022">
        <v>20</v>
      </c>
      <c r="J1022">
        <v>2</v>
      </c>
      <c r="K1022" t="str">
        <f>TEXT(discount_impact_on_profit_2000_rows[[#This Row],[order date]],"mmmm")</f>
        <v>April</v>
      </c>
      <c r="L1022">
        <f>YEAR(discount_impact_on_profit_2000_rows[[#This Row],[order date]])</f>
        <v>2025</v>
      </c>
      <c r="M1022" t="str">
        <f>IF(discount_impact_on_profit_2000_rows[[#This Row],[Discount %]]=0,"Zero Discount",IF(discount_impact_on_profit_2000_rows[[#This Row],[Discount %]]&lt;=10,"Low Discount","High Discount"))</f>
        <v>High Discount</v>
      </c>
      <c r="N1022" t="str">
        <f t="shared" si="15"/>
        <v>10-20%</v>
      </c>
    </row>
    <row r="1023" spans="1:14">
      <c r="A1023" s="1">
        <v>45951</v>
      </c>
      <c r="B1023" t="s">
        <v>1085</v>
      </c>
      <c r="C1023" t="s">
        <v>11</v>
      </c>
      <c r="D1023" t="s">
        <v>30</v>
      </c>
      <c r="E1023">
        <v>381.98</v>
      </c>
      <c r="F1023" t="s">
        <v>36</v>
      </c>
      <c r="G1023">
        <v>430.6</v>
      </c>
      <c r="H1023">
        <v>48.62</v>
      </c>
      <c r="I1023">
        <v>30</v>
      </c>
      <c r="J1023">
        <v>1</v>
      </c>
      <c r="K1023" t="str">
        <f>TEXT(discount_impact_on_profit_2000_rows[[#This Row],[order date]],"mmmm")</f>
        <v>October</v>
      </c>
      <c r="L1023">
        <f>YEAR(discount_impact_on_profit_2000_rows[[#This Row],[order date]])</f>
        <v>2025</v>
      </c>
      <c r="M1023" t="str">
        <f>IF(discount_impact_on_profit_2000_rows[[#This Row],[Discount %]]=0,"Zero Discount",IF(discount_impact_on_profit_2000_rows[[#This Row],[Discount %]]&lt;=10,"Low Discount","High Discount"))</f>
        <v>High Discount</v>
      </c>
      <c r="N1023" t="str">
        <f t="shared" si="15"/>
        <v>20-30%</v>
      </c>
    </row>
    <row r="1024" spans="1:14">
      <c r="A1024" s="1">
        <v>45554</v>
      </c>
      <c r="B1024" t="s">
        <v>1086</v>
      </c>
      <c r="C1024" t="s">
        <v>21</v>
      </c>
      <c r="D1024" t="s">
        <v>57</v>
      </c>
      <c r="E1024">
        <v>62039.38</v>
      </c>
      <c r="F1024" t="s">
        <v>36</v>
      </c>
      <c r="G1024">
        <v>75379.100000000006</v>
      </c>
      <c r="H1024">
        <v>13339.72</v>
      </c>
      <c r="I1024">
        <v>15</v>
      </c>
      <c r="J1024">
        <v>10</v>
      </c>
      <c r="K1024" t="str">
        <f>TEXT(discount_impact_on_profit_2000_rows[[#This Row],[order date]],"mmmm")</f>
        <v>September</v>
      </c>
      <c r="L1024">
        <f>YEAR(discount_impact_on_profit_2000_rows[[#This Row],[order date]])</f>
        <v>2024</v>
      </c>
      <c r="M1024" t="str">
        <f>IF(discount_impact_on_profit_2000_rows[[#This Row],[Discount %]]=0,"Zero Discount",IF(discount_impact_on_profit_2000_rows[[#This Row],[Discount %]]&lt;=10,"Low Discount","High Discount"))</f>
        <v>High Discount</v>
      </c>
      <c r="N1024" t="str">
        <f t="shared" si="15"/>
        <v>10-20%</v>
      </c>
    </row>
    <row r="1025" spans="1:14">
      <c r="A1025" s="1">
        <v>45954</v>
      </c>
      <c r="B1025" t="s">
        <v>1087</v>
      </c>
      <c r="C1025" t="s">
        <v>11</v>
      </c>
      <c r="D1025" t="s">
        <v>38</v>
      </c>
      <c r="E1025">
        <v>1338.63</v>
      </c>
      <c r="F1025" t="s">
        <v>26</v>
      </c>
      <c r="G1025">
        <v>1760.94</v>
      </c>
      <c r="H1025">
        <v>422.31</v>
      </c>
      <c r="I1025">
        <v>15</v>
      </c>
      <c r="J1025">
        <v>8</v>
      </c>
      <c r="K1025" t="str">
        <f>TEXT(discount_impact_on_profit_2000_rows[[#This Row],[order date]],"mmmm")</f>
        <v>October</v>
      </c>
      <c r="L1025">
        <f>YEAR(discount_impact_on_profit_2000_rows[[#This Row],[order date]])</f>
        <v>2025</v>
      </c>
      <c r="M1025" t="str">
        <f>IF(discount_impact_on_profit_2000_rows[[#This Row],[Discount %]]=0,"Zero Discount",IF(discount_impact_on_profit_2000_rows[[#This Row],[Discount %]]&lt;=10,"Low Discount","High Discount"))</f>
        <v>High Discount</v>
      </c>
      <c r="N1025" t="str">
        <f t="shared" si="15"/>
        <v>10-20%</v>
      </c>
    </row>
    <row r="1026" spans="1:14">
      <c r="A1026" s="1">
        <v>45185</v>
      </c>
      <c r="B1026" t="s">
        <v>1088</v>
      </c>
      <c r="C1026" t="s">
        <v>33</v>
      </c>
      <c r="D1026" t="s">
        <v>92</v>
      </c>
      <c r="E1026">
        <v>18804.849999999999</v>
      </c>
      <c r="F1026" t="s">
        <v>13</v>
      </c>
      <c r="G1026">
        <v>24104.5</v>
      </c>
      <c r="H1026">
        <v>5299.65</v>
      </c>
      <c r="I1026">
        <v>10</v>
      </c>
      <c r="J1026">
        <v>1</v>
      </c>
      <c r="K1026" t="str">
        <f>TEXT(discount_impact_on_profit_2000_rows[[#This Row],[order date]],"mmmm")</f>
        <v>September</v>
      </c>
      <c r="L1026">
        <f>YEAR(discount_impact_on_profit_2000_rows[[#This Row],[order date]])</f>
        <v>2023</v>
      </c>
      <c r="M1026" t="str">
        <f>IF(discount_impact_on_profit_2000_rows[[#This Row],[Discount %]]=0,"Zero Discount",IF(discount_impact_on_profit_2000_rows[[#This Row],[Discount %]]&lt;=10,"Low Discount","High Discount"))</f>
        <v>Low Discount</v>
      </c>
      <c r="N1026" t="str">
        <f t="shared" ref="N1026:N1089" si="16">IF(I1026&lt;=10,"0-10%",IF(I1026&lt;=20,"10-20%",IF(I1026&lt;=30,"20-30%","30%+")))</f>
        <v>0-10%</v>
      </c>
    </row>
    <row r="1027" spans="1:14">
      <c r="A1027" s="1">
        <v>44967</v>
      </c>
      <c r="B1027" t="s">
        <v>1089</v>
      </c>
      <c r="C1027" t="s">
        <v>33</v>
      </c>
      <c r="D1027" t="s">
        <v>92</v>
      </c>
      <c r="E1027">
        <v>11504.1</v>
      </c>
      <c r="F1027" t="s">
        <v>36</v>
      </c>
      <c r="G1027">
        <v>13832.48</v>
      </c>
      <c r="H1027">
        <v>2328.38</v>
      </c>
      <c r="I1027">
        <v>15</v>
      </c>
      <c r="J1027">
        <v>2</v>
      </c>
      <c r="K1027" t="str">
        <f>TEXT(discount_impact_on_profit_2000_rows[[#This Row],[order date]],"mmmm")</f>
        <v>February</v>
      </c>
      <c r="L1027">
        <f>YEAR(discount_impact_on_profit_2000_rows[[#This Row],[order date]])</f>
        <v>2023</v>
      </c>
      <c r="M1027" t="str">
        <f>IF(discount_impact_on_profit_2000_rows[[#This Row],[Discount %]]=0,"Zero Discount",IF(discount_impact_on_profit_2000_rows[[#This Row],[Discount %]]&lt;=10,"Low Discount","High Discount"))</f>
        <v>High Discount</v>
      </c>
      <c r="N1027" t="str">
        <f t="shared" si="16"/>
        <v>10-20%</v>
      </c>
    </row>
    <row r="1028" spans="1:14">
      <c r="A1028" s="1">
        <v>45184</v>
      </c>
      <c r="B1028" t="s">
        <v>1090</v>
      </c>
      <c r="C1028" t="s">
        <v>15</v>
      </c>
      <c r="D1028" t="s">
        <v>28</v>
      </c>
      <c r="E1028">
        <v>12836.92</v>
      </c>
      <c r="F1028" t="s">
        <v>26</v>
      </c>
      <c r="G1028">
        <v>18631.919999999998</v>
      </c>
      <c r="H1028">
        <v>5795</v>
      </c>
      <c r="I1028">
        <v>10</v>
      </c>
      <c r="J1028">
        <v>2</v>
      </c>
      <c r="K1028" t="str">
        <f>TEXT(discount_impact_on_profit_2000_rows[[#This Row],[order date]],"mmmm")</f>
        <v>September</v>
      </c>
      <c r="L1028">
        <f>YEAR(discount_impact_on_profit_2000_rows[[#This Row],[order date]])</f>
        <v>2023</v>
      </c>
      <c r="M1028" t="str">
        <f>IF(discount_impact_on_profit_2000_rows[[#This Row],[Discount %]]=0,"Zero Discount",IF(discount_impact_on_profit_2000_rows[[#This Row],[Discount %]]&lt;=10,"Low Discount","High Discount"))</f>
        <v>Low Discount</v>
      </c>
      <c r="N1028" t="str">
        <f t="shared" si="16"/>
        <v>0-10%</v>
      </c>
    </row>
    <row r="1029" spans="1:14">
      <c r="A1029" s="1">
        <v>45595</v>
      </c>
      <c r="B1029" t="s">
        <v>1091</v>
      </c>
      <c r="C1029" t="s">
        <v>18</v>
      </c>
      <c r="D1029" t="s">
        <v>188</v>
      </c>
      <c r="E1029">
        <v>578.35</v>
      </c>
      <c r="F1029" t="s">
        <v>31</v>
      </c>
      <c r="G1029">
        <v>1051.67</v>
      </c>
      <c r="H1029">
        <v>473.32</v>
      </c>
      <c r="I1029">
        <v>0</v>
      </c>
      <c r="J1029">
        <v>1</v>
      </c>
      <c r="K1029" t="str">
        <f>TEXT(discount_impact_on_profit_2000_rows[[#This Row],[order date]],"mmmm")</f>
        <v>October</v>
      </c>
      <c r="L1029">
        <f>YEAR(discount_impact_on_profit_2000_rows[[#This Row],[order date]])</f>
        <v>2024</v>
      </c>
      <c r="M1029" t="str">
        <f>IF(discount_impact_on_profit_2000_rows[[#This Row],[Discount %]]=0,"Zero Discount",IF(discount_impact_on_profit_2000_rows[[#This Row],[Discount %]]&lt;=10,"Low Discount","High Discount"))</f>
        <v>Zero Discount</v>
      </c>
      <c r="N1029" t="str">
        <f t="shared" si="16"/>
        <v>0-10%</v>
      </c>
    </row>
    <row r="1030" spans="1:14">
      <c r="A1030" s="1">
        <v>45016</v>
      </c>
      <c r="B1030" t="s">
        <v>1092</v>
      </c>
      <c r="C1030" t="s">
        <v>15</v>
      </c>
      <c r="D1030" t="s">
        <v>16</v>
      </c>
      <c r="E1030">
        <v>11590.43</v>
      </c>
      <c r="F1030" t="s">
        <v>31</v>
      </c>
      <c r="G1030">
        <v>14596.35</v>
      </c>
      <c r="H1030">
        <v>3005.92</v>
      </c>
      <c r="I1030">
        <v>0</v>
      </c>
      <c r="J1030">
        <v>1</v>
      </c>
      <c r="K1030" t="str">
        <f>TEXT(discount_impact_on_profit_2000_rows[[#This Row],[order date]],"mmmm")</f>
        <v>March</v>
      </c>
      <c r="L1030">
        <f>YEAR(discount_impact_on_profit_2000_rows[[#This Row],[order date]])</f>
        <v>2023</v>
      </c>
      <c r="M1030" t="str">
        <f>IF(discount_impact_on_profit_2000_rows[[#This Row],[Discount %]]=0,"Zero Discount",IF(discount_impact_on_profit_2000_rows[[#This Row],[Discount %]]&lt;=10,"Low Discount","High Discount"))</f>
        <v>Zero Discount</v>
      </c>
      <c r="N1030" t="str">
        <f t="shared" si="16"/>
        <v>0-10%</v>
      </c>
    </row>
    <row r="1031" spans="1:14">
      <c r="A1031" s="1">
        <v>45161</v>
      </c>
      <c r="B1031" t="s">
        <v>1093</v>
      </c>
      <c r="C1031" t="s">
        <v>11</v>
      </c>
      <c r="D1031" t="s">
        <v>80</v>
      </c>
      <c r="E1031">
        <v>522.57000000000005</v>
      </c>
      <c r="F1031" t="s">
        <v>13</v>
      </c>
      <c r="G1031">
        <v>980.25</v>
      </c>
      <c r="H1031">
        <v>457.68</v>
      </c>
      <c r="I1031">
        <v>15</v>
      </c>
      <c r="J1031">
        <v>2</v>
      </c>
      <c r="K1031" t="str">
        <f>TEXT(discount_impact_on_profit_2000_rows[[#This Row],[order date]],"mmmm")</f>
        <v>August</v>
      </c>
      <c r="L1031">
        <f>YEAR(discount_impact_on_profit_2000_rows[[#This Row],[order date]])</f>
        <v>2023</v>
      </c>
      <c r="M1031" t="str">
        <f>IF(discount_impact_on_profit_2000_rows[[#This Row],[Discount %]]=0,"Zero Discount",IF(discount_impact_on_profit_2000_rows[[#This Row],[Discount %]]&lt;=10,"Low Discount","High Discount"))</f>
        <v>High Discount</v>
      </c>
      <c r="N1031" t="str">
        <f t="shared" si="16"/>
        <v>10-20%</v>
      </c>
    </row>
    <row r="1032" spans="1:14">
      <c r="A1032" s="1">
        <v>45099</v>
      </c>
      <c r="B1032" t="s">
        <v>1094</v>
      </c>
      <c r="C1032" t="s">
        <v>21</v>
      </c>
      <c r="D1032" t="s">
        <v>97</v>
      </c>
      <c r="E1032">
        <v>3957.64</v>
      </c>
      <c r="F1032" t="s">
        <v>36</v>
      </c>
      <c r="G1032">
        <v>4345.7299999999996</v>
      </c>
      <c r="H1032">
        <v>388.09</v>
      </c>
      <c r="I1032">
        <v>10</v>
      </c>
      <c r="J1032">
        <v>1</v>
      </c>
      <c r="K1032" t="str">
        <f>TEXT(discount_impact_on_profit_2000_rows[[#This Row],[order date]],"mmmm")</f>
        <v>June</v>
      </c>
      <c r="L1032">
        <f>YEAR(discount_impact_on_profit_2000_rows[[#This Row],[order date]])</f>
        <v>2023</v>
      </c>
      <c r="M1032" t="str">
        <f>IF(discount_impact_on_profit_2000_rows[[#This Row],[Discount %]]=0,"Zero Discount",IF(discount_impact_on_profit_2000_rows[[#This Row],[Discount %]]&lt;=10,"Low Discount","High Discount"))</f>
        <v>Low Discount</v>
      </c>
      <c r="N1032" t="str">
        <f t="shared" si="16"/>
        <v>0-10%</v>
      </c>
    </row>
    <row r="1033" spans="1:14">
      <c r="A1033" s="1">
        <v>45615</v>
      </c>
      <c r="B1033" t="s">
        <v>1095</v>
      </c>
      <c r="C1033" t="s">
        <v>18</v>
      </c>
      <c r="D1033" t="s">
        <v>19</v>
      </c>
      <c r="E1033">
        <v>105.51</v>
      </c>
      <c r="F1033" t="s">
        <v>36</v>
      </c>
      <c r="G1033">
        <v>184.77</v>
      </c>
      <c r="H1033">
        <v>79.260000000000005</v>
      </c>
      <c r="I1033">
        <v>5</v>
      </c>
      <c r="J1033">
        <v>1</v>
      </c>
      <c r="K1033" t="str">
        <f>TEXT(discount_impact_on_profit_2000_rows[[#This Row],[order date]],"mmmm")</f>
        <v>November</v>
      </c>
      <c r="L1033">
        <f>YEAR(discount_impact_on_profit_2000_rows[[#This Row],[order date]])</f>
        <v>2024</v>
      </c>
      <c r="M1033" t="str">
        <f>IF(discount_impact_on_profit_2000_rows[[#This Row],[Discount %]]=0,"Zero Discount",IF(discount_impact_on_profit_2000_rows[[#This Row],[Discount %]]&lt;=10,"Low Discount","High Discount"))</f>
        <v>Low Discount</v>
      </c>
      <c r="N1033" t="str">
        <f t="shared" si="16"/>
        <v>0-10%</v>
      </c>
    </row>
    <row r="1034" spans="1:14">
      <c r="A1034" s="1">
        <v>44947</v>
      </c>
      <c r="B1034" t="s">
        <v>1096</v>
      </c>
      <c r="C1034" t="s">
        <v>15</v>
      </c>
      <c r="D1034" t="s">
        <v>40</v>
      </c>
      <c r="E1034">
        <v>7953.3</v>
      </c>
      <c r="F1034" t="s">
        <v>23</v>
      </c>
      <c r="G1034">
        <v>10567.7</v>
      </c>
      <c r="H1034">
        <v>2614.4</v>
      </c>
      <c r="I1034">
        <v>5</v>
      </c>
      <c r="J1034">
        <v>3</v>
      </c>
      <c r="K1034" t="str">
        <f>TEXT(discount_impact_on_profit_2000_rows[[#This Row],[order date]],"mmmm")</f>
        <v>January</v>
      </c>
      <c r="L1034">
        <f>YEAR(discount_impact_on_profit_2000_rows[[#This Row],[order date]])</f>
        <v>2023</v>
      </c>
      <c r="M1034" t="str">
        <f>IF(discount_impact_on_profit_2000_rows[[#This Row],[Discount %]]=0,"Zero Discount",IF(discount_impact_on_profit_2000_rows[[#This Row],[Discount %]]&lt;=10,"Low Discount","High Discount"))</f>
        <v>Low Discount</v>
      </c>
      <c r="N1034" t="str">
        <f t="shared" si="16"/>
        <v>0-10%</v>
      </c>
    </row>
    <row r="1035" spans="1:14">
      <c r="A1035" s="1">
        <v>45524</v>
      </c>
      <c r="B1035" t="s">
        <v>1097</v>
      </c>
      <c r="C1035" t="s">
        <v>53</v>
      </c>
      <c r="D1035" t="s">
        <v>152</v>
      </c>
      <c r="E1035">
        <v>2975.2</v>
      </c>
      <c r="F1035" t="s">
        <v>31</v>
      </c>
      <c r="G1035">
        <v>4276.32</v>
      </c>
      <c r="H1035">
        <v>1301.1199999999999</v>
      </c>
      <c r="I1035">
        <v>5</v>
      </c>
      <c r="J1035">
        <v>1</v>
      </c>
      <c r="K1035" t="str">
        <f>TEXT(discount_impact_on_profit_2000_rows[[#This Row],[order date]],"mmmm")</f>
        <v>August</v>
      </c>
      <c r="L1035">
        <f>YEAR(discount_impact_on_profit_2000_rows[[#This Row],[order date]])</f>
        <v>2024</v>
      </c>
      <c r="M1035" t="str">
        <f>IF(discount_impact_on_profit_2000_rows[[#This Row],[Discount %]]=0,"Zero Discount",IF(discount_impact_on_profit_2000_rows[[#This Row],[Discount %]]&lt;=10,"Low Discount","High Discount"))</f>
        <v>Low Discount</v>
      </c>
      <c r="N1035" t="str">
        <f t="shared" si="16"/>
        <v>0-10%</v>
      </c>
    </row>
    <row r="1036" spans="1:14">
      <c r="A1036" s="1">
        <v>45233</v>
      </c>
      <c r="B1036" t="s">
        <v>1098</v>
      </c>
      <c r="C1036" t="s">
        <v>15</v>
      </c>
      <c r="D1036" t="s">
        <v>99</v>
      </c>
      <c r="E1036">
        <v>9724.1299999999992</v>
      </c>
      <c r="F1036" t="s">
        <v>31</v>
      </c>
      <c r="G1036">
        <v>11735.6</v>
      </c>
      <c r="H1036">
        <v>2011.47</v>
      </c>
      <c r="I1036">
        <v>5</v>
      </c>
      <c r="J1036">
        <v>1</v>
      </c>
      <c r="K1036" t="str">
        <f>TEXT(discount_impact_on_profit_2000_rows[[#This Row],[order date]],"mmmm")</f>
        <v>November</v>
      </c>
      <c r="L1036">
        <f>YEAR(discount_impact_on_profit_2000_rows[[#This Row],[order date]])</f>
        <v>2023</v>
      </c>
      <c r="M1036" t="str">
        <f>IF(discount_impact_on_profit_2000_rows[[#This Row],[Discount %]]=0,"Zero Discount",IF(discount_impact_on_profit_2000_rows[[#This Row],[Discount %]]&lt;=10,"Low Discount","High Discount"))</f>
        <v>Low Discount</v>
      </c>
      <c r="N1036" t="str">
        <f t="shared" si="16"/>
        <v>0-10%</v>
      </c>
    </row>
    <row r="1037" spans="1:14">
      <c r="A1037" s="1">
        <v>45567</v>
      </c>
      <c r="B1037" t="s">
        <v>1099</v>
      </c>
      <c r="C1037" t="s">
        <v>21</v>
      </c>
      <c r="D1037" t="s">
        <v>22</v>
      </c>
      <c r="E1037">
        <v>8578.15</v>
      </c>
      <c r="F1037" t="s">
        <v>36</v>
      </c>
      <c r="G1037">
        <v>9170.16</v>
      </c>
      <c r="H1037">
        <v>592.01</v>
      </c>
      <c r="I1037">
        <v>25</v>
      </c>
      <c r="J1037">
        <v>1</v>
      </c>
      <c r="K1037" t="str">
        <f>TEXT(discount_impact_on_profit_2000_rows[[#This Row],[order date]],"mmmm")</f>
        <v>October</v>
      </c>
      <c r="L1037">
        <f>YEAR(discount_impact_on_profit_2000_rows[[#This Row],[order date]])</f>
        <v>2024</v>
      </c>
      <c r="M1037" t="str">
        <f>IF(discount_impact_on_profit_2000_rows[[#This Row],[Discount %]]=0,"Zero Discount",IF(discount_impact_on_profit_2000_rows[[#This Row],[Discount %]]&lt;=10,"Low Discount","High Discount"))</f>
        <v>High Discount</v>
      </c>
      <c r="N1037" t="str">
        <f t="shared" si="16"/>
        <v>20-30%</v>
      </c>
    </row>
    <row r="1038" spans="1:14">
      <c r="A1038" s="1">
        <v>45781</v>
      </c>
      <c r="B1038" t="s">
        <v>1100</v>
      </c>
      <c r="C1038" t="s">
        <v>11</v>
      </c>
      <c r="D1038" t="s">
        <v>80</v>
      </c>
      <c r="E1038">
        <v>1004.86</v>
      </c>
      <c r="F1038" t="s">
        <v>23</v>
      </c>
      <c r="G1038">
        <v>1949.97</v>
      </c>
      <c r="H1038">
        <v>945.11</v>
      </c>
      <c r="I1038">
        <v>15</v>
      </c>
      <c r="J1038">
        <v>6</v>
      </c>
      <c r="K1038" t="str">
        <f>TEXT(discount_impact_on_profit_2000_rows[[#This Row],[order date]],"mmmm")</f>
        <v>May</v>
      </c>
      <c r="L1038">
        <f>YEAR(discount_impact_on_profit_2000_rows[[#This Row],[order date]])</f>
        <v>2025</v>
      </c>
      <c r="M1038" t="str">
        <f>IF(discount_impact_on_profit_2000_rows[[#This Row],[Discount %]]=0,"Zero Discount",IF(discount_impact_on_profit_2000_rows[[#This Row],[Discount %]]&lt;=10,"Low Discount","High Discount"))</f>
        <v>High Discount</v>
      </c>
      <c r="N1038" t="str">
        <f t="shared" si="16"/>
        <v>10-20%</v>
      </c>
    </row>
    <row r="1039" spans="1:14">
      <c r="A1039" s="1">
        <v>45144</v>
      </c>
      <c r="B1039" t="s">
        <v>1101</v>
      </c>
      <c r="C1039" t="s">
        <v>11</v>
      </c>
      <c r="D1039" t="s">
        <v>64</v>
      </c>
      <c r="E1039">
        <v>345.99</v>
      </c>
      <c r="F1039" t="s">
        <v>26</v>
      </c>
      <c r="G1039">
        <v>577.32000000000005</v>
      </c>
      <c r="H1039">
        <v>231.33</v>
      </c>
      <c r="I1039">
        <v>0</v>
      </c>
      <c r="J1039">
        <v>1</v>
      </c>
      <c r="K1039" t="str">
        <f>TEXT(discount_impact_on_profit_2000_rows[[#This Row],[order date]],"mmmm")</f>
        <v>August</v>
      </c>
      <c r="L1039">
        <f>YEAR(discount_impact_on_profit_2000_rows[[#This Row],[order date]])</f>
        <v>2023</v>
      </c>
      <c r="M1039" t="str">
        <f>IF(discount_impact_on_profit_2000_rows[[#This Row],[Discount %]]=0,"Zero Discount",IF(discount_impact_on_profit_2000_rows[[#This Row],[Discount %]]&lt;=10,"Low Discount","High Discount"))</f>
        <v>Zero Discount</v>
      </c>
      <c r="N1039" t="str">
        <f t="shared" si="16"/>
        <v>0-10%</v>
      </c>
    </row>
    <row r="1040" spans="1:14">
      <c r="A1040" s="1">
        <v>45940</v>
      </c>
      <c r="B1040" t="s">
        <v>1102</v>
      </c>
      <c r="C1040" t="s">
        <v>33</v>
      </c>
      <c r="D1040" t="s">
        <v>102</v>
      </c>
      <c r="E1040">
        <v>25889.53</v>
      </c>
      <c r="F1040" t="s">
        <v>23</v>
      </c>
      <c r="G1040">
        <v>39693.980000000003</v>
      </c>
      <c r="H1040">
        <v>13804.45</v>
      </c>
      <c r="I1040">
        <v>10</v>
      </c>
      <c r="J1040">
        <v>2</v>
      </c>
      <c r="K1040" t="str">
        <f>TEXT(discount_impact_on_profit_2000_rows[[#This Row],[order date]],"mmmm")</f>
        <v>October</v>
      </c>
      <c r="L1040">
        <f>YEAR(discount_impact_on_profit_2000_rows[[#This Row],[order date]])</f>
        <v>2025</v>
      </c>
      <c r="M1040" t="str">
        <f>IF(discount_impact_on_profit_2000_rows[[#This Row],[Discount %]]=0,"Zero Discount",IF(discount_impact_on_profit_2000_rows[[#This Row],[Discount %]]&lt;=10,"Low Discount","High Discount"))</f>
        <v>Low Discount</v>
      </c>
      <c r="N1040" t="str">
        <f t="shared" si="16"/>
        <v>0-10%</v>
      </c>
    </row>
    <row r="1041" spans="1:14">
      <c r="A1041" s="1">
        <v>44998</v>
      </c>
      <c r="B1041" t="s">
        <v>1103</v>
      </c>
      <c r="C1041" t="s">
        <v>11</v>
      </c>
      <c r="D1041" t="s">
        <v>30</v>
      </c>
      <c r="E1041">
        <v>2332.4499999999998</v>
      </c>
      <c r="F1041" t="s">
        <v>31</v>
      </c>
      <c r="G1041">
        <v>3238.36</v>
      </c>
      <c r="H1041">
        <v>905.91</v>
      </c>
      <c r="I1041">
        <v>15</v>
      </c>
      <c r="J1041">
        <v>4</v>
      </c>
      <c r="K1041" t="str">
        <f>TEXT(discount_impact_on_profit_2000_rows[[#This Row],[order date]],"mmmm")</f>
        <v>March</v>
      </c>
      <c r="L1041">
        <f>YEAR(discount_impact_on_profit_2000_rows[[#This Row],[order date]])</f>
        <v>2023</v>
      </c>
      <c r="M1041" t="str">
        <f>IF(discount_impact_on_profit_2000_rows[[#This Row],[Discount %]]=0,"Zero Discount",IF(discount_impact_on_profit_2000_rows[[#This Row],[Discount %]]&lt;=10,"Low Discount","High Discount"))</f>
        <v>High Discount</v>
      </c>
      <c r="N1041" t="str">
        <f t="shared" si="16"/>
        <v>10-20%</v>
      </c>
    </row>
    <row r="1042" spans="1:14">
      <c r="A1042" s="1">
        <v>45426</v>
      </c>
      <c r="B1042" t="s">
        <v>1104</v>
      </c>
      <c r="C1042" t="s">
        <v>53</v>
      </c>
      <c r="D1042" t="s">
        <v>54</v>
      </c>
      <c r="E1042">
        <v>5842.54</v>
      </c>
      <c r="F1042" t="s">
        <v>23</v>
      </c>
      <c r="G1042">
        <v>8660.31</v>
      </c>
      <c r="H1042">
        <v>2817.77</v>
      </c>
      <c r="I1042">
        <v>15</v>
      </c>
      <c r="J1042">
        <v>2</v>
      </c>
      <c r="K1042" t="str">
        <f>TEXT(discount_impact_on_profit_2000_rows[[#This Row],[order date]],"mmmm")</f>
        <v>May</v>
      </c>
      <c r="L1042">
        <f>YEAR(discount_impact_on_profit_2000_rows[[#This Row],[order date]])</f>
        <v>2024</v>
      </c>
      <c r="M1042" t="str">
        <f>IF(discount_impact_on_profit_2000_rows[[#This Row],[Discount %]]=0,"Zero Discount",IF(discount_impact_on_profit_2000_rows[[#This Row],[Discount %]]&lt;=10,"Low Discount","High Discount"))</f>
        <v>High Discount</v>
      </c>
      <c r="N1042" t="str">
        <f t="shared" si="16"/>
        <v>10-20%</v>
      </c>
    </row>
    <row r="1043" spans="1:14">
      <c r="A1043" s="1">
        <v>44934</v>
      </c>
      <c r="B1043" t="s">
        <v>1105</v>
      </c>
      <c r="C1043" t="s">
        <v>11</v>
      </c>
      <c r="D1043" t="s">
        <v>25</v>
      </c>
      <c r="E1043">
        <v>4765.09</v>
      </c>
      <c r="F1043" t="s">
        <v>36</v>
      </c>
      <c r="G1043">
        <v>8053.71</v>
      </c>
      <c r="H1043">
        <v>3288.62</v>
      </c>
      <c r="I1043">
        <v>10</v>
      </c>
      <c r="J1043">
        <v>5</v>
      </c>
      <c r="K1043" t="str">
        <f>TEXT(discount_impact_on_profit_2000_rows[[#This Row],[order date]],"mmmm")</f>
        <v>January</v>
      </c>
      <c r="L1043">
        <f>YEAR(discount_impact_on_profit_2000_rows[[#This Row],[order date]])</f>
        <v>2023</v>
      </c>
      <c r="M1043" t="str">
        <f>IF(discount_impact_on_profit_2000_rows[[#This Row],[Discount %]]=0,"Zero Discount",IF(discount_impact_on_profit_2000_rows[[#This Row],[Discount %]]&lt;=10,"Low Discount","High Discount"))</f>
        <v>Low Discount</v>
      </c>
      <c r="N1043" t="str">
        <f t="shared" si="16"/>
        <v>0-10%</v>
      </c>
    </row>
    <row r="1044" spans="1:14">
      <c r="A1044" s="1">
        <v>45255</v>
      </c>
      <c r="B1044" t="s">
        <v>1106</v>
      </c>
      <c r="C1044" t="s">
        <v>33</v>
      </c>
      <c r="D1044" t="s">
        <v>44</v>
      </c>
      <c r="E1044">
        <v>4170.7299999999996</v>
      </c>
      <c r="F1044" t="s">
        <v>31</v>
      </c>
      <c r="G1044">
        <v>6244.24</v>
      </c>
      <c r="H1044">
        <v>2073.5100000000002</v>
      </c>
      <c r="I1044">
        <v>5</v>
      </c>
      <c r="J1044">
        <v>1</v>
      </c>
      <c r="K1044" t="str">
        <f>TEXT(discount_impact_on_profit_2000_rows[[#This Row],[order date]],"mmmm")</f>
        <v>November</v>
      </c>
      <c r="L1044">
        <f>YEAR(discount_impact_on_profit_2000_rows[[#This Row],[order date]])</f>
        <v>2023</v>
      </c>
      <c r="M1044" t="str">
        <f>IF(discount_impact_on_profit_2000_rows[[#This Row],[Discount %]]=0,"Zero Discount",IF(discount_impact_on_profit_2000_rows[[#This Row],[Discount %]]&lt;=10,"Low Discount","High Discount"))</f>
        <v>Low Discount</v>
      </c>
      <c r="N1044" t="str">
        <f t="shared" si="16"/>
        <v>0-10%</v>
      </c>
    </row>
    <row r="1045" spans="1:14">
      <c r="A1045" s="1">
        <v>45590</v>
      </c>
      <c r="B1045" t="s">
        <v>1107</v>
      </c>
      <c r="C1045" t="s">
        <v>11</v>
      </c>
      <c r="D1045" t="s">
        <v>38</v>
      </c>
      <c r="E1045">
        <v>5263.92</v>
      </c>
      <c r="F1045" t="s">
        <v>36</v>
      </c>
      <c r="G1045">
        <v>10980.86</v>
      </c>
      <c r="H1045">
        <v>5716.94</v>
      </c>
      <c r="I1045">
        <v>5</v>
      </c>
      <c r="J1045">
        <v>4</v>
      </c>
      <c r="K1045" t="str">
        <f>TEXT(discount_impact_on_profit_2000_rows[[#This Row],[order date]],"mmmm")</f>
        <v>October</v>
      </c>
      <c r="L1045">
        <f>YEAR(discount_impact_on_profit_2000_rows[[#This Row],[order date]])</f>
        <v>2024</v>
      </c>
      <c r="M1045" t="str">
        <f>IF(discount_impact_on_profit_2000_rows[[#This Row],[Discount %]]=0,"Zero Discount",IF(discount_impact_on_profit_2000_rows[[#This Row],[Discount %]]&lt;=10,"Low Discount","High Discount"))</f>
        <v>Low Discount</v>
      </c>
      <c r="N1045" t="str">
        <f t="shared" si="16"/>
        <v>0-10%</v>
      </c>
    </row>
    <row r="1046" spans="1:14">
      <c r="A1046" s="1">
        <v>45557</v>
      </c>
      <c r="B1046" t="s">
        <v>1108</v>
      </c>
      <c r="C1046" t="s">
        <v>15</v>
      </c>
      <c r="D1046" t="s">
        <v>84</v>
      </c>
      <c r="E1046">
        <v>14576.42</v>
      </c>
      <c r="F1046" t="s">
        <v>26</v>
      </c>
      <c r="G1046">
        <v>14662.52</v>
      </c>
      <c r="H1046">
        <v>86.1</v>
      </c>
      <c r="I1046">
        <v>25</v>
      </c>
      <c r="J1046">
        <v>4</v>
      </c>
      <c r="K1046" t="str">
        <f>TEXT(discount_impact_on_profit_2000_rows[[#This Row],[order date]],"mmmm")</f>
        <v>September</v>
      </c>
      <c r="L1046">
        <f>YEAR(discount_impact_on_profit_2000_rows[[#This Row],[order date]])</f>
        <v>2024</v>
      </c>
      <c r="M1046" t="str">
        <f>IF(discount_impact_on_profit_2000_rows[[#This Row],[Discount %]]=0,"Zero Discount",IF(discount_impact_on_profit_2000_rows[[#This Row],[Discount %]]&lt;=10,"Low Discount","High Discount"))</f>
        <v>High Discount</v>
      </c>
      <c r="N1046" t="str">
        <f t="shared" si="16"/>
        <v>20-30%</v>
      </c>
    </row>
    <row r="1047" spans="1:14">
      <c r="A1047" s="1">
        <v>45552</v>
      </c>
      <c r="B1047" t="s">
        <v>1109</v>
      </c>
      <c r="C1047" t="s">
        <v>33</v>
      </c>
      <c r="D1047" t="s">
        <v>34</v>
      </c>
      <c r="E1047">
        <v>56299.31</v>
      </c>
      <c r="F1047" t="s">
        <v>31</v>
      </c>
      <c r="G1047">
        <v>70022.52</v>
      </c>
      <c r="H1047">
        <v>13723.21</v>
      </c>
      <c r="I1047">
        <v>10</v>
      </c>
      <c r="J1047">
        <v>3</v>
      </c>
      <c r="K1047" t="str">
        <f>TEXT(discount_impact_on_profit_2000_rows[[#This Row],[order date]],"mmmm")</f>
        <v>September</v>
      </c>
      <c r="L1047">
        <f>YEAR(discount_impact_on_profit_2000_rows[[#This Row],[order date]])</f>
        <v>2024</v>
      </c>
      <c r="M1047" t="str">
        <f>IF(discount_impact_on_profit_2000_rows[[#This Row],[Discount %]]=0,"Zero Discount",IF(discount_impact_on_profit_2000_rows[[#This Row],[Discount %]]&lt;=10,"Low Discount","High Discount"))</f>
        <v>Low Discount</v>
      </c>
      <c r="N1047" t="str">
        <f t="shared" si="16"/>
        <v>0-10%</v>
      </c>
    </row>
    <row r="1048" spans="1:14">
      <c r="A1048" s="1">
        <v>45555</v>
      </c>
      <c r="B1048" t="s">
        <v>1110</v>
      </c>
      <c r="C1048" t="s">
        <v>18</v>
      </c>
      <c r="D1048" t="s">
        <v>188</v>
      </c>
      <c r="E1048">
        <v>2447.19</v>
      </c>
      <c r="F1048" t="s">
        <v>36</v>
      </c>
      <c r="G1048">
        <v>4081.57</v>
      </c>
      <c r="H1048">
        <v>1634.38</v>
      </c>
      <c r="I1048">
        <v>0</v>
      </c>
      <c r="J1048">
        <v>3</v>
      </c>
      <c r="K1048" t="str">
        <f>TEXT(discount_impact_on_profit_2000_rows[[#This Row],[order date]],"mmmm")</f>
        <v>September</v>
      </c>
      <c r="L1048">
        <f>YEAR(discount_impact_on_profit_2000_rows[[#This Row],[order date]])</f>
        <v>2024</v>
      </c>
      <c r="M1048" t="str">
        <f>IF(discount_impact_on_profit_2000_rows[[#This Row],[Discount %]]=0,"Zero Discount",IF(discount_impact_on_profit_2000_rows[[#This Row],[Discount %]]&lt;=10,"Low Discount","High Discount"))</f>
        <v>Zero Discount</v>
      </c>
      <c r="N1048" t="str">
        <f t="shared" si="16"/>
        <v>0-10%</v>
      </c>
    </row>
    <row r="1049" spans="1:14">
      <c r="A1049" s="1">
        <v>45455</v>
      </c>
      <c r="B1049" t="s">
        <v>1111</v>
      </c>
      <c r="C1049" t="s">
        <v>21</v>
      </c>
      <c r="D1049" t="s">
        <v>97</v>
      </c>
      <c r="E1049">
        <v>4820.33</v>
      </c>
      <c r="F1049" t="s">
        <v>36</v>
      </c>
      <c r="G1049">
        <v>5564.7</v>
      </c>
      <c r="H1049">
        <v>744.37</v>
      </c>
      <c r="I1049">
        <v>10</v>
      </c>
      <c r="J1049">
        <v>6</v>
      </c>
      <c r="K1049" t="str">
        <f>TEXT(discount_impact_on_profit_2000_rows[[#This Row],[order date]],"mmmm")</f>
        <v>June</v>
      </c>
      <c r="L1049">
        <f>YEAR(discount_impact_on_profit_2000_rows[[#This Row],[order date]])</f>
        <v>2024</v>
      </c>
      <c r="M1049" t="str">
        <f>IF(discount_impact_on_profit_2000_rows[[#This Row],[Discount %]]=0,"Zero Discount",IF(discount_impact_on_profit_2000_rows[[#This Row],[Discount %]]&lt;=10,"Low Discount","High Discount"))</f>
        <v>Low Discount</v>
      </c>
      <c r="N1049" t="str">
        <f t="shared" si="16"/>
        <v>0-10%</v>
      </c>
    </row>
    <row r="1050" spans="1:14">
      <c r="A1050" s="1">
        <v>45810</v>
      </c>
      <c r="B1050" t="s">
        <v>1112</v>
      </c>
      <c r="C1050" t="s">
        <v>33</v>
      </c>
      <c r="D1050" t="s">
        <v>197</v>
      </c>
      <c r="E1050">
        <v>7555.87</v>
      </c>
      <c r="F1050" t="s">
        <v>26</v>
      </c>
      <c r="G1050">
        <v>12329.9</v>
      </c>
      <c r="H1050">
        <v>4774.03</v>
      </c>
      <c r="I1050">
        <v>5</v>
      </c>
      <c r="J1050">
        <v>1</v>
      </c>
      <c r="K1050" t="str">
        <f>TEXT(discount_impact_on_profit_2000_rows[[#This Row],[order date]],"mmmm")</f>
        <v>June</v>
      </c>
      <c r="L1050">
        <f>YEAR(discount_impact_on_profit_2000_rows[[#This Row],[order date]])</f>
        <v>2025</v>
      </c>
      <c r="M1050" t="str">
        <f>IF(discount_impact_on_profit_2000_rows[[#This Row],[Discount %]]=0,"Zero Discount",IF(discount_impact_on_profit_2000_rows[[#This Row],[Discount %]]&lt;=10,"Low Discount","High Discount"))</f>
        <v>Low Discount</v>
      </c>
      <c r="N1050" t="str">
        <f t="shared" si="16"/>
        <v>0-10%</v>
      </c>
    </row>
    <row r="1051" spans="1:14">
      <c r="A1051" s="1">
        <v>45528</v>
      </c>
      <c r="B1051" t="s">
        <v>1113</v>
      </c>
      <c r="C1051" t="s">
        <v>11</v>
      </c>
      <c r="D1051" t="s">
        <v>38</v>
      </c>
      <c r="E1051">
        <v>8279.93</v>
      </c>
      <c r="F1051" t="s">
        <v>26</v>
      </c>
      <c r="G1051">
        <v>14611.19</v>
      </c>
      <c r="H1051">
        <v>6331.26</v>
      </c>
      <c r="I1051">
        <v>25</v>
      </c>
      <c r="J1051">
        <v>5</v>
      </c>
      <c r="K1051" t="str">
        <f>TEXT(discount_impact_on_profit_2000_rows[[#This Row],[order date]],"mmmm")</f>
        <v>August</v>
      </c>
      <c r="L1051">
        <f>YEAR(discount_impact_on_profit_2000_rows[[#This Row],[order date]])</f>
        <v>2024</v>
      </c>
      <c r="M1051" t="str">
        <f>IF(discount_impact_on_profit_2000_rows[[#This Row],[Discount %]]=0,"Zero Discount",IF(discount_impact_on_profit_2000_rows[[#This Row],[Discount %]]&lt;=10,"Low Discount","High Discount"))</f>
        <v>High Discount</v>
      </c>
      <c r="N1051" t="str">
        <f t="shared" si="16"/>
        <v>20-30%</v>
      </c>
    </row>
    <row r="1052" spans="1:14">
      <c r="A1052" s="1">
        <v>45391</v>
      </c>
      <c r="B1052" t="s">
        <v>1114</v>
      </c>
      <c r="C1052" t="s">
        <v>33</v>
      </c>
      <c r="D1052" t="s">
        <v>203</v>
      </c>
      <c r="E1052">
        <v>7771.8</v>
      </c>
      <c r="F1052" t="s">
        <v>31</v>
      </c>
      <c r="G1052">
        <v>12478.68</v>
      </c>
      <c r="H1052">
        <v>4706.88</v>
      </c>
      <c r="I1052">
        <v>0</v>
      </c>
      <c r="J1052">
        <v>2</v>
      </c>
      <c r="K1052" t="str">
        <f>TEXT(discount_impact_on_profit_2000_rows[[#This Row],[order date]],"mmmm")</f>
        <v>April</v>
      </c>
      <c r="L1052">
        <f>YEAR(discount_impact_on_profit_2000_rows[[#This Row],[order date]])</f>
        <v>2024</v>
      </c>
      <c r="M1052" t="str">
        <f>IF(discount_impact_on_profit_2000_rows[[#This Row],[Discount %]]=0,"Zero Discount",IF(discount_impact_on_profit_2000_rows[[#This Row],[Discount %]]&lt;=10,"Low Discount","High Discount"))</f>
        <v>Zero Discount</v>
      </c>
      <c r="N1052" t="str">
        <f t="shared" si="16"/>
        <v>0-10%</v>
      </c>
    </row>
    <row r="1053" spans="1:14">
      <c r="A1053" s="1">
        <v>45744</v>
      </c>
      <c r="B1053" t="s">
        <v>1115</v>
      </c>
      <c r="C1053" t="s">
        <v>53</v>
      </c>
      <c r="D1053" t="s">
        <v>78</v>
      </c>
      <c r="E1053">
        <v>1437.89</v>
      </c>
      <c r="F1053" t="s">
        <v>31</v>
      </c>
      <c r="G1053">
        <v>3091.7</v>
      </c>
      <c r="H1053">
        <v>1653.81</v>
      </c>
      <c r="I1053">
        <v>10</v>
      </c>
      <c r="J1053">
        <v>4</v>
      </c>
      <c r="K1053" t="str">
        <f>TEXT(discount_impact_on_profit_2000_rows[[#This Row],[order date]],"mmmm")</f>
        <v>March</v>
      </c>
      <c r="L1053">
        <f>YEAR(discount_impact_on_profit_2000_rows[[#This Row],[order date]])</f>
        <v>2025</v>
      </c>
      <c r="M1053" t="str">
        <f>IF(discount_impact_on_profit_2000_rows[[#This Row],[Discount %]]=0,"Zero Discount",IF(discount_impact_on_profit_2000_rows[[#This Row],[Discount %]]&lt;=10,"Low Discount","High Discount"))</f>
        <v>Low Discount</v>
      </c>
      <c r="N1053" t="str">
        <f t="shared" si="16"/>
        <v>0-10%</v>
      </c>
    </row>
    <row r="1054" spans="1:14">
      <c r="A1054" s="1">
        <v>45763</v>
      </c>
      <c r="B1054" t="s">
        <v>1116</v>
      </c>
      <c r="C1054" t="s">
        <v>21</v>
      </c>
      <c r="D1054" t="s">
        <v>82</v>
      </c>
      <c r="E1054">
        <v>10793.98</v>
      </c>
      <c r="F1054" t="s">
        <v>23</v>
      </c>
      <c r="G1054">
        <v>14162.2</v>
      </c>
      <c r="H1054">
        <v>3368.22</v>
      </c>
      <c r="I1054">
        <v>10</v>
      </c>
      <c r="J1054">
        <v>3</v>
      </c>
      <c r="K1054" t="str">
        <f>TEXT(discount_impact_on_profit_2000_rows[[#This Row],[order date]],"mmmm")</f>
        <v>April</v>
      </c>
      <c r="L1054">
        <f>YEAR(discount_impact_on_profit_2000_rows[[#This Row],[order date]])</f>
        <v>2025</v>
      </c>
      <c r="M1054" t="str">
        <f>IF(discount_impact_on_profit_2000_rows[[#This Row],[Discount %]]=0,"Zero Discount",IF(discount_impact_on_profit_2000_rows[[#This Row],[Discount %]]&lt;=10,"Low Discount","High Discount"))</f>
        <v>Low Discount</v>
      </c>
      <c r="N1054" t="str">
        <f t="shared" si="16"/>
        <v>0-10%</v>
      </c>
    </row>
    <row r="1055" spans="1:14">
      <c r="A1055" s="1">
        <v>45278</v>
      </c>
      <c r="B1055" t="s">
        <v>1117</v>
      </c>
      <c r="C1055" t="s">
        <v>15</v>
      </c>
      <c r="D1055" t="s">
        <v>28</v>
      </c>
      <c r="E1055">
        <v>15861.38</v>
      </c>
      <c r="F1055" t="s">
        <v>23</v>
      </c>
      <c r="G1055">
        <v>18291.43</v>
      </c>
      <c r="H1055">
        <v>2430.0500000000002</v>
      </c>
      <c r="I1055">
        <v>15</v>
      </c>
      <c r="J1055">
        <v>3</v>
      </c>
      <c r="K1055" t="str">
        <f>TEXT(discount_impact_on_profit_2000_rows[[#This Row],[order date]],"mmmm")</f>
        <v>December</v>
      </c>
      <c r="L1055">
        <f>YEAR(discount_impact_on_profit_2000_rows[[#This Row],[order date]])</f>
        <v>2023</v>
      </c>
      <c r="M1055" t="str">
        <f>IF(discount_impact_on_profit_2000_rows[[#This Row],[Discount %]]=0,"Zero Discount",IF(discount_impact_on_profit_2000_rows[[#This Row],[Discount %]]&lt;=10,"Low Discount","High Discount"))</f>
        <v>High Discount</v>
      </c>
      <c r="N1055" t="str">
        <f t="shared" si="16"/>
        <v>10-20%</v>
      </c>
    </row>
    <row r="1056" spans="1:14">
      <c r="A1056" s="1">
        <v>44951</v>
      </c>
      <c r="B1056" t="s">
        <v>1118</v>
      </c>
      <c r="C1056" t="s">
        <v>53</v>
      </c>
      <c r="D1056" t="s">
        <v>78</v>
      </c>
      <c r="E1056">
        <v>608.69000000000005</v>
      </c>
      <c r="F1056" t="s">
        <v>13</v>
      </c>
      <c r="G1056">
        <v>1447.74</v>
      </c>
      <c r="H1056">
        <v>839.05</v>
      </c>
      <c r="I1056">
        <v>0</v>
      </c>
      <c r="J1056">
        <v>1</v>
      </c>
      <c r="K1056" t="str">
        <f>TEXT(discount_impact_on_profit_2000_rows[[#This Row],[order date]],"mmmm")</f>
        <v>January</v>
      </c>
      <c r="L1056">
        <f>YEAR(discount_impact_on_profit_2000_rows[[#This Row],[order date]])</f>
        <v>2023</v>
      </c>
      <c r="M1056" t="str">
        <f>IF(discount_impact_on_profit_2000_rows[[#This Row],[Discount %]]=0,"Zero Discount",IF(discount_impact_on_profit_2000_rows[[#This Row],[Discount %]]&lt;=10,"Low Discount","High Discount"))</f>
        <v>Zero Discount</v>
      </c>
      <c r="N1056" t="str">
        <f t="shared" si="16"/>
        <v>0-10%</v>
      </c>
    </row>
    <row r="1057" spans="1:14">
      <c r="A1057" s="1">
        <v>45526</v>
      </c>
      <c r="B1057" t="s">
        <v>1119</v>
      </c>
      <c r="C1057" t="s">
        <v>21</v>
      </c>
      <c r="D1057" t="s">
        <v>97</v>
      </c>
      <c r="E1057">
        <v>20041.689999999999</v>
      </c>
      <c r="F1057" t="s">
        <v>31</v>
      </c>
      <c r="G1057">
        <v>21602.25</v>
      </c>
      <c r="H1057">
        <v>1560.56</v>
      </c>
      <c r="I1057">
        <v>15</v>
      </c>
      <c r="J1057">
        <v>3</v>
      </c>
      <c r="K1057" t="str">
        <f>TEXT(discount_impact_on_profit_2000_rows[[#This Row],[order date]],"mmmm")</f>
        <v>August</v>
      </c>
      <c r="L1057">
        <f>YEAR(discount_impact_on_profit_2000_rows[[#This Row],[order date]])</f>
        <v>2024</v>
      </c>
      <c r="M1057" t="str">
        <f>IF(discount_impact_on_profit_2000_rows[[#This Row],[Discount %]]=0,"Zero Discount",IF(discount_impact_on_profit_2000_rows[[#This Row],[Discount %]]&lt;=10,"Low Discount","High Discount"))</f>
        <v>High Discount</v>
      </c>
      <c r="N1057" t="str">
        <f t="shared" si="16"/>
        <v>10-20%</v>
      </c>
    </row>
    <row r="1058" spans="1:14">
      <c r="A1058" s="1">
        <v>45514</v>
      </c>
      <c r="B1058" t="s">
        <v>1120</v>
      </c>
      <c r="C1058" t="s">
        <v>18</v>
      </c>
      <c r="D1058" t="s">
        <v>50</v>
      </c>
      <c r="E1058">
        <v>1533.26</v>
      </c>
      <c r="F1058" t="s">
        <v>31</v>
      </c>
      <c r="G1058">
        <v>2406.66</v>
      </c>
      <c r="H1058">
        <v>873.4</v>
      </c>
      <c r="I1058">
        <v>0</v>
      </c>
      <c r="J1058">
        <v>3</v>
      </c>
      <c r="K1058" t="str">
        <f>TEXT(discount_impact_on_profit_2000_rows[[#This Row],[order date]],"mmmm")</f>
        <v>August</v>
      </c>
      <c r="L1058">
        <f>YEAR(discount_impact_on_profit_2000_rows[[#This Row],[order date]])</f>
        <v>2024</v>
      </c>
      <c r="M1058" t="str">
        <f>IF(discount_impact_on_profit_2000_rows[[#This Row],[Discount %]]=0,"Zero Discount",IF(discount_impact_on_profit_2000_rows[[#This Row],[Discount %]]&lt;=10,"Low Discount","High Discount"))</f>
        <v>Zero Discount</v>
      </c>
      <c r="N1058" t="str">
        <f t="shared" si="16"/>
        <v>0-10%</v>
      </c>
    </row>
    <row r="1059" spans="1:14">
      <c r="A1059" s="1">
        <v>45290</v>
      </c>
      <c r="B1059" t="s">
        <v>1121</v>
      </c>
      <c r="C1059" t="s">
        <v>21</v>
      </c>
      <c r="D1059" t="s">
        <v>97</v>
      </c>
      <c r="E1059">
        <v>39302.75</v>
      </c>
      <c r="F1059" t="s">
        <v>13</v>
      </c>
      <c r="G1059">
        <v>43368.09</v>
      </c>
      <c r="H1059">
        <v>4065.34</v>
      </c>
      <c r="I1059">
        <v>25</v>
      </c>
      <c r="J1059">
        <v>2</v>
      </c>
      <c r="K1059" t="str">
        <f>TEXT(discount_impact_on_profit_2000_rows[[#This Row],[order date]],"mmmm")</f>
        <v>December</v>
      </c>
      <c r="L1059">
        <f>YEAR(discount_impact_on_profit_2000_rows[[#This Row],[order date]])</f>
        <v>2023</v>
      </c>
      <c r="M1059" t="str">
        <f>IF(discount_impact_on_profit_2000_rows[[#This Row],[Discount %]]=0,"Zero Discount",IF(discount_impact_on_profit_2000_rows[[#This Row],[Discount %]]&lt;=10,"Low Discount","High Discount"))</f>
        <v>High Discount</v>
      </c>
      <c r="N1059" t="str">
        <f t="shared" si="16"/>
        <v>20-30%</v>
      </c>
    </row>
    <row r="1060" spans="1:14">
      <c r="A1060" s="1">
        <v>45616</v>
      </c>
      <c r="B1060" t="s">
        <v>1122</v>
      </c>
      <c r="C1060" t="s">
        <v>15</v>
      </c>
      <c r="D1060" t="s">
        <v>99</v>
      </c>
      <c r="E1060">
        <v>1240.96</v>
      </c>
      <c r="F1060" t="s">
        <v>26</v>
      </c>
      <c r="G1060">
        <v>1489.26</v>
      </c>
      <c r="H1060">
        <v>248.3</v>
      </c>
      <c r="I1060">
        <v>5</v>
      </c>
      <c r="J1060">
        <v>1</v>
      </c>
      <c r="K1060" t="str">
        <f>TEXT(discount_impact_on_profit_2000_rows[[#This Row],[order date]],"mmmm")</f>
        <v>November</v>
      </c>
      <c r="L1060">
        <f>YEAR(discount_impact_on_profit_2000_rows[[#This Row],[order date]])</f>
        <v>2024</v>
      </c>
      <c r="M1060" t="str">
        <f>IF(discount_impact_on_profit_2000_rows[[#This Row],[Discount %]]=0,"Zero Discount",IF(discount_impact_on_profit_2000_rows[[#This Row],[Discount %]]&lt;=10,"Low Discount","High Discount"))</f>
        <v>Low Discount</v>
      </c>
      <c r="N1060" t="str">
        <f t="shared" si="16"/>
        <v>0-10%</v>
      </c>
    </row>
    <row r="1061" spans="1:14">
      <c r="A1061" s="1">
        <v>45235</v>
      </c>
      <c r="B1061" t="s">
        <v>1123</v>
      </c>
      <c r="C1061" t="s">
        <v>11</v>
      </c>
      <c r="D1061" t="s">
        <v>64</v>
      </c>
      <c r="E1061">
        <v>3203.24</v>
      </c>
      <c r="F1061" t="s">
        <v>13</v>
      </c>
      <c r="G1061">
        <v>7052.91</v>
      </c>
      <c r="H1061">
        <v>3849.67</v>
      </c>
      <c r="I1061">
        <v>5</v>
      </c>
      <c r="J1061">
        <v>6</v>
      </c>
      <c r="K1061" t="str">
        <f>TEXT(discount_impact_on_profit_2000_rows[[#This Row],[order date]],"mmmm")</f>
        <v>November</v>
      </c>
      <c r="L1061">
        <f>YEAR(discount_impact_on_profit_2000_rows[[#This Row],[order date]])</f>
        <v>2023</v>
      </c>
      <c r="M1061" t="str">
        <f>IF(discount_impact_on_profit_2000_rows[[#This Row],[Discount %]]=0,"Zero Discount",IF(discount_impact_on_profit_2000_rows[[#This Row],[Discount %]]&lt;=10,"Low Discount","High Discount"))</f>
        <v>Low Discount</v>
      </c>
      <c r="N1061" t="str">
        <f t="shared" si="16"/>
        <v>0-10%</v>
      </c>
    </row>
    <row r="1062" spans="1:14">
      <c r="A1062" s="1">
        <v>45999</v>
      </c>
      <c r="B1062" t="s">
        <v>1124</v>
      </c>
      <c r="C1062" t="s">
        <v>53</v>
      </c>
      <c r="D1062" t="s">
        <v>70</v>
      </c>
      <c r="E1062">
        <v>415.02</v>
      </c>
      <c r="F1062" t="s">
        <v>13</v>
      </c>
      <c r="G1062">
        <v>745.66</v>
      </c>
      <c r="H1062">
        <v>330.64</v>
      </c>
      <c r="I1062">
        <v>5</v>
      </c>
      <c r="J1062">
        <v>1</v>
      </c>
      <c r="K1062" t="str">
        <f>TEXT(discount_impact_on_profit_2000_rows[[#This Row],[order date]],"mmmm")</f>
        <v>December</v>
      </c>
      <c r="L1062">
        <f>YEAR(discount_impact_on_profit_2000_rows[[#This Row],[order date]])</f>
        <v>2025</v>
      </c>
      <c r="M1062" t="str">
        <f>IF(discount_impact_on_profit_2000_rows[[#This Row],[Discount %]]=0,"Zero Discount",IF(discount_impact_on_profit_2000_rows[[#This Row],[Discount %]]&lt;=10,"Low Discount","High Discount"))</f>
        <v>Low Discount</v>
      </c>
      <c r="N1062" t="str">
        <f t="shared" si="16"/>
        <v>0-10%</v>
      </c>
    </row>
    <row r="1063" spans="1:14">
      <c r="A1063" s="1">
        <v>45427</v>
      </c>
      <c r="B1063" t="s">
        <v>1125</v>
      </c>
      <c r="C1063" t="s">
        <v>11</v>
      </c>
      <c r="D1063" t="s">
        <v>25</v>
      </c>
      <c r="E1063">
        <v>2441.75</v>
      </c>
      <c r="F1063" t="s">
        <v>23</v>
      </c>
      <c r="G1063">
        <v>4084.46</v>
      </c>
      <c r="H1063">
        <v>1642.71</v>
      </c>
      <c r="I1063">
        <v>20</v>
      </c>
      <c r="J1063">
        <v>1</v>
      </c>
      <c r="K1063" t="str">
        <f>TEXT(discount_impact_on_profit_2000_rows[[#This Row],[order date]],"mmmm")</f>
        <v>May</v>
      </c>
      <c r="L1063">
        <f>YEAR(discount_impact_on_profit_2000_rows[[#This Row],[order date]])</f>
        <v>2024</v>
      </c>
      <c r="M1063" t="str">
        <f>IF(discount_impact_on_profit_2000_rows[[#This Row],[Discount %]]=0,"Zero Discount",IF(discount_impact_on_profit_2000_rows[[#This Row],[Discount %]]&lt;=10,"Low Discount","High Discount"))</f>
        <v>High Discount</v>
      </c>
      <c r="N1063" t="str">
        <f t="shared" si="16"/>
        <v>10-20%</v>
      </c>
    </row>
    <row r="1064" spans="1:14">
      <c r="A1064" s="1">
        <v>45028</v>
      </c>
      <c r="B1064" t="s">
        <v>1126</v>
      </c>
      <c r="C1064" t="s">
        <v>11</v>
      </c>
      <c r="D1064" t="s">
        <v>25</v>
      </c>
      <c r="E1064">
        <v>1322.45</v>
      </c>
      <c r="F1064" t="s">
        <v>23</v>
      </c>
      <c r="G1064">
        <v>1804.82</v>
      </c>
      <c r="H1064">
        <v>482.37</v>
      </c>
      <c r="I1064">
        <v>20</v>
      </c>
      <c r="J1064">
        <v>5</v>
      </c>
      <c r="K1064" t="str">
        <f>TEXT(discount_impact_on_profit_2000_rows[[#This Row],[order date]],"mmmm")</f>
        <v>April</v>
      </c>
      <c r="L1064">
        <f>YEAR(discount_impact_on_profit_2000_rows[[#This Row],[order date]])</f>
        <v>2023</v>
      </c>
      <c r="M1064" t="str">
        <f>IF(discount_impact_on_profit_2000_rows[[#This Row],[Discount %]]=0,"Zero Discount",IF(discount_impact_on_profit_2000_rows[[#This Row],[Discount %]]&lt;=10,"Low Discount","High Discount"))</f>
        <v>High Discount</v>
      </c>
      <c r="N1064" t="str">
        <f t="shared" si="16"/>
        <v>10-20%</v>
      </c>
    </row>
    <row r="1065" spans="1:14">
      <c r="A1065" s="1">
        <v>45214</v>
      </c>
      <c r="B1065" t="s">
        <v>1127</v>
      </c>
      <c r="C1065" t="s">
        <v>21</v>
      </c>
      <c r="D1065" t="s">
        <v>154</v>
      </c>
      <c r="E1065">
        <v>1388.45</v>
      </c>
      <c r="F1065" t="s">
        <v>23</v>
      </c>
      <c r="G1065">
        <v>1835.51</v>
      </c>
      <c r="H1065">
        <v>447.06</v>
      </c>
      <c r="I1065">
        <v>10</v>
      </c>
      <c r="J1065">
        <v>2</v>
      </c>
      <c r="K1065" t="str">
        <f>TEXT(discount_impact_on_profit_2000_rows[[#This Row],[order date]],"mmmm")</f>
        <v>October</v>
      </c>
      <c r="L1065">
        <f>YEAR(discount_impact_on_profit_2000_rows[[#This Row],[order date]])</f>
        <v>2023</v>
      </c>
      <c r="M1065" t="str">
        <f>IF(discount_impact_on_profit_2000_rows[[#This Row],[Discount %]]=0,"Zero Discount",IF(discount_impact_on_profit_2000_rows[[#This Row],[Discount %]]&lt;=10,"Low Discount","High Discount"))</f>
        <v>Low Discount</v>
      </c>
      <c r="N1065" t="str">
        <f t="shared" si="16"/>
        <v>0-10%</v>
      </c>
    </row>
    <row r="1066" spans="1:14">
      <c r="A1066" s="1">
        <v>45124</v>
      </c>
      <c r="B1066" t="s">
        <v>1128</v>
      </c>
      <c r="C1066" t="s">
        <v>53</v>
      </c>
      <c r="D1066" t="s">
        <v>54</v>
      </c>
      <c r="E1066">
        <v>1311.99</v>
      </c>
      <c r="F1066" t="s">
        <v>36</v>
      </c>
      <c r="G1066">
        <v>1929.76</v>
      </c>
      <c r="H1066">
        <v>617.77</v>
      </c>
      <c r="I1066">
        <v>0</v>
      </c>
      <c r="J1066">
        <v>3</v>
      </c>
      <c r="K1066" t="str">
        <f>TEXT(discount_impact_on_profit_2000_rows[[#This Row],[order date]],"mmmm")</f>
        <v>July</v>
      </c>
      <c r="L1066">
        <f>YEAR(discount_impact_on_profit_2000_rows[[#This Row],[order date]])</f>
        <v>2023</v>
      </c>
      <c r="M1066" t="str">
        <f>IF(discount_impact_on_profit_2000_rows[[#This Row],[Discount %]]=0,"Zero Discount",IF(discount_impact_on_profit_2000_rows[[#This Row],[Discount %]]&lt;=10,"Low Discount","High Discount"))</f>
        <v>Zero Discount</v>
      </c>
      <c r="N1066" t="str">
        <f t="shared" si="16"/>
        <v>0-10%</v>
      </c>
    </row>
    <row r="1067" spans="1:14">
      <c r="A1067" s="1">
        <v>45489</v>
      </c>
      <c r="B1067" t="s">
        <v>1129</v>
      </c>
      <c r="C1067" t="s">
        <v>21</v>
      </c>
      <c r="D1067" t="s">
        <v>22</v>
      </c>
      <c r="E1067">
        <v>2417.9499999999998</v>
      </c>
      <c r="F1067" t="s">
        <v>23</v>
      </c>
      <c r="G1067">
        <v>2785.64</v>
      </c>
      <c r="H1067">
        <v>367.69</v>
      </c>
      <c r="I1067">
        <v>5</v>
      </c>
      <c r="J1067">
        <v>3</v>
      </c>
      <c r="K1067" t="str">
        <f>TEXT(discount_impact_on_profit_2000_rows[[#This Row],[order date]],"mmmm")</f>
        <v>July</v>
      </c>
      <c r="L1067">
        <f>YEAR(discount_impact_on_profit_2000_rows[[#This Row],[order date]])</f>
        <v>2024</v>
      </c>
      <c r="M1067" t="str">
        <f>IF(discount_impact_on_profit_2000_rows[[#This Row],[Discount %]]=0,"Zero Discount",IF(discount_impact_on_profit_2000_rows[[#This Row],[Discount %]]&lt;=10,"Low Discount","High Discount"))</f>
        <v>Low Discount</v>
      </c>
      <c r="N1067" t="str">
        <f t="shared" si="16"/>
        <v>0-10%</v>
      </c>
    </row>
    <row r="1068" spans="1:14">
      <c r="A1068" s="1">
        <v>45411</v>
      </c>
      <c r="B1068" t="s">
        <v>1130</v>
      </c>
      <c r="C1068" t="s">
        <v>15</v>
      </c>
      <c r="D1068" t="s">
        <v>84</v>
      </c>
      <c r="E1068">
        <v>1587.68</v>
      </c>
      <c r="F1068" t="s">
        <v>13</v>
      </c>
      <c r="G1068">
        <v>2407.8200000000002</v>
      </c>
      <c r="H1068">
        <v>820.14</v>
      </c>
      <c r="I1068">
        <v>0</v>
      </c>
      <c r="J1068">
        <v>2</v>
      </c>
      <c r="K1068" t="str">
        <f>TEXT(discount_impact_on_profit_2000_rows[[#This Row],[order date]],"mmmm")</f>
        <v>April</v>
      </c>
      <c r="L1068">
        <f>YEAR(discount_impact_on_profit_2000_rows[[#This Row],[order date]])</f>
        <v>2024</v>
      </c>
      <c r="M1068" t="str">
        <f>IF(discount_impact_on_profit_2000_rows[[#This Row],[Discount %]]=0,"Zero Discount",IF(discount_impact_on_profit_2000_rows[[#This Row],[Discount %]]&lt;=10,"Low Discount","High Discount"))</f>
        <v>Zero Discount</v>
      </c>
      <c r="N1068" t="str">
        <f t="shared" si="16"/>
        <v>0-10%</v>
      </c>
    </row>
    <row r="1069" spans="1:14">
      <c r="A1069" s="1">
        <v>45666</v>
      </c>
      <c r="B1069" t="s">
        <v>1131</v>
      </c>
      <c r="C1069" t="s">
        <v>15</v>
      </c>
      <c r="D1069" t="s">
        <v>76</v>
      </c>
      <c r="E1069">
        <v>15143.28</v>
      </c>
      <c r="F1069" t="s">
        <v>36</v>
      </c>
      <c r="G1069">
        <v>20081.73</v>
      </c>
      <c r="H1069">
        <v>4938.45</v>
      </c>
      <c r="I1069">
        <v>10</v>
      </c>
      <c r="J1069">
        <v>3</v>
      </c>
      <c r="K1069" t="str">
        <f>TEXT(discount_impact_on_profit_2000_rows[[#This Row],[order date]],"mmmm")</f>
        <v>January</v>
      </c>
      <c r="L1069">
        <f>YEAR(discount_impact_on_profit_2000_rows[[#This Row],[order date]])</f>
        <v>2025</v>
      </c>
      <c r="M1069" t="str">
        <f>IF(discount_impact_on_profit_2000_rows[[#This Row],[Discount %]]=0,"Zero Discount",IF(discount_impact_on_profit_2000_rows[[#This Row],[Discount %]]&lt;=10,"Low Discount","High Discount"))</f>
        <v>Low Discount</v>
      </c>
      <c r="N1069" t="str">
        <f t="shared" si="16"/>
        <v>0-10%</v>
      </c>
    </row>
    <row r="1070" spans="1:14">
      <c r="A1070" s="1">
        <v>45090</v>
      </c>
      <c r="B1070" t="s">
        <v>1132</v>
      </c>
      <c r="C1070" t="s">
        <v>21</v>
      </c>
      <c r="D1070" t="s">
        <v>82</v>
      </c>
      <c r="E1070">
        <v>4488.7</v>
      </c>
      <c r="F1070" t="s">
        <v>31</v>
      </c>
      <c r="G1070">
        <v>5253.67</v>
      </c>
      <c r="H1070">
        <v>764.97</v>
      </c>
      <c r="I1070">
        <v>10</v>
      </c>
      <c r="J1070">
        <v>1</v>
      </c>
      <c r="K1070" t="str">
        <f>TEXT(discount_impact_on_profit_2000_rows[[#This Row],[order date]],"mmmm")</f>
        <v>June</v>
      </c>
      <c r="L1070">
        <f>YEAR(discount_impact_on_profit_2000_rows[[#This Row],[order date]])</f>
        <v>2023</v>
      </c>
      <c r="M1070" t="str">
        <f>IF(discount_impact_on_profit_2000_rows[[#This Row],[Discount %]]=0,"Zero Discount",IF(discount_impact_on_profit_2000_rows[[#This Row],[Discount %]]&lt;=10,"Low Discount","High Discount"))</f>
        <v>Low Discount</v>
      </c>
      <c r="N1070" t="str">
        <f t="shared" si="16"/>
        <v>0-10%</v>
      </c>
    </row>
    <row r="1071" spans="1:14">
      <c r="A1071" s="1">
        <v>45592</v>
      </c>
      <c r="B1071" t="s">
        <v>1133</v>
      </c>
      <c r="C1071" t="s">
        <v>21</v>
      </c>
      <c r="D1071" t="s">
        <v>154</v>
      </c>
      <c r="E1071">
        <v>101026.65</v>
      </c>
      <c r="F1071" t="s">
        <v>26</v>
      </c>
      <c r="G1071">
        <v>126397.54</v>
      </c>
      <c r="H1071">
        <v>25370.89</v>
      </c>
      <c r="I1071">
        <v>10</v>
      </c>
      <c r="J1071">
        <v>5</v>
      </c>
      <c r="K1071" t="str">
        <f>TEXT(discount_impact_on_profit_2000_rows[[#This Row],[order date]],"mmmm")</f>
        <v>October</v>
      </c>
      <c r="L1071">
        <f>YEAR(discount_impact_on_profit_2000_rows[[#This Row],[order date]])</f>
        <v>2024</v>
      </c>
      <c r="M1071" t="str">
        <f>IF(discount_impact_on_profit_2000_rows[[#This Row],[Discount %]]=0,"Zero Discount",IF(discount_impact_on_profit_2000_rows[[#This Row],[Discount %]]&lt;=10,"Low Discount","High Discount"))</f>
        <v>Low Discount</v>
      </c>
      <c r="N1071" t="str">
        <f t="shared" si="16"/>
        <v>0-10%</v>
      </c>
    </row>
    <row r="1072" spans="1:14">
      <c r="A1072" s="1">
        <v>45830</v>
      </c>
      <c r="B1072" t="s">
        <v>1134</v>
      </c>
      <c r="C1072" t="s">
        <v>18</v>
      </c>
      <c r="D1072" t="s">
        <v>140</v>
      </c>
      <c r="E1072">
        <v>1408.97</v>
      </c>
      <c r="F1072" t="s">
        <v>23</v>
      </c>
      <c r="G1072">
        <v>2182.77</v>
      </c>
      <c r="H1072">
        <v>773.8</v>
      </c>
      <c r="I1072">
        <v>0</v>
      </c>
      <c r="J1072">
        <v>3</v>
      </c>
      <c r="K1072" t="str">
        <f>TEXT(discount_impact_on_profit_2000_rows[[#This Row],[order date]],"mmmm")</f>
        <v>June</v>
      </c>
      <c r="L1072">
        <f>YEAR(discount_impact_on_profit_2000_rows[[#This Row],[order date]])</f>
        <v>2025</v>
      </c>
      <c r="M1072" t="str">
        <f>IF(discount_impact_on_profit_2000_rows[[#This Row],[Discount %]]=0,"Zero Discount",IF(discount_impact_on_profit_2000_rows[[#This Row],[Discount %]]&lt;=10,"Low Discount","High Discount"))</f>
        <v>Zero Discount</v>
      </c>
      <c r="N1072" t="str">
        <f t="shared" si="16"/>
        <v>0-10%</v>
      </c>
    </row>
    <row r="1073" spans="1:14">
      <c r="A1073" s="1">
        <v>44944</v>
      </c>
      <c r="B1073" t="s">
        <v>1135</v>
      </c>
      <c r="C1073" t="s">
        <v>21</v>
      </c>
      <c r="D1073" t="s">
        <v>57</v>
      </c>
      <c r="E1073">
        <v>2477.02</v>
      </c>
      <c r="F1073" t="s">
        <v>23</v>
      </c>
      <c r="G1073">
        <v>2793.29</v>
      </c>
      <c r="H1073">
        <v>316.27</v>
      </c>
      <c r="I1073">
        <v>15</v>
      </c>
      <c r="J1073">
        <v>2</v>
      </c>
      <c r="K1073" t="str">
        <f>TEXT(discount_impact_on_profit_2000_rows[[#This Row],[order date]],"mmmm")</f>
        <v>January</v>
      </c>
      <c r="L1073">
        <f>YEAR(discount_impact_on_profit_2000_rows[[#This Row],[order date]])</f>
        <v>2023</v>
      </c>
      <c r="M1073" t="str">
        <f>IF(discount_impact_on_profit_2000_rows[[#This Row],[Discount %]]=0,"Zero Discount",IF(discount_impact_on_profit_2000_rows[[#This Row],[Discount %]]&lt;=10,"Low Discount","High Discount"))</f>
        <v>High Discount</v>
      </c>
      <c r="N1073" t="str">
        <f t="shared" si="16"/>
        <v>10-20%</v>
      </c>
    </row>
    <row r="1074" spans="1:14">
      <c r="A1074" s="1">
        <v>45726</v>
      </c>
      <c r="B1074" t="s">
        <v>1136</v>
      </c>
      <c r="C1074" t="s">
        <v>21</v>
      </c>
      <c r="D1074" t="s">
        <v>82</v>
      </c>
      <c r="E1074">
        <v>55714.77</v>
      </c>
      <c r="F1074" t="s">
        <v>26</v>
      </c>
      <c r="G1074">
        <v>59596.1</v>
      </c>
      <c r="H1074">
        <v>3881.33</v>
      </c>
      <c r="I1074">
        <v>25</v>
      </c>
      <c r="J1074">
        <v>8</v>
      </c>
      <c r="K1074" t="str">
        <f>TEXT(discount_impact_on_profit_2000_rows[[#This Row],[order date]],"mmmm")</f>
        <v>March</v>
      </c>
      <c r="L1074">
        <f>YEAR(discount_impact_on_profit_2000_rows[[#This Row],[order date]])</f>
        <v>2025</v>
      </c>
      <c r="M1074" t="str">
        <f>IF(discount_impact_on_profit_2000_rows[[#This Row],[Discount %]]=0,"Zero Discount",IF(discount_impact_on_profit_2000_rows[[#This Row],[Discount %]]&lt;=10,"Low Discount","High Discount"))</f>
        <v>High Discount</v>
      </c>
      <c r="N1074" t="str">
        <f t="shared" si="16"/>
        <v>20-30%</v>
      </c>
    </row>
    <row r="1075" spans="1:14">
      <c r="A1075" s="1">
        <v>45426</v>
      </c>
      <c r="B1075" t="s">
        <v>1137</v>
      </c>
      <c r="C1075" t="s">
        <v>53</v>
      </c>
      <c r="D1075" t="s">
        <v>95</v>
      </c>
      <c r="E1075">
        <v>1621.4</v>
      </c>
      <c r="F1075" t="s">
        <v>26</v>
      </c>
      <c r="G1075">
        <v>1912.22</v>
      </c>
      <c r="H1075">
        <v>290.82</v>
      </c>
      <c r="I1075">
        <v>20</v>
      </c>
      <c r="J1075">
        <v>1</v>
      </c>
      <c r="K1075" t="str">
        <f>TEXT(discount_impact_on_profit_2000_rows[[#This Row],[order date]],"mmmm")</f>
        <v>May</v>
      </c>
      <c r="L1075">
        <f>YEAR(discount_impact_on_profit_2000_rows[[#This Row],[order date]])</f>
        <v>2024</v>
      </c>
      <c r="M1075" t="str">
        <f>IF(discount_impact_on_profit_2000_rows[[#This Row],[Discount %]]=0,"Zero Discount",IF(discount_impact_on_profit_2000_rows[[#This Row],[Discount %]]&lt;=10,"Low Discount","High Discount"))</f>
        <v>High Discount</v>
      </c>
      <c r="N1075" t="str">
        <f t="shared" si="16"/>
        <v>10-20%</v>
      </c>
    </row>
    <row r="1076" spans="1:14">
      <c r="A1076" s="1">
        <v>45025</v>
      </c>
      <c r="B1076" t="s">
        <v>1138</v>
      </c>
      <c r="C1076" t="s">
        <v>18</v>
      </c>
      <c r="D1076" t="s">
        <v>188</v>
      </c>
      <c r="E1076">
        <v>796.08</v>
      </c>
      <c r="F1076" t="s">
        <v>31</v>
      </c>
      <c r="G1076">
        <v>1152.04</v>
      </c>
      <c r="H1076">
        <v>355.96</v>
      </c>
      <c r="I1076">
        <v>10</v>
      </c>
      <c r="J1076">
        <v>3</v>
      </c>
      <c r="K1076" t="str">
        <f>TEXT(discount_impact_on_profit_2000_rows[[#This Row],[order date]],"mmmm")</f>
        <v>April</v>
      </c>
      <c r="L1076">
        <f>YEAR(discount_impact_on_profit_2000_rows[[#This Row],[order date]])</f>
        <v>2023</v>
      </c>
      <c r="M1076" t="str">
        <f>IF(discount_impact_on_profit_2000_rows[[#This Row],[Discount %]]=0,"Zero Discount",IF(discount_impact_on_profit_2000_rows[[#This Row],[Discount %]]&lt;=10,"Low Discount","High Discount"))</f>
        <v>Low Discount</v>
      </c>
      <c r="N1076" t="str">
        <f t="shared" si="16"/>
        <v>0-10%</v>
      </c>
    </row>
    <row r="1077" spans="1:14">
      <c r="A1077" s="1">
        <v>45571</v>
      </c>
      <c r="B1077" t="s">
        <v>1139</v>
      </c>
      <c r="C1077" t="s">
        <v>33</v>
      </c>
      <c r="D1077" t="s">
        <v>197</v>
      </c>
      <c r="E1077">
        <v>13285.27</v>
      </c>
      <c r="F1077" t="s">
        <v>31</v>
      </c>
      <c r="G1077">
        <v>16586.18</v>
      </c>
      <c r="H1077">
        <v>3300.91</v>
      </c>
      <c r="I1077">
        <v>20</v>
      </c>
      <c r="J1077">
        <v>1</v>
      </c>
      <c r="K1077" t="str">
        <f>TEXT(discount_impact_on_profit_2000_rows[[#This Row],[order date]],"mmmm")</f>
        <v>October</v>
      </c>
      <c r="L1077">
        <f>YEAR(discount_impact_on_profit_2000_rows[[#This Row],[order date]])</f>
        <v>2024</v>
      </c>
      <c r="M1077" t="str">
        <f>IF(discount_impact_on_profit_2000_rows[[#This Row],[Discount %]]=0,"Zero Discount",IF(discount_impact_on_profit_2000_rows[[#This Row],[Discount %]]&lt;=10,"Low Discount","High Discount"))</f>
        <v>High Discount</v>
      </c>
      <c r="N1077" t="str">
        <f t="shared" si="16"/>
        <v>10-20%</v>
      </c>
    </row>
    <row r="1078" spans="1:14">
      <c r="A1078" s="1">
        <v>45332</v>
      </c>
      <c r="B1078" t="s">
        <v>1140</v>
      </c>
      <c r="C1078" t="s">
        <v>53</v>
      </c>
      <c r="D1078" t="s">
        <v>70</v>
      </c>
      <c r="E1078">
        <v>2769.34</v>
      </c>
      <c r="F1078" t="s">
        <v>31</v>
      </c>
      <c r="G1078">
        <v>3932.47</v>
      </c>
      <c r="H1078">
        <v>1163.1300000000001</v>
      </c>
      <c r="I1078">
        <v>10</v>
      </c>
      <c r="J1078">
        <v>5</v>
      </c>
      <c r="K1078" t="str">
        <f>TEXT(discount_impact_on_profit_2000_rows[[#This Row],[order date]],"mmmm")</f>
        <v>February</v>
      </c>
      <c r="L1078">
        <f>YEAR(discount_impact_on_profit_2000_rows[[#This Row],[order date]])</f>
        <v>2024</v>
      </c>
      <c r="M1078" t="str">
        <f>IF(discount_impact_on_profit_2000_rows[[#This Row],[Discount %]]=0,"Zero Discount",IF(discount_impact_on_profit_2000_rows[[#This Row],[Discount %]]&lt;=10,"Low Discount","High Discount"))</f>
        <v>Low Discount</v>
      </c>
      <c r="N1078" t="str">
        <f t="shared" si="16"/>
        <v>0-10%</v>
      </c>
    </row>
    <row r="1079" spans="1:14">
      <c r="A1079" s="1">
        <v>45609</v>
      </c>
      <c r="B1079" t="s">
        <v>1141</v>
      </c>
      <c r="C1079" t="s">
        <v>33</v>
      </c>
      <c r="D1079" t="s">
        <v>92</v>
      </c>
      <c r="E1079">
        <v>7179.87</v>
      </c>
      <c r="F1079" t="s">
        <v>13</v>
      </c>
      <c r="G1079">
        <v>9892.85</v>
      </c>
      <c r="H1079">
        <v>2712.98</v>
      </c>
      <c r="I1079">
        <v>20</v>
      </c>
      <c r="J1079">
        <v>2</v>
      </c>
      <c r="K1079" t="str">
        <f>TEXT(discount_impact_on_profit_2000_rows[[#This Row],[order date]],"mmmm")</f>
        <v>November</v>
      </c>
      <c r="L1079">
        <f>YEAR(discount_impact_on_profit_2000_rows[[#This Row],[order date]])</f>
        <v>2024</v>
      </c>
      <c r="M1079" t="str">
        <f>IF(discount_impact_on_profit_2000_rows[[#This Row],[Discount %]]=0,"Zero Discount",IF(discount_impact_on_profit_2000_rows[[#This Row],[Discount %]]&lt;=10,"Low Discount","High Discount"))</f>
        <v>High Discount</v>
      </c>
      <c r="N1079" t="str">
        <f t="shared" si="16"/>
        <v>10-20%</v>
      </c>
    </row>
    <row r="1080" spans="1:14">
      <c r="A1080" s="1">
        <v>45144</v>
      </c>
      <c r="B1080" t="s">
        <v>1142</v>
      </c>
      <c r="C1080" t="s">
        <v>33</v>
      </c>
      <c r="D1080" t="s">
        <v>273</v>
      </c>
      <c r="E1080">
        <v>7399.68</v>
      </c>
      <c r="F1080" t="s">
        <v>23</v>
      </c>
      <c r="G1080">
        <v>9834.2900000000009</v>
      </c>
      <c r="H1080">
        <v>2434.61</v>
      </c>
      <c r="I1080">
        <v>20</v>
      </c>
      <c r="J1080">
        <v>2</v>
      </c>
      <c r="K1080" t="str">
        <f>TEXT(discount_impact_on_profit_2000_rows[[#This Row],[order date]],"mmmm")</f>
        <v>August</v>
      </c>
      <c r="L1080">
        <f>YEAR(discount_impact_on_profit_2000_rows[[#This Row],[order date]])</f>
        <v>2023</v>
      </c>
      <c r="M1080" t="str">
        <f>IF(discount_impact_on_profit_2000_rows[[#This Row],[Discount %]]=0,"Zero Discount",IF(discount_impact_on_profit_2000_rows[[#This Row],[Discount %]]&lt;=10,"Low Discount","High Discount"))</f>
        <v>High Discount</v>
      </c>
      <c r="N1080" t="str">
        <f t="shared" si="16"/>
        <v>10-20%</v>
      </c>
    </row>
    <row r="1081" spans="1:14">
      <c r="A1081" s="1">
        <v>45060</v>
      </c>
      <c r="B1081" t="s">
        <v>1143</v>
      </c>
      <c r="C1081" t="s">
        <v>53</v>
      </c>
      <c r="D1081" t="s">
        <v>95</v>
      </c>
      <c r="E1081">
        <v>657.38</v>
      </c>
      <c r="F1081" t="s">
        <v>13</v>
      </c>
      <c r="G1081">
        <v>1129.68</v>
      </c>
      <c r="H1081">
        <v>472.3</v>
      </c>
      <c r="I1081">
        <v>25</v>
      </c>
      <c r="J1081">
        <v>2</v>
      </c>
      <c r="K1081" t="str">
        <f>TEXT(discount_impact_on_profit_2000_rows[[#This Row],[order date]],"mmmm")</f>
        <v>May</v>
      </c>
      <c r="L1081">
        <f>YEAR(discount_impact_on_profit_2000_rows[[#This Row],[order date]])</f>
        <v>2023</v>
      </c>
      <c r="M1081" t="str">
        <f>IF(discount_impact_on_profit_2000_rows[[#This Row],[Discount %]]=0,"Zero Discount",IF(discount_impact_on_profit_2000_rows[[#This Row],[Discount %]]&lt;=10,"Low Discount","High Discount"))</f>
        <v>High Discount</v>
      </c>
      <c r="N1081" t="str">
        <f t="shared" si="16"/>
        <v>20-30%</v>
      </c>
    </row>
    <row r="1082" spans="1:14">
      <c r="A1082" s="1">
        <v>45641</v>
      </c>
      <c r="B1082" t="s">
        <v>1144</v>
      </c>
      <c r="C1082" t="s">
        <v>15</v>
      </c>
      <c r="D1082" t="s">
        <v>84</v>
      </c>
      <c r="E1082">
        <v>27951.58</v>
      </c>
      <c r="F1082" t="s">
        <v>23</v>
      </c>
      <c r="G1082">
        <v>35722.97</v>
      </c>
      <c r="H1082">
        <v>7771.39</v>
      </c>
      <c r="I1082">
        <v>0</v>
      </c>
      <c r="J1082">
        <v>2</v>
      </c>
      <c r="K1082" t="str">
        <f>TEXT(discount_impact_on_profit_2000_rows[[#This Row],[order date]],"mmmm")</f>
        <v>December</v>
      </c>
      <c r="L1082">
        <f>YEAR(discount_impact_on_profit_2000_rows[[#This Row],[order date]])</f>
        <v>2024</v>
      </c>
      <c r="M1082" t="str">
        <f>IF(discount_impact_on_profit_2000_rows[[#This Row],[Discount %]]=0,"Zero Discount",IF(discount_impact_on_profit_2000_rows[[#This Row],[Discount %]]&lt;=10,"Low Discount","High Discount"))</f>
        <v>Zero Discount</v>
      </c>
      <c r="N1082" t="str">
        <f t="shared" si="16"/>
        <v>0-10%</v>
      </c>
    </row>
    <row r="1083" spans="1:14">
      <c r="A1083" s="1">
        <v>44975</v>
      </c>
      <c r="B1083" t="s">
        <v>1145</v>
      </c>
      <c r="C1083" t="s">
        <v>18</v>
      </c>
      <c r="D1083" t="s">
        <v>50</v>
      </c>
      <c r="E1083">
        <v>191.63</v>
      </c>
      <c r="F1083" t="s">
        <v>13</v>
      </c>
      <c r="G1083">
        <v>384.26</v>
      </c>
      <c r="H1083">
        <v>192.63</v>
      </c>
      <c r="I1083">
        <v>5</v>
      </c>
      <c r="J1083">
        <v>5</v>
      </c>
      <c r="K1083" t="str">
        <f>TEXT(discount_impact_on_profit_2000_rows[[#This Row],[order date]],"mmmm")</f>
        <v>February</v>
      </c>
      <c r="L1083">
        <f>YEAR(discount_impact_on_profit_2000_rows[[#This Row],[order date]])</f>
        <v>2023</v>
      </c>
      <c r="M1083" t="str">
        <f>IF(discount_impact_on_profit_2000_rows[[#This Row],[Discount %]]=0,"Zero Discount",IF(discount_impact_on_profit_2000_rows[[#This Row],[Discount %]]&lt;=10,"Low Discount","High Discount"))</f>
        <v>Low Discount</v>
      </c>
      <c r="N1083" t="str">
        <f t="shared" si="16"/>
        <v>0-10%</v>
      </c>
    </row>
    <row r="1084" spans="1:14">
      <c r="A1084" s="1">
        <v>45491</v>
      </c>
      <c r="B1084" t="s">
        <v>1146</v>
      </c>
      <c r="C1084" t="s">
        <v>53</v>
      </c>
      <c r="D1084" t="s">
        <v>54</v>
      </c>
      <c r="E1084">
        <v>5916.5</v>
      </c>
      <c r="F1084" t="s">
        <v>36</v>
      </c>
      <c r="G1084">
        <v>7049.92</v>
      </c>
      <c r="H1084">
        <v>1133.42</v>
      </c>
      <c r="I1084">
        <v>20</v>
      </c>
      <c r="J1084">
        <v>2</v>
      </c>
      <c r="K1084" t="str">
        <f>TEXT(discount_impact_on_profit_2000_rows[[#This Row],[order date]],"mmmm")</f>
        <v>July</v>
      </c>
      <c r="L1084">
        <f>YEAR(discount_impact_on_profit_2000_rows[[#This Row],[order date]])</f>
        <v>2024</v>
      </c>
      <c r="M1084" t="str">
        <f>IF(discount_impact_on_profit_2000_rows[[#This Row],[Discount %]]=0,"Zero Discount",IF(discount_impact_on_profit_2000_rows[[#This Row],[Discount %]]&lt;=10,"Low Discount","High Discount"))</f>
        <v>High Discount</v>
      </c>
      <c r="N1084" t="str">
        <f t="shared" si="16"/>
        <v>10-20%</v>
      </c>
    </row>
    <row r="1085" spans="1:14">
      <c r="A1085" s="1">
        <v>45554</v>
      </c>
      <c r="B1085" t="s">
        <v>1147</v>
      </c>
      <c r="C1085" t="s">
        <v>33</v>
      </c>
      <c r="D1085" t="s">
        <v>273</v>
      </c>
      <c r="E1085">
        <v>14061.94</v>
      </c>
      <c r="F1085" t="s">
        <v>31</v>
      </c>
      <c r="G1085">
        <v>14082.14</v>
      </c>
      <c r="H1085">
        <v>20.2</v>
      </c>
      <c r="I1085">
        <v>22</v>
      </c>
      <c r="J1085">
        <v>1</v>
      </c>
      <c r="K1085" t="str">
        <f>TEXT(discount_impact_on_profit_2000_rows[[#This Row],[order date]],"mmmm")</f>
        <v>September</v>
      </c>
      <c r="L1085">
        <f>YEAR(discount_impact_on_profit_2000_rows[[#This Row],[order date]])</f>
        <v>2024</v>
      </c>
      <c r="M1085" t="str">
        <f>IF(discount_impact_on_profit_2000_rows[[#This Row],[Discount %]]=0,"Zero Discount",IF(discount_impact_on_profit_2000_rows[[#This Row],[Discount %]]&lt;=10,"Low Discount","High Discount"))</f>
        <v>High Discount</v>
      </c>
      <c r="N1085" t="str">
        <f t="shared" si="16"/>
        <v>20-30%</v>
      </c>
    </row>
    <row r="1086" spans="1:14">
      <c r="A1086" s="1">
        <v>45312</v>
      </c>
      <c r="B1086" t="s">
        <v>1148</v>
      </c>
      <c r="C1086" t="s">
        <v>15</v>
      </c>
      <c r="D1086" t="s">
        <v>76</v>
      </c>
      <c r="E1086">
        <v>821.83</v>
      </c>
      <c r="F1086" t="s">
        <v>31</v>
      </c>
      <c r="G1086">
        <v>1190.06</v>
      </c>
      <c r="H1086">
        <v>368.23</v>
      </c>
      <c r="I1086">
        <v>10</v>
      </c>
      <c r="J1086">
        <v>1</v>
      </c>
      <c r="K1086" t="str">
        <f>TEXT(discount_impact_on_profit_2000_rows[[#This Row],[order date]],"mmmm")</f>
        <v>January</v>
      </c>
      <c r="L1086">
        <f>YEAR(discount_impact_on_profit_2000_rows[[#This Row],[order date]])</f>
        <v>2024</v>
      </c>
      <c r="M1086" t="str">
        <f>IF(discount_impact_on_profit_2000_rows[[#This Row],[Discount %]]=0,"Zero Discount",IF(discount_impact_on_profit_2000_rows[[#This Row],[Discount %]]&lt;=10,"Low Discount","High Discount"))</f>
        <v>Low Discount</v>
      </c>
      <c r="N1086" t="str">
        <f t="shared" si="16"/>
        <v>0-10%</v>
      </c>
    </row>
    <row r="1087" spans="1:14">
      <c r="A1087" s="1">
        <v>45874</v>
      </c>
      <c r="B1087" t="s">
        <v>1149</v>
      </c>
      <c r="C1087" t="s">
        <v>53</v>
      </c>
      <c r="D1087" t="s">
        <v>54</v>
      </c>
      <c r="E1087">
        <v>4733.21</v>
      </c>
      <c r="F1087" t="s">
        <v>36</v>
      </c>
      <c r="G1087">
        <v>6999.9</v>
      </c>
      <c r="H1087">
        <v>2266.69</v>
      </c>
      <c r="I1087">
        <v>5</v>
      </c>
      <c r="J1087">
        <v>2</v>
      </c>
      <c r="K1087" t="str">
        <f>TEXT(discount_impact_on_profit_2000_rows[[#This Row],[order date]],"mmmm")</f>
        <v>August</v>
      </c>
      <c r="L1087">
        <f>YEAR(discount_impact_on_profit_2000_rows[[#This Row],[order date]])</f>
        <v>2025</v>
      </c>
      <c r="M1087" t="str">
        <f>IF(discount_impact_on_profit_2000_rows[[#This Row],[Discount %]]=0,"Zero Discount",IF(discount_impact_on_profit_2000_rows[[#This Row],[Discount %]]&lt;=10,"Low Discount","High Discount"))</f>
        <v>Low Discount</v>
      </c>
      <c r="N1087" t="str">
        <f t="shared" si="16"/>
        <v>0-10%</v>
      </c>
    </row>
    <row r="1088" spans="1:14">
      <c r="A1088" s="1">
        <v>45632</v>
      </c>
      <c r="B1088" t="s">
        <v>1150</v>
      </c>
      <c r="C1088" t="s">
        <v>53</v>
      </c>
      <c r="D1088" t="s">
        <v>95</v>
      </c>
      <c r="E1088">
        <v>2810.24</v>
      </c>
      <c r="F1088" t="s">
        <v>31</v>
      </c>
      <c r="G1088">
        <v>3973.77</v>
      </c>
      <c r="H1088">
        <v>1163.53</v>
      </c>
      <c r="I1088">
        <v>25</v>
      </c>
      <c r="J1088">
        <v>3</v>
      </c>
      <c r="K1088" t="str">
        <f>TEXT(discount_impact_on_profit_2000_rows[[#This Row],[order date]],"mmmm")</f>
        <v>December</v>
      </c>
      <c r="L1088">
        <f>YEAR(discount_impact_on_profit_2000_rows[[#This Row],[order date]])</f>
        <v>2024</v>
      </c>
      <c r="M1088" t="str">
        <f>IF(discount_impact_on_profit_2000_rows[[#This Row],[Discount %]]=0,"Zero Discount",IF(discount_impact_on_profit_2000_rows[[#This Row],[Discount %]]&lt;=10,"Low Discount","High Discount"))</f>
        <v>High Discount</v>
      </c>
      <c r="N1088" t="str">
        <f t="shared" si="16"/>
        <v>20-30%</v>
      </c>
    </row>
    <row r="1089" spans="1:14">
      <c r="A1089" s="1">
        <v>45372</v>
      </c>
      <c r="B1089" t="s">
        <v>1151</v>
      </c>
      <c r="C1089" t="s">
        <v>18</v>
      </c>
      <c r="D1089" t="s">
        <v>140</v>
      </c>
      <c r="E1089">
        <v>710.53</v>
      </c>
      <c r="F1089" t="s">
        <v>31</v>
      </c>
      <c r="G1089">
        <v>1497.67</v>
      </c>
      <c r="H1089">
        <v>787.14</v>
      </c>
      <c r="I1089">
        <v>10</v>
      </c>
      <c r="J1089">
        <v>2</v>
      </c>
      <c r="K1089" t="str">
        <f>TEXT(discount_impact_on_profit_2000_rows[[#This Row],[order date]],"mmmm")</f>
        <v>March</v>
      </c>
      <c r="L1089">
        <f>YEAR(discount_impact_on_profit_2000_rows[[#This Row],[order date]])</f>
        <v>2024</v>
      </c>
      <c r="M1089" t="str">
        <f>IF(discount_impact_on_profit_2000_rows[[#This Row],[Discount %]]=0,"Zero Discount",IF(discount_impact_on_profit_2000_rows[[#This Row],[Discount %]]&lt;=10,"Low Discount","High Discount"))</f>
        <v>Low Discount</v>
      </c>
      <c r="N1089" t="str">
        <f t="shared" si="16"/>
        <v>0-10%</v>
      </c>
    </row>
    <row r="1090" spans="1:14">
      <c r="A1090" s="1">
        <v>45486</v>
      </c>
      <c r="B1090" t="s">
        <v>1152</v>
      </c>
      <c r="C1090" t="s">
        <v>15</v>
      </c>
      <c r="D1090" t="s">
        <v>16</v>
      </c>
      <c r="E1090">
        <v>3853.6</v>
      </c>
      <c r="F1090" t="s">
        <v>31</v>
      </c>
      <c r="G1090">
        <v>5375.39</v>
      </c>
      <c r="H1090">
        <v>1521.79</v>
      </c>
      <c r="I1090">
        <v>5</v>
      </c>
      <c r="J1090">
        <v>4</v>
      </c>
      <c r="K1090" t="str">
        <f>TEXT(discount_impact_on_profit_2000_rows[[#This Row],[order date]],"mmmm")</f>
        <v>July</v>
      </c>
      <c r="L1090">
        <f>YEAR(discount_impact_on_profit_2000_rows[[#This Row],[order date]])</f>
        <v>2024</v>
      </c>
      <c r="M1090" t="str">
        <f>IF(discount_impact_on_profit_2000_rows[[#This Row],[Discount %]]=0,"Zero Discount",IF(discount_impact_on_profit_2000_rows[[#This Row],[Discount %]]&lt;=10,"Low Discount","High Discount"))</f>
        <v>Low Discount</v>
      </c>
      <c r="N1090" t="str">
        <f t="shared" ref="N1090:N1153" si="17">IF(I1090&lt;=10,"0-10%",IF(I1090&lt;=20,"10-20%",IF(I1090&lt;=30,"20-30%","30%+")))</f>
        <v>0-10%</v>
      </c>
    </row>
    <row r="1091" spans="1:14">
      <c r="A1091" s="1">
        <v>45832</v>
      </c>
      <c r="B1091" t="s">
        <v>1153</v>
      </c>
      <c r="C1091" t="s">
        <v>11</v>
      </c>
      <c r="D1091" t="s">
        <v>12</v>
      </c>
      <c r="E1091">
        <v>453.74</v>
      </c>
      <c r="F1091" t="s">
        <v>36</v>
      </c>
      <c r="G1091">
        <v>728.37</v>
      </c>
      <c r="H1091">
        <v>274.63</v>
      </c>
      <c r="I1091">
        <v>20</v>
      </c>
      <c r="J1091">
        <v>1</v>
      </c>
      <c r="K1091" t="str">
        <f>TEXT(discount_impact_on_profit_2000_rows[[#This Row],[order date]],"mmmm")</f>
        <v>June</v>
      </c>
      <c r="L1091">
        <f>YEAR(discount_impact_on_profit_2000_rows[[#This Row],[order date]])</f>
        <v>2025</v>
      </c>
      <c r="M1091" t="str">
        <f>IF(discount_impact_on_profit_2000_rows[[#This Row],[Discount %]]=0,"Zero Discount",IF(discount_impact_on_profit_2000_rows[[#This Row],[Discount %]]&lt;=10,"Low Discount","High Discount"))</f>
        <v>High Discount</v>
      </c>
      <c r="N1091" t="str">
        <f t="shared" si="17"/>
        <v>10-20%</v>
      </c>
    </row>
    <row r="1092" spans="1:14">
      <c r="A1092" s="1">
        <v>45852</v>
      </c>
      <c r="B1092" t="s">
        <v>1154</v>
      </c>
      <c r="C1092" t="s">
        <v>21</v>
      </c>
      <c r="D1092" t="s">
        <v>82</v>
      </c>
      <c r="E1092">
        <v>51669.71</v>
      </c>
      <c r="F1092" t="s">
        <v>26</v>
      </c>
      <c r="G1092">
        <v>62385.5</v>
      </c>
      <c r="H1092">
        <v>10715.79</v>
      </c>
      <c r="I1092">
        <v>0</v>
      </c>
      <c r="J1092">
        <v>2</v>
      </c>
      <c r="K1092" t="str">
        <f>TEXT(discount_impact_on_profit_2000_rows[[#This Row],[order date]],"mmmm")</f>
        <v>July</v>
      </c>
      <c r="L1092">
        <f>YEAR(discount_impact_on_profit_2000_rows[[#This Row],[order date]])</f>
        <v>2025</v>
      </c>
      <c r="M1092" t="str">
        <f>IF(discount_impact_on_profit_2000_rows[[#This Row],[Discount %]]=0,"Zero Discount",IF(discount_impact_on_profit_2000_rows[[#This Row],[Discount %]]&lt;=10,"Low Discount","High Discount"))</f>
        <v>Zero Discount</v>
      </c>
      <c r="N1092" t="str">
        <f t="shared" si="17"/>
        <v>0-10%</v>
      </c>
    </row>
    <row r="1093" spans="1:14">
      <c r="A1093" s="1">
        <v>45178</v>
      </c>
      <c r="B1093" t="s">
        <v>1155</v>
      </c>
      <c r="C1093" t="s">
        <v>21</v>
      </c>
      <c r="D1093" t="s">
        <v>123</v>
      </c>
      <c r="E1093">
        <v>3585.65</v>
      </c>
      <c r="F1093" t="s">
        <v>31</v>
      </c>
      <c r="G1093">
        <v>5390.99</v>
      </c>
      <c r="H1093">
        <v>1805.34</v>
      </c>
      <c r="I1093">
        <v>0</v>
      </c>
      <c r="J1093">
        <v>2</v>
      </c>
      <c r="K1093" t="str">
        <f>TEXT(discount_impact_on_profit_2000_rows[[#This Row],[order date]],"mmmm")</f>
        <v>September</v>
      </c>
      <c r="L1093">
        <f>YEAR(discount_impact_on_profit_2000_rows[[#This Row],[order date]])</f>
        <v>2023</v>
      </c>
      <c r="M1093" t="str">
        <f>IF(discount_impact_on_profit_2000_rows[[#This Row],[Discount %]]=0,"Zero Discount",IF(discount_impact_on_profit_2000_rows[[#This Row],[Discount %]]&lt;=10,"Low Discount","High Discount"))</f>
        <v>Zero Discount</v>
      </c>
      <c r="N1093" t="str">
        <f t="shared" si="17"/>
        <v>0-10%</v>
      </c>
    </row>
    <row r="1094" spans="1:14">
      <c r="A1094" s="1">
        <v>45459</v>
      </c>
      <c r="B1094" t="s">
        <v>1156</v>
      </c>
      <c r="C1094" t="s">
        <v>18</v>
      </c>
      <c r="D1094" t="s">
        <v>50</v>
      </c>
      <c r="E1094">
        <v>235.06</v>
      </c>
      <c r="F1094" t="s">
        <v>26</v>
      </c>
      <c r="G1094">
        <v>360.75</v>
      </c>
      <c r="H1094">
        <v>125.69</v>
      </c>
      <c r="I1094">
        <v>10</v>
      </c>
      <c r="J1094">
        <v>2</v>
      </c>
      <c r="K1094" t="str">
        <f>TEXT(discount_impact_on_profit_2000_rows[[#This Row],[order date]],"mmmm")</f>
        <v>June</v>
      </c>
      <c r="L1094">
        <f>YEAR(discount_impact_on_profit_2000_rows[[#This Row],[order date]])</f>
        <v>2024</v>
      </c>
      <c r="M1094" t="str">
        <f>IF(discount_impact_on_profit_2000_rows[[#This Row],[Discount %]]=0,"Zero Discount",IF(discount_impact_on_profit_2000_rows[[#This Row],[Discount %]]&lt;=10,"Low Discount","High Discount"))</f>
        <v>Low Discount</v>
      </c>
      <c r="N1094" t="str">
        <f t="shared" si="17"/>
        <v>0-10%</v>
      </c>
    </row>
    <row r="1095" spans="1:14">
      <c r="A1095" s="1">
        <v>45468</v>
      </c>
      <c r="B1095" t="s">
        <v>1157</v>
      </c>
      <c r="C1095" t="s">
        <v>18</v>
      </c>
      <c r="D1095" t="s">
        <v>88</v>
      </c>
      <c r="E1095">
        <v>124.3</v>
      </c>
      <c r="F1095" t="s">
        <v>31</v>
      </c>
      <c r="G1095">
        <v>124.52</v>
      </c>
      <c r="H1095">
        <v>0.22</v>
      </c>
      <c r="I1095">
        <v>30</v>
      </c>
      <c r="J1095">
        <v>2</v>
      </c>
      <c r="K1095" t="str">
        <f>TEXT(discount_impact_on_profit_2000_rows[[#This Row],[order date]],"mmmm")</f>
        <v>June</v>
      </c>
      <c r="L1095">
        <f>YEAR(discount_impact_on_profit_2000_rows[[#This Row],[order date]])</f>
        <v>2024</v>
      </c>
      <c r="M1095" t="str">
        <f>IF(discount_impact_on_profit_2000_rows[[#This Row],[Discount %]]=0,"Zero Discount",IF(discount_impact_on_profit_2000_rows[[#This Row],[Discount %]]&lt;=10,"Low Discount","High Discount"))</f>
        <v>High Discount</v>
      </c>
      <c r="N1095" t="str">
        <f t="shared" si="17"/>
        <v>20-30%</v>
      </c>
    </row>
    <row r="1096" spans="1:14">
      <c r="A1096" s="1">
        <v>45481</v>
      </c>
      <c r="B1096" t="s">
        <v>1158</v>
      </c>
      <c r="C1096" t="s">
        <v>15</v>
      </c>
      <c r="D1096" t="s">
        <v>86</v>
      </c>
      <c r="E1096">
        <v>5128.83</v>
      </c>
      <c r="F1096" t="s">
        <v>31</v>
      </c>
      <c r="G1096">
        <v>5551.64</v>
      </c>
      <c r="H1096">
        <v>422.81</v>
      </c>
      <c r="I1096">
        <v>15</v>
      </c>
      <c r="J1096">
        <v>1</v>
      </c>
      <c r="K1096" t="str">
        <f>TEXT(discount_impact_on_profit_2000_rows[[#This Row],[order date]],"mmmm")</f>
        <v>July</v>
      </c>
      <c r="L1096">
        <f>YEAR(discount_impact_on_profit_2000_rows[[#This Row],[order date]])</f>
        <v>2024</v>
      </c>
      <c r="M1096" t="str">
        <f>IF(discount_impact_on_profit_2000_rows[[#This Row],[Discount %]]=0,"Zero Discount",IF(discount_impact_on_profit_2000_rows[[#This Row],[Discount %]]&lt;=10,"Low Discount","High Discount"))</f>
        <v>High Discount</v>
      </c>
      <c r="N1096" t="str">
        <f t="shared" si="17"/>
        <v>10-20%</v>
      </c>
    </row>
    <row r="1097" spans="1:14">
      <c r="A1097" s="1">
        <v>44992</v>
      </c>
      <c r="B1097" t="s">
        <v>1159</v>
      </c>
      <c r="C1097" t="s">
        <v>33</v>
      </c>
      <c r="D1097" t="s">
        <v>273</v>
      </c>
      <c r="E1097">
        <v>40714.29</v>
      </c>
      <c r="F1097" t="s">
        <v>36</v>
      </c>
      <c r="G1097">
        <v>60970.7</v>
      </c>
      <c r="H1097">
        <v>20256.41</v>
      </c>
      <c r="I1097">
        <v>10</v>
      </c>
      <c r="J1097">
        <v>6</v>
      </c>
      <c r="K1097" t="str">
        <f>TEXT(discount_impact_on_profit_2000_rows[[#This Row],[order date]],"mmmm")</f>
        <v>March</v>
      </c>
      <c r="L1097">
        <f>YEAR(discount_impact_on_profit_2000_rows[[#This Row],[order date]])</f>
        <v>2023</v>
      </c>
      <c r="M1097" t="str">
        <f>IF(discount_impact_on_profit_2000_rows[[#This Row],[Discount %]]=0,"Zero Discount",IF(discount_impact_on_profit_2000_rows[[#This Row],[Discount %]]&lt;=10,"Low Discount","High Discount"))</f>
        <v>Low Discount</v>
      </c>
      <c r="N1097" t="str">
        <f t="shared" si="17"/>
        <v>0-10%</v>
      </c>
    </row>
    <row r="1098" spans="1:14">
      <c r="A1098" s="1">
        <v>45123</v>
      </c>
      <c r="B1098" t="s">
        <v>1160</v>
      </c>
      <c r="C1098" t="s">
        <v>21</v>
      </c>
      <c r="D1098" t="s">
        <v>57</v>
      </c>
      <c r="E1098">
        <v>19531.419999999998</v>
      </c>
      <c r="F1098" t="s">
        <v>26</v>
      </c>
      <c r="G1098">
        <v>27801.599999999999</v>
      </c>
      <c r="H1098">
        <v>8270.18</v>
      </c>
      <c r="I1098">
        <v>0</v>
      </c>
      <c r="J1098">
        <v>4</v>
      </c>
      <c r="K1098" t="str">
        <f>TEXT(discount_impact_on_profit_2000_rows[[#This Row],[order date]],"mmmm")</f>
        <v>July</v>
      </c>
      <c r="L1098">
        <f>YEAR(discount_impact_on_profit_2000_rows[[#This Row],[order date]])</f>
        <v>2023</v>
      </c>
      <c r="M1098" t="str">
        <f>IF(discount_impact_on_profit_2000_rows[[#This Row],[Discount %]]=0,"Zero Discount",IF(discount_impact_on_profit_2000_rows[[#This Row],[Discount %]]&lt;=10,"Low Discount","High Discount"))</f>
        <v>Zero Discount</v>
      </c>
      <c r="N1098" t="str">
        <f t="shared" si="17"/>
        <v>0-10%</v>
      </c>
    </row>
    <row r="1099" spans="1:14">
      <c r="A1099" s="1">
        <v>45702</v>
      </c>
      <c r="B1099" t="s">
        <v>1161</v>
      </c>
      <c r="C1099" t="s">
        <v>18</v>
      </c>
      <c r="D1099" t="s">
        <v>42</v>
      </c>
      <c r="E1099">
        <v>285.83</v>
      </c>
      <c r="F1099" t="s">
        <v>36</v>
      </c>
      <c r="G1099">
        <v>383.21</v>
      </c>
      <c r="H1099">
        <v>97.38</v>
      </c>
      <c r="I1099">
        <v>10</v>
      </c>
      <c r="J1099">
        <v>1</v>
      </c>
      <c r="K1099" t="str">
        <f>TEXT(discount_impact_on_profit_2000_rows[[#This Row],[order date]],"mmmm")</f>
        <v>February</v>
      </c>
      <c r="L1099">
        <f>YEAR(discount_impact_on_profit_2000_rows[[#This Row],[order date]])</f>
        <v>2025</v>
      </c>
      <c r="M1099" t="str">
        <f>IF(discount_impact_on_profit_2000_rows[[#This Row],[Discount %]]=0,"Zero Discount",IF(discount_impact_on_profit_2000_rows[[#This Row],[Discount %]]&lt;=10,"Low Discount","High Discount"))</f>
        <v>Low Discount</v>
      </c>
      <c r="N1099" t="str">
        <f t="shared" si="17"/>
        <v>0-10%</v>
      </c>
    </row>
    <row r="1100" spans="1:14">
      <c r="A1100" s="1">
        <v>45003</v>
      </c>
      <c r="B1100" t="s">
        <v>1162</v>
      </c>
      <c r="C1100" t="s">
        <v>53</v>
      </c>
      <c r="D1100" t="s">
        <v>113</v>
      </c>
      <c r="E1100">
        <v>6842.36</v>
      </c>
      <c r="F1100" t="s">
        <v>13</v>
      </c>
      <c r="G1100">
        <v>8668.14</v>
      </c>
      <c r="H1100">
        <v>1825.78</v>
      </c>
      <c r="I1100">
        <v>15</v>
      </c>
      <c r="J1100">
        <v>2</v>
      </c>
      <c r="K1100" t="str">
        <f>TEXT(discount_impact_on_profit_2000_rows[[#This Row],[order date]],"mmmm")</f>
        <v>March</v>
      </c>
      <c r="L1100">
        <f>YEAR(discount_impact_on_profit_2000_rows[[#This Row],[order date]])</f>
        <v>2023</v>
      </c>
      <c r="M1100" t="str">
        <f>IF(discount_impact_on_profit_2000_rows[[#This Row],[Discount %]]=0,"Zero Discount",IF(discount_impact_on_profit_2000_rows[[#This Row],[Discount %]]&lt;=10,"Low Discount","High Discount"))</f>
        <v>High Discount</v>
      </c>
      <c r="N1100" t="str">
        <f t="shared" si="17"/>
        <v>10-20%</v>
      </c>
    </row>
    <row r="1101" spans="1:14">
      <c r="A1101" s="1">
        <v>45431</v>
      </c>
      <c r="B1101" t="s">
        <v>1163</v>
      </c>
      <c r="C1101" t="s">
        <v>15</v>
      </c>
      <c r="D1101" t="s">
        <v>84</v>
      </c>
      <c r="E1101">
        <v>8080</v>
      </c>
      <c r="F1101" t="s">
        <v>31</v>
      </c>
      <c r="G1101">
        <v>10076.4</v>
      </c>
      <c r="H1101">
        <v>1996.4</v>
      </c>
      <c r="I1101">
        <v>20</v>
      </c>
      <c r="J1101">
        <v>3</v>
      </c>
      <c r="K1101" t="str">
        <f>TEXT(discount_impact_on_profit_2000_rows[[#This Row],[order date]],"mmmm")</f>
        <v>May</v>
      </c>
      <c r="L1101">
        <f>YEAR(discount_impact_on_profit_2000_rows[[#This Row],[order date]])</f>
        <v>2024</v>
      </c>
      <c r="M1101" t="str">
        <f>IF(discount_impact_on_profit_2000_rows[[#This Row],[Discount %]]=0,"Zero Discount",IF(discount_impact_on_profit_2000_rows[[#This Row],[Discount %]]&lt;=10,"Low Discount","High Discount"))</f>
        <v>High Discount</v>
      </c>
      <c r="N1101" t="str">
        <f t="shared" si="17"/>
        <v>10-20%</v>
      </c>
    </row>
    <row r="1102" spans="1:14">
      <c r="A1102" s="1">
        <v>45837</v>
      </c>
      <c r="B1102" t="s">
        <v>1164</v>
      </c>
      <c r="C1102" t="s">
        <v>15</v>
      </c>
      <c r="D1102" t="s">
        <v>99</v>
      </c>
      <c r="E1102">
        <v>26575.09</v>
      </c>
      <c r="F1102" t="s">
        <v>13</v>
      </c>
      <c r="G1102">
        <v>27778.28</v>
      </c>
      <c r="H1102">
        <v>1203.19</v>
      </c>
      <c r="I1102">
        <v>20</v>
      </c>
      <c r="J1102">
        <v>3</v>
      </c>
      <c r="K1102" t="str">
        <f>TEXT(discount_impact_on_profit_2000_rows[[#This Row],[order date]],"mmmm")</f>
        <v>June</v>
      </c>
      <c r="L1102">
        <f>YEAR(discount_impact_on_profit_2000_rows[[#This Row],[order date]])</f>
        <v>2025</v>
      </c>
      <c r="M1102" t="str">
        <f>IF(discount_impact_on_profit_2000_rows[[#This Row],[Discount %]]=0,"Zero Discount",IF(discount_impact_on_profit_2000_rows[[#This Row],[Discount %]]&lt;=10,"Low Discount","High Discount"))</f>
        <v>High Discount</v>
      </c>
      <c r="N1102" t="str">
        <f t="shared" si="17"/>
        <v>10-20%</v>
      </c>
    </row>
    <row r="1103" spans="1:14">
      <c r="A1103" s="1">
        <v>45955</v>
      </c>
      <c r="B1103" t="s">
        <v>1165</v>
      </c>
      <c r="C1103" t="s">
        <v>11</v>
      </c>
      <c r="D1103" t="s">
        <v>30</v>
      </c>
      <c r="E1103">
        <v>1088.1300000000001</v>
      </c>
      <c r="F1103" t="s">
        <v>36</v>
      </c>
      <c r="G1103">
        <v>1759.98</v>
      </c>
      <c r="H1103">
        <v>671.85</v>
      </c>
      <c r="I1103">
        <v>5</v>
      </c>
      <c r="J1103">
        <v>2</v>
      </c>
      <c r="K1103" t="str">
        <f>TEXT(discount_impact_on_profit_2000_rows[[#This Row],[order date]],"mmmm")</f>
        <v>October</v>
      </c>
      <c r="L1103">
        <f>YEAR(discount_impact_on_profit_2000_rows[[#This Row],[order date]])</f>
        <v>2025</v>
      </c>
      <c r="M1103" t="str">
        <f>IF(discount_impact_on_profit_2000_rows[[#This Row],[Discount %]]=0,"Zero Discount",IF(discount_impact_on_profit_2000_rows[[#This Row],[Discount %]]&lt;=10,"Low Discount","High Discount"))</f>
        <v>Low Discount</v>
      </c>
      <c r="N1103" t="str">
        <f t="shared" si="17"/>
        <v>0-10%</v>
      </c>
    </row>
    <row r="1104" spans="1:14">
      <c r="A1104" s="1">
        <v>45496</v>
      </c>
      <c r="B1104" t="s">
        <v>1166</v>
      </c>
      <c r="C1104" t="s">
        <v>33</v>
      </c>
      <c r="D1104" t="s">
        <v>44</v>
      </c>
      <c r="E1104">
        <v>2726.98</v>
      </c>
      <c r="F1104" t="s">
        <v>13</v>
      </c>
      <c r="G1104">
        <v>3059.61</v>
      </c>
      <c r="H1104">
        <v>332.63</v>
      </c>
      <c r="I1104">
        <v>15</v>
      </c>
      <c r="J1104">
        <v>1</v>
      </c>
      <c r="K1104" t="str">
        <f>TEXT(discount_impact_on_profit_2000_rows[[#This Row],[order date]],"mmmm")</f>
        <v>July</v>
      </c>
      <c r="L1104">
        <f>YEAR(discount_impact_on_profit_2000_rows[[#This Row],[order date]])</f>
        <v>2024</v>
      </c>
      <c r="M1104" t="str">
        <f>IF(discount_impact_on_profit_2000_rows[[#This Row],[Discount %]]=0,"Zero Discount",IF(discount_impact_on_profit_2000_rows[[#This Row],[Discount %]]&lt;=10,"Low Discount","High Discount"))</f>
        <v>High Discount</v>
      </c>
      <c r="N1104" t="str">
        <f t="shared" si="17"/>
        <v>10-20%</v>
      </c>
    </row>
    <row r="1105" spans="1:14">
      <c r="A1105" s="1">
        <v>45365</v>
      </c>
      <c r="B1105" t="s">
        <v>1167</v>
      </c>
      <c r="C1105" t="s">
        <v>18</v>
      </c>
      <c r="D1105" t="s">
        <v>19</v>
      </c>
      <c r="E1105">
        <v>772.03</v>
      </c>
      <c r="F1105" t="s">
        <v>13</v>
      </c>
      <c r="G1105">
        <v>1241.5999999999999</v>
      </c>
      <c r="H1105">
        <v>469.57</v>
      </c>
      <c r="I1105">
        <v>5</v>
      </c>
      <c r="J1105">
        <v>4</v>
      </c>
      <c r="K1105" t="str">
        <f>TEXT(discount_impact_on_profit_2000_rows[[#This Row],[order date]],"mmmm")</f>
        <v>March</v>
      </c>
      <c r="L1105">
        <f>YEAR(discount_impact_on_profit_2000_rows[[#This Row],[order date]])</f>
        <v>2024</v>
      </c>
      <c r="M1105" t="str">
        <f>IF(discount_impact_on_profit_2000_rows[[#This Row],[Discount %]]=0,"Zero Discount",IF(discount_impact_on_profit_2000_rows[[#This Row],[Discount %]]&lt;=10,"Low Discount","High Discount"))</f>
        <v>Low Discount</v>
      </c>
      <c r="N1105" t="str">
        <f t="shared" si="17"/>
        <v>0-10%</v>
      </c>
    </row>
    <row r="1106" spans="1:14">
      <c r="A1106" s="1">
        <v>45329</v>
      </c>
      <c r="B1106" t="s">
        <v>1168</v>
      </c>
      <c r="C1106" t="s">
        <v>53</v>
      </c>
      <c r="D1106" t="s">
        <v>70</v>
      </c>
      <c r="E1106">
        <v>1852.39</v>
      </c>
      <c r="F1106" t="s">
        <v>23</v>
      </c>
      <c r="G1106">
        <v>2682.79</v>
      </c>
      <c r="H1106">
        <v>830.4</v>
      </c>
      <c r="I1106">
        <v>10</v>
      </c>
      <c r="J1106">
        <v>1</v>
      </c>
      <c r="K1106" t="str">
        <f>TEXT(discount_impact_on_profit_2000_rows[[#This Row],[order date]],"mmmm")</f>
        <v>February</v>
      </c>
      <c r="L1106">
        <f>YEAR(discount_impact_on_profit_2000_rows[[#This Row],[order date]])</f>
        <v>2024</v>
      </c>
      <c r="M1106" t="str">
        <f>IF(discount_impact_on_profit_2000_rows[[#This Row],[Discount %]]=0,"Zero Discount",IF(discount_impact_on_profit_2000_rows[[#This Row],[Discount %]]&lt;=10,"Low Discount","High Discount"))</f>
        <v>Low Discount</v>
      </c>
      <c r="N1106" t="str">
        <f t="shared" si="17"/>
        <v>0-10%</v>
      </c>
    </row>
    <row r="1107" spans="1:14">
      <c r="A1107" s="1">
        <v>45728</v>
      </c>
      <c r="B1107" t="s">
        <v>1169</v>
      </c>
      <c r="C1107" t="s">
        <v>15</v>
      </c>
      <c r="D1107" t="s">
        <v>16</v>
      </c>
      <c r="E1107">
        <v>1340.25</v>
      </c>
      <c r="F1107" t="s">
        <v>36</v>
      </c>
      <c r="G1107">
        <v>1591.41</v>
      </c>
      <c r="H1107">
        <v>251.16</v>
      </c>
      <c r="I1107">
        <v>15</v>
      </c>
      <c r="J1107">
        <v>1</v>
      </c>
      <c r="K1107" t="str">
        <f>TEXT(discount_impact_on_profit_2000_rows[[#This Row],[order date]],"mmmm")</f>
        <v>March</v>
      </c>
      <c r="L1107">
        <f>YEAR(discount_impact_on_profit_2000_rows[[#This Row],[order date]])</f>
        <v>2025</v>
      </c>
      <c r="M1107" t="str">
        <f>IF(discount_impact_on_profit_2000_rows[[#This Row],[Discount %]]=0,"Zero Discount",IF(discount_impact_on_profit_2000_rows[[#This Row],[Discount %]]&lt;=10,"Low Discount","High Discount"))</f>
        <v>High Discount</v>
      </c>
      <c r="N1107" t="str">
        <f t="shared" si="17"/>
        <v>10-20%</v>
      </c>
    </row>
    <row r="1108" spans="1:14">
      <c r="A1108" s="1">
        <v>45345</v>
      </c>
      <c r="B1108" t="s">
        <v>1170</v>
      </c>
      <c r="C1108" t="s">
        <v>21</v>
      </c>
      <c r="D1108" t="s">
        <v>46</v>
      </c>
      <c r="E1108">
        <v>33733.199999999997</v>
      </c>
      <c r="F1108" t="s">
        <v>26</v>
      </c>
      <c r="G1108">
        <v>41187.379999999997</v>
      </c>
      <c r="H1108">
        <v>7454.18</v>
      </c>
      <c r="I1108">
        <v>15</v>
      </c>
      <c r="J1108">
        <v>8</v>
      </c>
      <c r="K1108" t="str">
        <f>TEXT(discount_impact_on_profit_2000_rows[[#This Row],[order date]],"mmmm")</f>
        <v>February</v>
      </c>
      <c r="L1108">
        <f>YEAR(discount_impact_on_profit_2000_rows[[#This Row],[order date]])</f>
        <v>2024</v>
      </c>
      <c r="M1108" t="str">
        <f>IF(discount_impact_on_profit_2000_rows[[#This Row],[Discount %]]=0,"Zero Discount",IF(discount_impact_on_profit_2000_rows[[#This Row],[Discount %]]&lt;=10,"Low Discount","High Discount"))</f>
        <v>High Discount</v>
      </c>
      <c r="N1108" t="str">
        <f t="shared" si="17"/>
        <v>10-20%</v>
      </c>
    </row>
    <row r="1109" spans="1:14">
      <c r="A1109" s="1">
        <v>45476</v>
      </c>
      <c r="B1109" t="s">
        <v>1171</v>
      </c>
      <c r="C1109" t="s">
        <v>11</v>
      </c>
      <c r="D1109" t="s">
        <v>64</v>
      </c>
      <c r="E1109">
        <v>3805.87</v>
      </c>
      <c r="F1109" t="s">
        <v>13</v>
      </c>
      <c r="G1109">
        <v>7496.3</v>
      </c>
      <c r="H1109">
        <v>3690.43</v>
      </c>
      <c r="I1109">
        <v>20</v>
      </c>
      <c r="J1109">
        <v>5</v>
      </c>
      <c r="K1109" t="str">
        <f>TEXT(discount_impact_on_profit_2000_rows[[#This Row],[order date]],"mmmm")</f>
        <v>July</v>
      </c>
      <c r="L1109">
        <f>YEAR(discount_impact_on_profit_2000_rows[[#This Row],[order date]])</f>
        <v>2024</v>
      </c>
      <c r="M1109" t="str">
        <f>IF(discount_impact_on_profit_2000_rows[[#This Row],[Discount %]]=0,"Zero Discount",IF(discount_impact_on_profit_2000_rows[[#This Row],[Discount %]]&lt;=10,"Low Discount","High Discount"))</f>
        <v>High Discount</v>
      </c>
      <c r="N1109" t="str">
        <f t="shared" si="17"/>
        <v>10-20%</v>
      </c>
    </row>
    <row r="1110" spans="1:14">
      <c r="A1110" s="1">
        <v>45895</v>
      </c>
      <c r="B1110" t="s">
        <v>1172</v>
      </c>
      <c r="C1110" t="s">
        <v>33</v>
      </c>
      <c r="D1110" t="s">
        <v>102</v>
      </c>
      <c r="E1110">
        <v>11967.28</v>
      </c>
      <c r="F1110" t="s">
        <v>31</v>
      </c>
      <c r="G1110">
        <v>15997.93</v>
      </c>
      <c r="H1110">
        <v>4030.65</v>
      </c>
      <c r="I1110">
        <v>5</v>
      </c>
      <c r="J1110">
        <v>1</v>
      </c>
      <c r="K1110" t="str">
        <f>TEXT(discount_impact_on_profit_2000_rows[[#This Row],[order date]],"mmmm")</f>
        <v>August</v>
      </c>
      <c r="L1110">
        <f>YEAR(discount_impact_on_profit_2000_rows[[#This Row],[order date]])</f>
        <v>2025</v>
      </c>
      <c r="M1110" t="str">
        <f>IF(discount_impact_on_profit_2000_rows[[#This Row],[Discount %]]=0,"Zero Discount",IF(discount_impact_on_profit_2000_rows[[#This Row],[Discount %]]&lt;=10,"Low Discount","High Discount"))</f>
        <v>Low Discount</v>
      </c>
      <c r="N1110" t="str">
        <f t="shared" si="17"/>
        <v>0-10%</v>
      </c>
    </row>
    <row r="1111" spans="1:14">
      <c r="A1111" s="1">
        <v>45555</v>
      </c>
      <c r="B1111" t="s">
        <v>1173</v>
      </c>
      <c r="C1111" t="s">
        <v>11</v>
      </c>
      <c r="D1111" t="s">
        <v>12</v>
      </c>
      <c r="E1111">
        <v>2622.76</v>
      </c>
      <c r="F1111" t="s">
        <v>26</v>
      </c>
      <c r="G1111">
        <v>6295.87</v>
      </c>
      <c r="H1111">
        <v>3673.11</v>
      </c>
      <c r="I1111">
        <v>5</v>
      </c>
      <c r="J1111">
        <v>6</v>
      </c>
      <c r="K1111" t="str">
        <f>TEXT(discount_impact_on_profit_2000_rows[[#This Row],[order date]],"mmmm")</f>
        <v>September</v>
      </c>
      <c r="L1111">
        <f>YEAR(discount_impact_on_profit_2000_rows[[#This Row],[order date]])</f>
        <v>2024</v>
      </c>
      <c r="M1111" t="str">
        <f>IF(discount_impact_on_profit_2000_rows[[#This Row],[Discount %]]=0,"Zero Discount",IF(discount_impact_on_profit_2000_rows[[#This Row],[Discount %]]&lt;=10,"Low Discount","High Discount"))</f>
        <v>Low Discount</v>
      </c>
      <c r="N1111" t="str">
        <f t="shared" si="17"/>
        <v>0-10%</v>
      </c>
    </row>
    <row r="1112" spans="1:14">
      <c r="A1112" s="1">
        <v>45298</v>
      </c>
      <c r="B1112" t="s">
        <v>1174</v>
      </c>
      <c r="C1112" t="s">
        <v>21</v>
      </c>
      <c r="D1112" t="s">
        <v>109</v>
      </c>
      <c r="E1112">
        <v>767.41</v>
      </c>
      <c r="F1112" t="s">
        <v>23</v>
      </c>
      <c r="G1112">
        <v>934.08</v>
      </c>
      <c r="H1112">
        <v>166.67</v>
      </c>
      <c r="I1112">
        <v>10</v>
      </c>
      <c r="J1112">
        <v>1</v>
      </c>
      <c r="K1112" t="str">
        <f>TEXT(discount_impact_on_profit_2000_rows[[#This Row],[order date]],"mmmm")</f>
        <v>January</v>
      </c>
      <c r="L1112">
        <f>YEAR(discount_impact_on_profit_2000_rows[[#This Row],[order date]])</f>
        <v>2024</v>
      </c>
      <c r="M1112" t="str">
        <f>IF(discount_impact_on_profit_2000_rows[[#This Row],[Discount %]]=0,"Zero Discount",IF(discount_impact_on_profit_2000_rows[[#This Row],[Discount %]]&lt;=10,"Low Discount","High Discount"))</f>
        <v>Low Discount</v>
      </c>
      <c r="N1112" t="str">
        <f t="shared" si="17"/>
        <v>0-10%</v>
      </c>
    </row>
    <row r="1113" spans="1:14">
      <c r="A1113" s="1">
        <v>45857</v>
      </c>
      <c r="B1113" t="s">
        <v>1175</v>
      </c>
      <c r="C1113" t="s">
        <v>33</v>
      </c>
      <c r="D1113" t="s">
        <v>273</v>
      </c>
      <c r="E1113">
        <v>4529.4399999999996</v>
      </c>
      <c r="F1113" t="s">
        <v>36</v>
      </c>
      <c r="G1113">
        <v>5742.42</v>
      </c>
      <c r="H1113">
        <v>1212.98</v>
      </c>
      <c r="I1113">
        <v>10</v>
      </c>
      <c r="J1113">
        <v>2</v>
      </c>
      <c r="K1113" t="str">
        <f>TEXT(discount_impact_on_profit_2000_rows[[#This Row],[order date]],"mmmm")</f>
        <v>July</v>
      </c>
      <c r="L1113">
        <f>YEAR(discount_impact_on_profit_2000_rows[[#This Row],[order date]])</f>
        <v>2025</v>
      </c>
      <c r="M1113" t="str">
        <f>IF(discount_impact_on_profit_2000_rows[[#This Row],[Discount %]]=0,"Zero Discount",IF(discount_impact_on_profit_2000_rows[[#This Row],[Discount %]]&lt;=10,"Low Discount","High Discount"))</f>
        <v>Low Discount</v>
      </c>
      <c r="N1113" t="str">
        <f t="shared" si="17"/>
        <v>0-10%</v>
      </c>
    </row>
    <row r="1114" spans="1:14">
      <c r="A1114" s="1">
        <v>44993</v>
      </c>
      <c r="B1114" t="s">
        <v>1176</v>
      </c>
      <c r="C1114" t="s">
        <v>15</v>
      </c>
      <c r="D1114" t="s">
        <v>28</v>
      </c>
      <c r="E1114">
        <v>15662.56</v>
      </c>
      <c r="F1114" t="s">
        <v>31</v>
      </c>
      <c r="G1114">
        <v>20360.21</v>
      </c>
      <c r="H1114">
        <v>4697.6499999999996</v>
      </c>
      <c r="I1114">
        <v>0</v>
      </c>
      <c r="J1114">
        <v>3</v>
      </c>
      <c r="K1114" t="str">
        <f>TEXT(discount_impact_on_profit_2000_rows[[#This Row],[order date]],"mmmm")</f>
        <v>March</v>
      </c>
      <c r="L1114">
        <f>YEAR(discount_impact_on_profit_2000_rows[[#This Row],[order date]])</f>
        <v>2023</v>
      </c>
      <c r="M1114" t="str">
        <f>IF(discount_impact_on_profit_2000_rows[[#This Row],[Discount %]]=0,"Zero Discount",IF(discount_impact_on_profit_2000_rows[[#This Row],[Discount %]]&lt;=10,"Low Discount","High Discount"))</f>
        <v>Zero Discount</v>
      </c>
      <c r="N1114" t="str">
        <f t="shared" si="17"/>
        <v>0-10%</v>
      </c>
    </row>
    <row r="1115" spans="1:14">
      <c r="A1115" s="1">
        <v>45857</v>
      </c>
      <c r="B1115" t="s">
        <v>1177</v>
      </c>
      <c r="C1115" t="s">
        <v>15</v>
      </c>
      <c r="D1115" t="s">
        <v>86</v>
      </c>
      <c r="E1115">
        <v>15300.56</v>
      </c>
      <c r="F1115" t="s">
        <v>26</v>
      </c>
      <c r="G1115">
        <v>15352.89</v>
      </c>
      <c r="H1115">
        <v>52.33</v>
      </c>
      <c r="I1115">
        <v>22</v>
      </c>
      <c r="J1115">
        <v>3</v>
      </c>
      <c r="K1115" t="str">
        <f>TEXT(discount_impact_on_profit_2000_rows[[#This Row],[order date]],"mmmm")</f>
        <v>July</v>
      </c>
      <c r="L1115">
        <f>YEAR(discount_impact_on_profit_2000_rows[[#This Row],[order date]])</f>
        <v>2025</v>
      </c>
      <c r="M1115" t="str">
        <f>IF(discount_impact_on_profit_2000_rows[[#This Row],[Discount %]]=0,"Zero Discount",IF(discount_impact_on_profit_2000_rows[[#This Row],[Discount %]]&lt;=10,"Low Discount","High Discount"))</f>
        <v>High Discount</v>
      </c>
      <c r="N1115" t="str">
        <f t="shared" si="17"/>
        <v>20-30%</v>
      </c>
    </row>
    <row r="1116" spans="1:14">
      <c r="A1116" s="1">
        <v>45766</v>
      </c>
      <c r="B1116" t="s">
        <v>1178</v>
      </c>
      <c r="C1116" t="s">
        <v>53</v>
      </c>
      <c r="D1116" t="s">
        <v>59</v>
      </c>
      <c r="E1116">
        <v>3121.89</v>
      </c>
      <c r="F1116" t="s">
        <v>26</v>
      </c>
      <c r="G1116">
        <v>4224.8100000000004</v>
      </c>
      <c r="H1116">
        <v>1102.92</v>
      </c>
      <c r="I1116">
        <v>15</v>
      </c>
      <c r="J1116">
        <v>6</v>
      </c>
      <c r="K1116" t="str">
        <f>TEXT(discount_impact_on_profit_2000_rows[[#This Row],[order date]],"mmmm")</f>
        <v>April</v>
      </c>
      <c r="L1116">
        <f>YEAR(discount_impact_on_profit_2000_rows[[#This Row],[order date]])</f>
        <v>2025</v>
      </c>
      <c r="M1116" t="str">
        <f>IF(discount_impact_on_profit_2000_rows[[#This Row],[Discount %]]=0,"Zero Discount",IF(discount_impact_on_profit_2000_rows[[#This Row],[Discount %]]&lt;=10,"Low Discount","High Discount"))</f>
        <v>High Discount</v>
      </c>
      <c r="N1116" t="str">
        <f t="shared" si="17"/>
        <v>10-20%</v>
      </c>
    </row>
    <row r="1117" spans="1:14">
      <c r="A1117" s="1">
        <v>45555</v>
      </c>
      <c r="B1117" t="s">
        <v>1179</v>
      </c>
      <c r="C1117" t="s">
        <v>18</v>
      </c>
      <c r="D1117" t="s">
        <v>19</v>
      </c>
      <c r="E1117">
        <v>413.87</v>
      </c>
      <c r="F1117" t="s">
        <v>26</v>
      </c>
      <c r="G1117">
        <v>450.96</v>
      </c>
      <c r="H1117">
        <v>37.090000000000003</v>
      </c>
      <c r="I1117">
        <v>25</v>
      </c>
      <c r="J1117">
        <v>3</v>
      </c>
      <c r="K1117" t="str">
        <f>TEXT(discount_impact_on_profit_2000_rows[[#This Row],[order date]],"mmmm")</f>
        <v>September</v>
      </c>
      <c r="L1117">
        <f>YEAR(discount_impact_on_profit_2000_rows[[#This Row],[order date]])</f>
        <v>2024</v>
      </c>
      <c r="M1117" t="str">
        <f>IF(discount_impact_on_profit_2000_rows[[#This Row],[Discount %]]=0,"Zero Discount",IF(discount_impact_on_profit_2000_rows[[#This Row],[Discount %]]&lt;=10,"Low Discount","High Discount"))</f>
        <v>High Discount</v>
      </c>
      <c r="N1117" t="str">
        <f t="shared" si="17"/>
        <v>20-30%</v>
      </c>
    </row>
    <row r="1118" spans="1:14">
      <c r="A1118" s="1">
        <v>45026</v>
      </c>
      <c r="B1118" t="s">
        <v>1180</v>
      </c>
      <c r="C1118" t="s">
        <v>33</v>
      </c>
      <c r="D1118" t="s">
        <v>34</v>
      </c>
      <c r="E1118">
        <v>13556.59</v>
      </c>
      <c r="F1118" t="s">
        <v>23</v>
      </c>
      <c r="G1118">
        <v>21344.71</v>
      </c>
      <c r="H1118">
        <v>7788.12</v>
      </c>
      <c r="I1118">
        <v>5</v>
      </c>
      <c r="J1118">
        <v>2</v>
      </c>
      <c r="K1118" t="str">
        <f>TEXT(discount_impact_on_profit_2000_rows[[#This Row],[order date]],"mmmm")</f>
        <v>April</v>
      </c>
      <c r="L1118">
        <f>YEAR(discount_impact_on_profit_2000_rows[[#This Row],[order date]])</f>
        <v>2023</v>
      </c>
      <c r="M1118" t="str">
        <f>IF(discount_impact_on_profit_2000_rows[[#This Row],[Discount %]]=0,"Zero Discount",IF(discount_impact_on_profit_2000_rows[[#This Row],[Discount %]]&lt;=10,"Low Discount","High Discount"))</f>
        <v>Low Discount</v>
      </c>
      <c r="N1118" t="str">
        <f t="shared" si="17"/>
        <v>0-10%</v>
      </c>
    </row>
    <row r="1119" spans="1:14">
      <c r="A1119" s="1">
        <v>45887</v>
      </c>
      <c r="B1119" t="s">
        <v>1181</v>
      </c>
      <c r="C1119" t="s">
        <v>53</v>
      </c>
      <c r="D1119" t="s">
        <v>113</v>
      </c>
      <c r="E1119">
        <v>4178.8999999999996</v>
      </c>
      <c r="F1119" t="s">
        <v>36</v>
      </c>
      <c r="G1119">
        <v>8468.99</v>
      </c>
      <c r="H1119">
        <v>4290.09</v>
      </c>
      <c r="I1119">
        <v>10</v>
      </c>
      <c r="J1119">
        <v>5</v>
      </c>
      <c r="K1119" t="str">
        <f>TEXT(discount_impact_on_profit_2000_rows[[#This Row],[order date]],"mmmm")</f>
        <v>August</v>
      </c>
      <c r="L1119">
        <f>YEAR(discount_impact_on_profit_2000_rows[[#This Row],[order date]])</f>
        <v>2025</v>
      </c>
      <c r="M1119" t="str">
        <f>IF(discount_impact_on_profit_2000_rows[[#This Row],[Discount %]]=0,"Zero Discount",IF(discount_impact_on_profit_2000_rows[[#This Row],[Discount %]]&lt;=10,"Low Discount","High Discount"))</f>
        <v>Low Discount</v>
      </c>
      <c r="N1119" t="str">
        <f t="shared" si="17"/>
        <v>0-10%</v>
      </c>
    </row>
    <row r="1120" spans="1:14">
      <c r="A1120" s="1">
        <v>45448</v>
      </c>
      <c r="B1120" t="s">
        <v>1182</v>
      </c>
      <c r="C1120" t="s">
        <v>15</v>
      </c>
      <c r="D1120" t="s">
        <v>40</v>
      </c>
      <c r="E1120">
        <v>5363.48</v>
      </c>
      <c r="F1120" t="s">
        <v>26</v>
      </c>
      <c r="G1120">
        <v>5961.89</v>
      </c>
      <c r="H1120">
        <v>598.41</v>
      </c>
      <c r="I1120">
        <v>15</v>
      </c>
      <c r="J1120">
        <v>2</v>
      </c>
      <c r="K1120" t="str">
        <f>TEXT(discount_impact_on_profit_2000_rows[[#This Row],[order date]],"mmmm")</f>
        <v>June</v>
      </c>
      <c r="L1120">
        <f>YEAR(discount_impact_on_profit_2000_rows[[#This Row],[order date]])</f>
        <v>2024</v>
      </c>
      <c r="M1120" t="str">
        <f>IF(discount_impact_on_profit_2000_rows[[#This Row],[Discount %]]=0,"Zero Discount",IF(discount_impact_on_profit_2000_rows[[#This Row],[Discount %]]&lt;=10,"Low Discount","High Discount"))</f>
        <v>High Discount</v>
      </c>
      <c r="N1120" t="str">
        <f t="shared" si="17"/>
        <v>10-20%</v>
      </c>
    </row>
    <row r="1121" spans="1:14">
      <c r="A1121" s="1">
        <v>44995</v>
      </c>
      <c r="B1121" t="s">
        <v>1183</v>
      </c>
      <c r="C1121" t="s">
        <v>33</v>
      </c>
      <c r="D1121" t="s">
        <v>273</v>
      </c>
      <c r="E1121">
        <v>6496.03</v>
      </c>
      <c r="F1121" t="s">
        <v>26</v>
      </c>
      <c r="G1121">
        <v>8938.7099999999991</v>
      </c>
      <c r="H1121">
        <v>2442.6799999999998</v>
      </c>
      <c r="I1121">
        <v>10</v>
      </c>
      <c r="J1121">
        <v>1</v>
      </c>
      <c r="K1121" t="str">
        <f>TEXT(discount_impact_on_profit_2000_rows[[#This Row],[order date]],"mmmm")</f>
        <v>March</v>
      </c>
      <c r="L1121">
        <f>YEAR(discount_impact_on_profit_2000_rows[[#This Row],[order date]])</f>
        <v>2023</v>
      </c>
      <c r="M1121" t="str">
        <f>IF(discount_impact_on_profit_2000_rows[[#This Row],[Discount %]]=0,"Zero Discount",IF(discount_impact_on_profit_2000_rows[[#This Row],[Discount %]]&lt;=10,"Low Discount","High Discount"))</f>
        <v>Low Discount</v>
      </c>
      <c r="N1121" t="str">
        <f t="shared" si="17"/>
        <v>0-10%</v>
      </c>
    </row>
    <row r="1122" spans="1:14">
      <c r="A1122" s="1">
        <v>45878</v>
      </c>
      <c r="B1122" t="s">
        <v>1184</v>
      </c>
      <c r="C1122" t="s">
        <v>18</v>
      </c>
      <c r="D1122" t="s">
        <v>104</v>
      </c>
      <c r="E1122">
        <v>148.13999999999999</v>
      </c>
      <c r="F1122" t="s">
        <v>26</v>
      </c>
      <c r="G1122">
        <v>209.08</v>
      </c>
      <c r="H1122">
        <v>60.94</v>
      </c>
      <c r="I1122">
        <v>15</v>
      </c>
      <c r="J1122">
        <v>1</v>
      </c>
      <c r="K1122" t="str">
        <f>TEXT(discount_impact_on_profit_2000_rows[[#This Row],[order date]],"mmmm")</f>
        <v>August</v>
      </c>
      <c r="L1122">
        <f>YEAR(discount_impact_on_profit_2000_rows[[#This Row],[order date]])</f>
        <v>2025</v>
      </c>
      <c r="M1122" t="str">
        <f>IF(discount_impact_on_profit_2000_rows[[#This Row],[Discount %]]=0,"Zero Discount",IF(discount_impact_on_profit_2000_rows[[#This Row],[Discount %]]&lt;=10,"Low Discount","High Discount"))</f>
        <v>High Discount</v>
      </c>
      <c r="N1122" t="str">
        <f t="shared" si="17"/>
        <v>10-20%</v>
      </c>
    </row>
    <row r="1123" spans="1:14">
      <c r="A1123" s="1">
        <v>45561</v>
      </c>
      <c r="B1123" t="s">
        <v>1185</v>
      </c>
      <c r="C1123" t="s">
        <v>21</v>
      </c>
      <c r="D1123" t="s">
        <v>97</v>
      </c>
      <c r="E1123">
        <v>2340.92</v>
      </c>
      <c r="F1123" t="s">
        <v>36</v>
      </c>
      <c r="G1123">
        <v>3111.45</v>
      </c>
      <c r="H1123">
        <v>770.53</v>
      </c>
      <c r="I1123">
        <v>0</v>
      </c>
      <c r="J1123">
        <v>3</v>
      </c>
      <c r="K1123" t="str">
        <f>TEXT(discount_impact_on_profit_2000_rows[[#This Row],[order date]],"mmmm")</f>
        <v>September</v>
      </c>
      <c r="L1123">
        <f>YEAR(discount_impact_on_profit_2000_rows[[#This Row],[order date]])</f>
        <v>2024</v>
      </c>
      <c r="M1123" t="str">
        <f>IF(discount_impact_on_profit_2000_rows[[#This Row],[Discount %]]=0,"Zero Discount",IF(discount_impact_on_profit_2000_rows[[#This Row],[Discount %]]&lt;=10,"Low Discount","High Discount"))</f>
        <v>Zero Discount</v>
      </c>
      <c r="N1123" t="str">
        <f t="shared" si="17"/>
        <v>0-10%</v>
      </c>
    </row>
    <row r="1124" spans="1:14">
      <c r="A1124" s="1">
        <v>45949</v>
      </c>
      <c r="B1124" t="s">
        <v>1186</v>
      </c>
      <c r="C1124" t="s">
        <v>53</v>
      </c>
      <c r="D1124" t="s">
        <v>95</v>
      </c>
      <c r="E1124">
        <v>3309.62</v>
      </c>
      <c r="F1124" t="s">
        <v>26</v>
      </c>
      <c r="G1124">
        <v>6492.3</v>
      </c>
      <c r="H1124">
        <v>3182.68</v>
      </c>
      <c r="I1124">
        <v>15</v>
      </c>
      <c r="J1124">
        <v>2</v>
      </c>
      <c r="K1124" t="str">
        <f>TEXT(discount_impact_on_profit_2000_rows[[#This Row],[order date]],"mmmm")</f>
        <v>October</v>
      </c>
      <c r="L1124">
        <f>YEAR(discount_impact_on_profit_2000_rows[[#This Row],[order date]])</f>
        <v>2025</v>
      </c>
      <c r="M1124" t="str">
        <f>IF(discount_impact_on_profit_2000_rows[[#This Row],[Discount %]]=0,"Zero Discount",IF(discount_impact_on_profit_2000_rows[[#This Row],[Discount %]]&lt;=10,"Low Discount","High Discount"))</f>
        <v>High Discount</v>
      </c>
      <c r="N1124" t="str">
        <f t="shared" si="17"/>
        <v>10-20%</v>
      </c>
    </row>
    <row r="1125" spans="1:14">
      <c r="A1125" s="1">
        <v>45332</v>
      </c>
      <c r="B1125" t="s">
        <v>1187</v>
      </c>
      <c r="C1125" t="s">
        <v>53</v>
      </c>
      <c r="D1125" t="s">
        <v>54</v>
      </c>
      <c r="E1125">
        <v>944.83</v>
      </c>
      <c r="F1125" t="s">
        <v>31</v>
      </c>
      <c r="G1125">
        <v>1559.66</v>
      </c>
      <c r="H1125">
        <v>614.83000000000004</v>
      </c>
      <c r="I1125">
        <v>10</v>
      </c>
      <c r="J1125">
        <v>2</v>
      </c>
      <c r="K1125" t="str">
        <f>TEXT(discount_impact_on_profit_2000_rows[[#This Row],[order date]],"mmmm")</f>
        <v>February</v>
      </c>
      <c r="L1125">
        <f>YEAR(discount_impact_on_profit_2000_rows[[#This Row],[order date]])</f>
        <v>2024</v>
      </c>
      <c r="M1125" t="str">
        <f>IF(discount_impact_on_profit_2000_rows[[#This Row],[Discount %]]=0,"Zero Discount",IF(discount_impact_on_profit_2000_rows[[#This Row],[Discount %]]&lt;=10,"Low Discount","High Discount"))</f>
        <v>Low Discount</v>
      </c>
      <c r="N1125" t="str">
        <f t="shared" si="17"/>
        <v>0-10%</v>
      </c>
    </row>
    <row r="1126" spans="1:14">
      <c r="A1126" s="1">
        <v>45349</v>
      </c>
      <c r="B1126" t="s">
        <v>1188</v>
      </c>
      <c r="C1126" t="s">
        <v>11</v>
      </c>
      <c r="D1126" t="s">
        <v>38</v>
      </c>
      <c r="E1126">
        <v>206.84</v>
      </c>
      <c r="F1126" t="s">
        <v>23</v>
      </c>
      <c r="G1126">
        <v>382.69</v>
      </c>
      <c r="H1126">
        <v>175.85</v>
      </c>
      <c r="I1126">
        <v>20</v>
      </c>
      <c r="J1126">
        <v>1</v>
      </c>
      <c r="K1126" t="str">
        <f>TEXT(discount_impact_on_profit_2000_rows[[#This Row],[order date]],"mmmm")</f>
        <v>February</v>
      </c>
      <c r="L1126">
        <f>YEAR(discount_impact_on_profit_2000_rows[[#This Row],[order date]])</f>
        <v>2024</v>
      </c>
      <c r="M1126" t="str">
        <f>IF(discount_impact_on_profit_2000_rows[[#This Row],[Discount %]]=0,"Zero Discount",IF(discount_impact_on_profit_2000_rows[[#This Row],[Discount %]]&lt;=10,"Low Discount","High Discount"))</f>
        <v>High Discount</v>
      </c>
      <c r="N1126" t="str">
        <f t="shared" si="17"/>
        <v>10-20%</v>
      </c>
    </row>
    <row r="1127" spans="1:14">
      <c r="A1127" s="1">
        <v>45975</v>
      </c>
      <c r="B1127" t="s">
        <v>1189</v>
      </c>
      <c r="C1127" t="s">
        <v>18</v>
      </c>
      <c r="D1127" t="s">
        <v>42</v>
      </c>
      <c r="E1127">
        <v>178.77</v>
      </c>
      <c r="F1127" t="s">
        <v>36</v>
      </c>
      <c r="G1127">
        <v>259.8</v>
      </c>
      <c r="H1127">
        <v>81.03</v>
      </c>
      <c r="I1127">
        <v>5</v>
      </c>
      <c r="J1127">
        <v>1</v>
      </c>
      <c r="K1127" t="str">
        <f>TEXT(discount_impact_on_profit_2000_rows[[#This Row],[order date]],"mmmm")</f>
        <v>November</v>
      </c>
      <c r="L1127">
        <f>YEAR(discount_impact_on_profit_2000_rows[[#This Row],[order date]])</f>
        <v>2025</v>
      </c>
      <c r="M1127" t="str">
        <f>IF(discount_impact_on_profit_2000_rows[[#This Row],[Discount %]]=0,"Zero Discount",IF(discount_impact_on_profit_2000_rows[[#This Row],[Discount %]]&lt;=10,"Low Discount","High Discount"))</f>
        <v>Low Discount</v>
      </c>
      <c r="N1127" t="str">
        <f t="shared" si="17"/>
        <v>0-10%</v>
      </c>
    </row>
    <row r="1128" spans="1:14">
      <c r="A1128" s="1">
        <v>45974</v>
      </c>
      <c r="B1128" t="s">
        <v>1190</v>
      </c>
      <c r="C1128" t="s">
        <v>18</v>
      </c>
      <c r="D1128" t="s">
        <v>50</v>
      </c>
      <c r="E1128">
        <v>1630.8</v>
      </c>
      <c r="F1128" t="s">
        <v>26</v>
      </c>
      <c r="G1128">
        <v>2626.4</v>
      </c>
      <c r="H1128">
        <v>995.6</v>
      </c>
      <c r="I1128">
        <v>10</v>
      </c>
      <c r="J1128">
        <v>2</v>
      </c>
      <c r="K1128" t="str">
        <f>TEXT(discount_impact_on_profit_2000_rows[[#This Row],[order date]],"mmmm")</f>
        <v>November</v>
      </c>
      <c r="L1128">
        <f>YEAR(discount_impact_on_profit_2000_rows[[#This Row],[order date]])</f>
        <v>2025</v>
      </c>
      <c r="M1128" t="str">
        <f>IF(discount_impact_on_profit_2000_rows[[#This Row],[Discount %]]=0,"Zero Discount",IF(discount_impact_on_profit_2000_rows[[#This Row],[Discount %]]&lt;=10,"Low Discount","High Discount"))</f>
        <v>Low Discount</v>
      </c>
      <c r="N1128" t="str">
        <f t="shared" si="17"/>
        <v>0-10%</v>
      </c>
    </row>
    <row r="1129" spans="1:14">
      <c r="A1129" s="1">
        <v>45988</v>
      </c>
      <c r="B1129" t="s">
        <v>1191</v>
      </c>
      <c r="C1129" t="s">
        <v>21</v>
      </c>
      <c r="D1129" t="s">
        <v>109</v>
      </c>
      <c r="E1129">
        <v>5639.4</v>
      </c>
      <c r="F1129" t="s">
        <v>23</v>
      </c>
      <c r="G1129">
        <v>5643.47</v>
      </c>
      <c r="H1129">
        <v>4.07</v>
      </c>
      <c r="I1129">
        <v>20</v>
      </c>
      <c r="J1129">
        <v>3</v>
      </c>
      <c r="K1129" t="str">
        <f>TEXT(discount_impact_on_profit_2000_rows[[#This Row],[order date]],"mmmm")</f>
        <v>November</v>
      </c>
      <c r="L1129">
        <f>YEAR(discount_impact_on_profit_2000_rows[[#This Row],[order date]])</f>
        <v>2025</v>
      </c>
      <c r="M1129" t="str">
        <f>IF(discount_impact_on_profit_2000_rows[[#This Row],[Discount %]]=0,"Zero Discount",IF(discount_impact_on_profit_2000_rows[[#This Row],[Discount %]]&lt;=10,"Low Discount","High Discount"))</f>
        <v>High Discount</v>
      </c>
      <c r="N1129" t="str">
        <f t="shared" si="17"/>
        <v>10-20%</v>
      </c>
    </row>
    <row r="1130" spans="1:14">
      <c r="A1130" s="1">
        <v>45987</v>
      </c>
      <c r="B1130" t="s">
        <v>1192</v>
      </c>
      <c r="C1130" t="s">
        <v>33</v>
      </c>
      <c r="D1130" t="s">
        <v>34</v>
      </c>
      <c r="E1130">
        <v>12273.36</v>
      </c>
      <c r="F1130" t="s">
        <v>26</v>
      </c>
      <c r="G1130">
        <v>14648.49</v>
      </c>
      <c r="H1130">
        <v>2375.13</v>
      </c>
      <c r="I1130">
        <v>20</v>
      </c>
      <c r="J1130">
        <v>2</v>
      </c>
      <c r="K1130" t="str">
        <f>TEXT(discount_impact_on_profit_2000_rows[[#This Row],[order date]],"mmmm")</f>
        <v>November</v>
      </c>
      <c r="L1130">
        <f>YEAR(discount_impact_on_profit_2000_rows[[#This Row],[order date]])</f>
        <v>2025</v>
      </c>
      <c r="M1130" t="str">
        <f>IF(discount_impact_on_profit_2000_rows[[#This Row],[Discount %]]=0,"Zero Discount",IF(discount_impact_on_profit_2000_rows[[#This Row],[Discount %]]&lt;=10,"Low Discount","High Discount"))</f>
        <v>High Discount</v>
      </c>
      <c r="N1130" t="str">
        <f t="shared" si="17"/>
        <v>10-20%</v>
      </c>
    </row>
    <row r="1131" spans="1:14">
      <c r="A1131" s="1">
        <v>45498</v>
      </c>
      <c r="B1131" t="s">
        <v>1193</v>
      </c>
      <c r="C1131" t="s">
        <v>21</v>
      </c>
      <c r="D1131" t="s">
        <v>46</v>
      </c>
      <c r="E1131">
        <v>3155.02</v>
      </c>
      <c r="F1131" t="s">
        <v>36</v>
      </c>
      <c r="G1131">
        <v>4082.07</v>
      </c>
      <c r="H1131">
        <v>927.05</v>
      </c>
      <c r="I1131">
        <v>10</v>
      </c>
      <c r="J1131">
        <v>2</v>
      </c>
      <c r="K1131" t="str">
        <f>TEXT(discount_impact_on_profit_2000_rows[[#This Row],[order date]],"mmmm")</f>
        <v>July</v>
      </c>
      <c r="L1131">
        <f>YEAR(discount_impact_on_profit_2000_rows[[#This Row],[order date]])</f>
        <v>2024</v>
      </c>
      <c r="M1131" t="str">
        <f>IF(discount_impact_on_profit_2000_rows[[#This Row],[Discount %]]=0,"Zero Discount",IF(discount_impact_on_profit_2000_rows[[#This Row],[Discount %]]&lt;=10,"Low Discount","High Discount"))</f>
        <v>Low Discount</v>
      </c>
      <c r="N1131" t="str">
        <f t="shared" si="17"/>
        <v>0-10%</v>
      </c>
    </row>
    <row r="1132" spans="1:14">
      <c r="A1132" s="1">
        <v>45589</v>
      </c>
      <c r="B1132" t="s">
        <v>1194</v>
      </c>
      <c r="C1132" t="s">
        <v>15</v>
      </c>
      <c r="D1132" t="s">
        <v>28</v>
      </c>
      <c r="E1132">
        <v>8680.66</v>
      </c>
      <c r="F1132" t="s">
        <v>13</v>
      </c>
      <c r="G1132">
        <v>10732.35</v>
      </c>
      <c r="H1132">
        <v>2051.69</v>
      </c>
      <c r="I1132">
        <v>15</v>
      </c>
      <c r="J1132">
        <v>2</v>
      </c>
      <c r="K1132" t="str">
        <f>TEXT(discount_impact_on_profit_2000_rows[[#This Row],[order date]],"mmmm")</f>
        <v>October</v>
      </c>
      <c r="L1132">
        <f>YEAR(discount_impact_on_profit_2000_rows[[#This Row],[order date]])</f>
        <v>2024</v>
      </c>
      <c r="M1132" t="str">
        <f>IF(discount_impact_on_profit_2000_rows[[#This Row],[Discount %]]=0,"Zero Discount",IF(discount_impact_on_profit_2000_rows[[#This Row],[Discount %]]&lt;=10,"Low Discount","High Discount"))</f>
        <v>High Discount</v>
      </c>
      <c r="N1132" t="str">
        <f t="shared" si="17"/>
        <v>10-20%</v>
      </c>
    </row>
    <row r="1133" spans="1:14">
      <c r="A1133" s="1">
        <v>45243</v>
      </c>
      <c r="B1133" t="s">
        <v>1195</v>
      </c>
      <c r="C1133" t="s">
        <v>21</v>
      </c>
      <c r="D1133" t="s">
        <v>97</v>
      </c>
      <c r="E1133">
        <v>3018.03</v>
      </c>
      <c r="F1133" t="s">
        <v>13</v>
      </c>
      <c r="G1133">
        <v>3118.71</v>
      </c>
      <c r="H1133">
        <v>100.68</v>
      </c>
      <c r="I1133">
        <v>20</v>
      </c>
      <c r="J1133">
        <v>3</v>
      </c>
      <c r="K1133" t="str">
        <f>TEXT(discount_impact_on_profit_2000_rows[[#This Row],[order date]],"mmmm")</f>
        <v>November</v>
      </c>
      <c r="L1133">
        <f>YEAR(discount_impact_on_profit_2000_rows[[#This Row],[order date]])</f>
        <v>2023</v>
      </c>
      <c r="M1133" t="str">
        <f>IF(discount_impact_on_profit_2000_rows[[#This Row],[Discount %]]=0,"Zero Discount",IF(discount_impact_on_profit_2000_rows[[#This Row],[Discount %]]&lt;=10,"Low Discount","High Discount"))</f>
        <v>High Discount</v>
      </c>
      <c r="N1133" t="str">
        <f t="shared" si="17"/>
        <v>10-20%</v>
      </c>
    </row>
    <row r="1134" spans="1:14">
      <c r="A1134" s="1">
        <v>45239</v>
      </c>
      <c r="B1134" t="s">
        <v>1196</v>
      </c>
      <c r="C1134" t="s">
        <v>15</v>
      </c>
      <c r="D1134" t="s">
        <v>40</v>
      </c>
      <c r="E1134">
        <v>7800.93</v>
      </c>
      <c r="F1134" t="s">
        <v>26</v>
      </c>
      <c r="G1134">
        <v>11142.22</v>
      </c>
      <c r="H1134">
        <v>3341.29</v>
      </c>
      <c r="I1134">
        <v>5</v>
      </c>
      <c r="J1134">
        <v>2</v>
      </c>
      <c r="K1134" t="str">
        <f>TEXT(discount_impact_on_profit_2000_rows[[#This Row],[order date]],"mmmm")</f>
        <v>November</v>
      </c>
      <c r="L1134">
        <f>YEAR(discount_impact_on_profit_2000_rows[[#This Row],[order date]])</f>
        <v>2023</v>
      </c>
      <c r="M1134" t="str">
        <f>IF(discount_impact_on_profit_2000_rows[[#This Row],[Discount %]]=0,"Zero Discount",IF(discount_impact_on_profit_2000_rows[[#This Row],[Discount %]]&lt;=10,"Low Discount","High Discount"))</f>
        <v>Low Discount</v>
      </c>
      <c r="N1134" t="str">
        <f t="shared" si="17"/>
        <v>0-10%</v>
      </c>
    </row>
    <row r="1135" spans="1:14">
      <c r="A1135" s="1">
        <v>45728</v>
      </c>
      <c r="B1135" t="s">
        <v>1197</v>
      </c>
      <c r="C1135" t="s">
        <v>53</v>
      </c>
      <c r="D1135" t="s">
        <v>54</v>
      </c>
      <c r="E1135">
        <v>383.06</v>
      </c>
      <c r="F1135" t="s">
        <v>36</v>
      </c>
      <c r="G1135">
        <v>566.95000000000005</v>
      </c>
      <c r="H1135">
        <v>183.89</v>
      </c>
      <c r="I1135">
        <v>0</v>
      </c>
      <c r="J1135">
        <v>1</v>
      </c>
      <c r="K1135" t="str">
        <f>TEXT(discount_impact_on_profit_2000_rows[[#This Row],[order date]],"mmmm")</f>
        <v>March</v>
      </c>
      <c r="L1135">
        <f>YEAR(discount_impact_on_profit_2000_rows[[#This Row],[order date]])</f>
        <v>2025</v>
      </c>
      <c r="M1135" t="str">
        <f>IF(discount_impact_on_profit_2000_rows[[#This Row],[Discount %]]=0,"Zero Discount",IF(discount_impact_on_profit_2000_rows[[#This Row],[Discount %]]&lt;=10,"Low Discount","High Discount"))</f>
        <v>Zero Discount</v>
      </c>
      <c r="N1135" t="str">
        <f t="shared" si="17"/>
        <v>0-10%</v>
      </c>
    </row>
    <row r="1136" spans="1:14">
      <c r="A1136" s="1">
        <v>45291</v>
      </c>
      <c r="B1136" t="s">
        <v>1198</v>
      </c>
      <c r="C1136" t="s">
        <v>11</v>
      </c>
      <c r="D1136" t="s">
        <v>207</v>
      </c>
      <c r="E1136">
        <v>3350.34</v>
      </c>
      <c r="F1136" t="s">
        <v>36</v>
      </c>
      <c r="G1136">
        <v>6961.81</v>
      </c>
      <c r="H1136">
        <v>3611.47</v>
      </c>
      <c r="I1136">
        <v>10</v>
      </c>
      <c r="J1136">
        <v>3</v>
      </c>
      <c r="K1136" t="str">
        <f>TEXT(discount_impact_on_profit_2000_rows[[#This Row],[order date]],"mmmm")</f>
        <v>December</v>
      </c>
      <c r="L1136">
        <f>YEAR(discount_impact_on_profit_2000_rows[[#This Row],[order date]])</f>
        <v>2023</v>
      </c>
      <c r="M1136" t="str">
        <f>IF(discount_impact_on_profit_2000_rows[[#This Row],[Discount %]]=0,"Zero Discount",IF(discount_impact_on_profit_2000_rows[[#This Row],[Discount %]]&lt;=10,"Low Discount","High Discount"))</f>
        <v>Low Discount</v>
      </c>
      <c r="N1136" t="str">
        <f t="shared" si="17"/>
        <v>0-10%</v>
      </c>
    </row>
    <row r="1137" spans="1:14">
      <c r="A1137" s="1">
        <v>45029</v>
      </c>
      <c r="B1137" t="s">
        <v>1199</v>
      </c>
      <c r="C1137" t="s">
        <v>53</v>
      </c>
      <c r="D1137" t="s">
        <v>54</v>
      </c>
      <c r="E1137">
        <v>3545.04</v>
      </c>
      <c r="F1137" t="s">
        <v>23</v>
      </c>
      <c r="G1137">
        <v>6485.23</v>
      </c>
      <c r="H1137">
        <v>2940.19</v>
      </c>
      <c r="I1137">
        <v>10</v>
      </c>
      <c r="J1137">
        <v>3</v>
      </c>
      <c r="K1137" t="str">
        <f>TEXT(discount_impact_on_profit_2000_rows[[#This Row],[order date]],"mmmm")</f>
        <v>April</v>
      </c>
      <c r="L1137">
        <f>YEAR(discount_impact_on_profit_2000_rows[[#This Row],[order date]])</f>
        <v>2023</v>
      </c>
      <c r="M1137" t="str">
        <f>IF(discount_impact_on_profit_2000_rows[[#This Row],[Discount %]]=0,"Zero Discount",IF(discount_impact_on_profit_2000_rows[[#This Row],[Discount %]]&lt;=10,"Low Discount","High Discount"))</f>
        <v>Low Discount</v>
      </c>
      <c r="N1137" t="str">
        <f t="shared" si="17"/>
        <v>0-10%</v>
      </c>
    </row>
    <row r="1138" spans="1:14">
      <c r="A1138" s="1">
        <v>45308</v>
      </c>
      <c r="B1138" t="s">
        <v>1200</v>
      </c>
      <c r="C1138" t="s">
        <v>15</v>
      </c>
      <c r="D1138" t="s">
        <v>84</v>
      </c>
      <c r="E1138">
        <v>24259.34</v>
      </c>
      <c r="F1138" t="s">
        <v>13</v>
      </c>
      <c r="G1138">
        <v>30563.73</v>
      </c>
      <c r="H1138">
        <v>6304.39</v>
      </c>
      <c r="I1138">
        <v>10</v>
      </c>
      <c r="J1138">
        <v>3</v>
      </c>
      <c r="K1138" t="str">
        <f>TEXT(discount_impact_on_profit_2000_rows[[#This Row],[order date]],"mmmm")</f>
        <v>January</v>
      </c>
      <c r="L1138">
        <f>YEAR(discount_impact_on_profit_2000_rows[[#This Row],[order date]])</f>
        <v>2024</v>
      </c>
      <c r="M1138" t="str">
        <f>IF(discount_impact_on_profit_2000_rows[[#This Row],[Discount %]]=0,"Zero Discount",IF(discount_impact_on_profit_2000_rows[[#This Row],[Discount %]]&lt;=10,"Low Discount","High Discount"))</f>
        <v>Low Discount</v>
      </c>
      <c r="N1138" t="str">
        <f t="shared" si="17"/>
        <v>0-10%</v>
      </c>
    </row>
    <row r="1139" spans="1:14">
      <c r="A1139" s="1">
        <v>45324</v>
      </c>
      <c r="B1139" t="s">
        <v>1201</v>
      </c>
      <c r="C1139" t="s">
        <v>18</v>
      </c>
      <c r="D1139" t="s">
        <v>188</v>
      </c>
      <c r="E1139">
        <v>1222.95</v>
      </c>
      <c r="F1139" t="s">
        <v>36</v>
      </c>
      <c r="G1139">
        <v>1600.17</v>
      </c>
      <c r="H1139">
        <v>377.22</v>
      </c>
      <c r="I1139">
        <v>10</v>
      </c>
      <c r="J1139">
        <v>1</v>
      </c>
      <c r="K1139" t="str">
        <f>TEXT(discount_impact_on_profit_2000_rows[[#This Row],[order date]],"mmmm")</f>
        <v>February</v>
      </c>
      <c r="L1139">
        <f>YEAR(discount_impact_on_profit_2000_rows[[#This Row],[order date]])</f>
        <v>2024</v>
      </c>
      <c r="M1139" t="str">
        <f>IF(discount_impact_on_profit_2000_rows[[#This Row],[Discount %]]=0,"Zero Discount",IF(discount_impact_on_profit_2000_rows[[#This Row],[Discount %]]&lt;=10,"Low Discount","High Discount"))</f>
        <v>Low Discount</v>
      </c>
      <c r="N1139" t="str">
        <f t="shared" si="17"/>
        <v>0-10%</v>
      </c>
    </row>
    <row r="1140" spans="1:14">
      <c r="A1140" s="1">
        <v>45332</v>
      </c>
      <c r="B1140" t="s">
        <v>1202</v>
      </c>
      <c r="C1140" t="s">
        <v>18</v>
      </c>
      <c r="D1140" t="s">
        <v>104</v>
      </c>
      <c r="E1140">
        <v>712.86</v>
      </c>
      <c r="F1140" t="s">
        <v>26</v>
      </c>
      <c r="G1140">
        <v>783.02</v>
      </c>
      <c r="H1140">
        <v>70.16</v>
      </c>
      <c r="I1140">
        <v>25</v>
      </c>
      <c r="J1140">
        <v>1</v>
      </c>
      <c r="K1140" t="str">
        <f>TEXT(discount_impact_on_profit_2000_rows[[#This Row],[order date]],"mmmm")</f>
        <v>February</v>
      </c>
      <c r="L1140">
        <f>YEAR(discount_impact_on_profit_2000_rows[[#This Row],[order date]])</f>
        <v>2024</v>
      </c>
      <c r="M1140" t="str">
        <f>IF(discount_impact_on_profit_2000_rows[[#This Row],[Discount %]]=0,"Zero Discount",IF(discount_impact_on_profit_2000_rows[[#This Row],[Discount %]]&lt;=10,"Low Discount","High Discount"))</f>
        <v>High Discount</v>
      </c>
      <c r="N1140" t="str">
        <f t="shared" si="17"/>
        <v>20-30%</v>
      </c>
    </row>
    <row r="1141" spans="1:14">
      <c r="A1141" s="1">
        <v>45630</v>
      </c>
      <c r="B1141" t="s">
        <v>1203</v>
      </c>
      <c r="C1141" t="s">
        <v>15</v>
      </c>
      <c r="D1141" t="s">
        <v>40</v>
      </c>
      <c r="E1141">
        <v>1541.44</v>
      </c>
      <c r="F1141" t="s">
        <v>26</v>
      </c>
      <c r="G1141">
        <v>2247.9499999999998</v>
      </c>
      <c r="H1141">
        <v>706.51</v>
      </c>
      <c r="I1141">
        <v>10</v>
      </c>
      <c r="J1141">
        <v>1</v>
      </c>
      <c r="K1141" t="str">
        <f>TEXT(discount_impact_on_profit_2000_rows[[#This Row],[order date]],"mmmm")</f>
        <v>December</v>
      </c>
      <c r="L1141">
        <f>YEAR(discount_impact_on_profit_2000_rows[[#This Row],[order date]])</f>
        <v>2024</v>
      </c>
      <c r="M1141" t="str">
        <f>IF(discount_impact_on_profit_2000_rows[[#This Row],[Discount %]]=0,"Zero Discount",IF(discount_impact_on_profit_2000_rows[[#This Row],[Discount %]]&lt;=10,"Low Discount","High Discount"))</f>
        <v>Low Discount</v>
      </c>
      <c r="N1141" t="str">
        <f t="shared" si="17"/>
        <v>0-10%</v>
      </c>
    </row>
    <row r="1142" spans="1:14">
      <c r="A1142" s="1">
        <v>45117</v>
      </c>
      <c r="B1142" t="s">
        <v>1204</v>
      </c>
      <c r="C1142" t="s">
        <v>15</v>
      </c>
      <c r="D1142" t="s">
        <v>28</v>
      </c>
      <c r="E1142">
        <v>12356.77</v>
      </c>
      <c r="F1142" t="s">
        <v>23</v>
      </c>
      <c r="G1142">
        <v>15346.67</v>
      </c>
      <c r="H1142">
        <v>2989.9</v>
      </c>
      <c r="I1142">
        <v>10</v>
      </c>
      <c r="J1142">
        <v>5</v>
      </c>
      <c r="K1142" t="str">
        <f>TEXT(discount_impact_on_profit_2000_rows[[#This Row],[order date]],"mmmm")</f>
        <v>July</v>
      </c>
      <c r="L1142">
        <f>YEAR(discount_impact_on_profit_2000_rows[[#This Row],[order date]])</f>
        <v>2023</v>
      </c>
      <c r="M1142" t="str">
        <f>IF(discount_impact_on_profit_2000_rows[[#This Row],[Discount %]]=0,"Zero Discount",IF(discount_impact_on_profit_2000_rows[[#This Row],[Discount %]]&lt;=10,"Low Discount","High Discount"))</f>
        <v>Low Discount</v>
      </c>
      <c r="N1142" t="str">
        <f t="shared" si="17"/>
        <v>0-10%</v>
      </c>
    </row>
    <row r="1143" spans="1:14">
      <c r="A1143" s="1">
        <v>45989</v>
      </c>
      <c r="B1143" t="s">
        <v>1205</v>
      </c>
      <c r="C1143" t="s">
        <v>15</v>
      </c>
      <c r="D1143" t="s">
        <v>28</v>
      </c>
      <c r="E1143">
        <v>1251.81</v>
      </c>
      <c r="F1143" t="s">
        <v>31</v>
      </c>
      <c r="G1143">
        <v>1449.29</v>
      </c>
      <c r="H1143">
        <v>197.48</v>
      </c>
      <c r="I1143">
        <v>25</v>
      </c>
      <c r="J1143">
        <v>1</v>
      </c>
      <c r="K1143" t="str">
        <f>TEXT(discount_impact_on_profit_2000_rows[[#This Row],[order date]],"mmmm")</f>
        <v>November</v>
      </c>
      <c r="L1143">
        <f>YEAR(discount_impact_on_profit_2000_rows[[#This Row],[order date]])</f>
        <v>2025</v>
      </c>
      <c r="M1143" t="str">
        <f>IF(discount_impact_on_profit_2000_rows[[#This Row],[Discount %]]=0,"Zero Discount",IF(discount_impact_on_profit_2000_rows[[#This Row],[Discount %]]&lt;=10,"Low Discount","High Discount"))</f>
        <v>High Discount</v>
      </c>
      <c r="N1143" t="str">
        <f t="shared" si="17"/>
        <v>20-30%</v>
      </c>
    </row>
    <row r="1144" spans="1:14">
      <c r="A1144" s="1">
        <v>45143</v>
      </c>
      <c r="B1144" t="s">
        <v>1206</v>
      </c>
      <c r="C1144" t="s">
        <v>18</v>
      </c>
      <c r="D1144" t="s">
        <v>42</v>
      </c>
      <c r="E1144">
        <v>1585.65</v>
      </c>
      <c r="F1144" t="s">
        <v>36</v>
      </c>
      <c r="G1144">
        <v>3388.68</v>
      </c>
      <c r="H1144">
        <v>1803.03</v>
      </c>
      <c r="I1144">
        <v>10</v>
      </c>
      <c r="J1144">
        <v>4</v>
      </c>
      <c r="K1144" t="str">
        <f>TEXT(discount_impact_on_profit_2000_rows[[#This Row],[order date]],"mmmm")</f>
        <v>August</v>
      </c>
      <c r="L1144">
        <f>YEAR(discount_impact_on_profit_2000_rows[[#This Row],[order date]])</f>
        <v>2023</v>
      </c>
      <c r="M1144" t="str">
        <f>IF(discount_impact_on_profit_2000_rows[[#This Row],[Discount %]]=0,"Zero Discount",IF(discount_impact_on_profit_2000_rows[[#This Row],[Discount %]]&lt;=10,"Low Discount","High Discount"))</f>
        <v>Low Discount</v>
      </c>
      <c r="N1144" t="str">
        <f t="shared" si="17"/>
        <v>0-10%</v>
      </c>
    </row>
    <row r="1145" spans="1:14">
      <c r="A1145" s="1">
        <v>45120</v>
      </c>
      <c r="B1145" t="s">
        <v>1207</v>
      </c>
      <c r="C1145" t="s">
        <v>21</v>
      </c>
      <c r="D1145" t="s">
        <v>57</v>
      </c>
      <c r="E1145">
        <v>209282.72</v>
      </c>
      <c r="F1145" t="s">
        <v>23</v>
      </c>
      <c r="G1145">
        <v>240077.67</v>
      </c>
      <c r="H1145">
        <v>30794.95</v>
      </c>
      <c r="I1145">
        <v>10</v>
      </c>
      <c r="J1145">
        <v>10</v>
      </c>
      <c r="K1145" t="str">
        <f>TEXT(discount_impact_on_profit_2000_rows[[#This Row],[order date]],"mmmm")</f>
        <v>July</v>
      </c>
      <c r="L1145">
        <f>YEAR(discount_impact_on_profit_2000_rows[[#This Row],[order date]])</f>
        <v>2023</v>
      </c>
      <c r="M1145" t="str">
        <f>IF(discount_impact_on_profit_2000_rows[[#This Row],[Discount %]]=0,"Zero Discount",IF(discount_impact_on_profit_2000_rows[[#This Row],[Discount %]]&lt;=10,"Low Discount","High Discount"))</f>
        <v>Low Discount</v>
      </c>
      <c r="N1145" t="str">
        <f t="shared" si="17"/>
        <v>0-10%</v>
      </c>
    </row>
    <row r="1146" spans="1:14">
      <c r="A1146" s="1">
        <v>44932</v>
      </c>
      <c r="B1146" t="s">
        <v>1208</v>
      </c>
      <c r="C1146" t="s">
        <v>15</v>
      </c>
      <c r="D1146" t="s">
        <v>76</v>
      </c>
      <c r="E1146">
        <v>2096.63</v>
      </c>
      <c r="F1146" t="s">
        <v>13</v>
      </c>
      <c r="G1146">
        <v>2886</v>
      </c>
      <c r="H1146">
        <v>789.37</v>
      </c>
      <c r="I1146">
        <v>15</v>
      </c>
      <c r="J1146">
        <v>2</v>
      </c>
      <c r="K1146" t="str">
        <f>TEXT(discount_impact_on_profit_2000_rows[[#This Row],[order date]],"mmmm")</f>
        <v>January</v>
      </c>
      <c r="L1146">
        <f>YEAR(discount_impact_on_profit_2000_rows[[#This Row],[order date]])</f>
        <v>2023</v>
      </c>
      <c r="M1146" t="str">
        <f>IF(discount_impact_on_profit_2000_rows[[#This Row],[Discount %]]=0,"Zero Discount",IF(discount_impact_on_profit_2000_rows[[#This Row],[Discount %]]&lt;=10,"Low Discount","High Discount"))</f>
        <v>High Discount</v>
      </c>
      <c r="N1146" t="str">
        <f t="shared" si="17"/>
        <v>10-20%</v>
      </c>
    </row>
    <row r="1147" spans="1:14">
      <c r="A1147" s="1">
        <v>45078</v>
      </c>
      <c r="B1147" t="s">
        <v>1209</v>
      </c>
      <c r="C1147" t="s">
        <v>33</v>
      </c>
      <c r="D1147" t="s">
        <v>273</v>
      </c>
      <c r="E1147">
        <v>39512.17</v>
      </c>
      <c r="F1147" t="s">
        <v>26</v>
      </c>
      <c r="G1147">
        <v>52088.7</v>
      </c>
      <c r="H1147">
        <v>12576.53</v>
      </c>
      <c r="I1147">
        <v>10</v>
      </c>
      <c r="J1147">
        <v>8</v>
      </c>
      <c r="K1147" t="str">
        <f>TEXT(discount_impact_on_profit_2000_rows[[#This Row],[order date]],"mmmm")</f>
        <v>June</v>
      </c>
      <c r="L1147">
        <f>YEAR(discount_impact_on_profit_2000_rows[[#This Row],[order date]])</f>
        <v>2023</v>
      </c>
      <c r="M1147" t="str">
        <f>IF(discount_impact_on_profit_2000_rows[[#This Row],[Discount %]]=0,"Zero Discount",IF(discount_impact_on_profit_2000_rows[[#This Row],[Discount %]]&lt;=10,"Low Discount","High Discount"))</f>
        <v>Low Discount</v>
      </c>
      <c r="N1147" t="str">
        <f t="shared" si="17"/>
        <v>0-10%</v>
      </c>
    </row>
    <row r="1148" spans="1:14">
      <c r="A1148" s="1">
        <v>45001</v>
      </c>
      <c r="B1148" t="s">
        <v>1210</v>
      </c>
      <c r="C1148" t="s">
        <v>18</v>
      </c>
      <c r="D1148" t="s">
        <v>188</v>
      </c>
      <c r="E1148">
        <v>1777.62</v>
      </c>
      <c r="F1148" t="s">
        <v>26</v>
      </c>
      <c r="G1148">
        <v>2168.4699999999998</v>
      </c>
      <c r="H1148">
        <v>390.85</v>
      </c>
      <c r="I1148">
        <v>25</v>
      </c>
      <c r="J1148">
        <v>8</v>
      </c>
      <c r="K1148" t="str">
        <f>TEXT(discount_impact_on_profit_2000_rows[[#This Row],[order date]],"mmmm")</f>
        <v>March</v>
      </c>
      <c r="L1148">
        <f>YEAR(discount_impact_on_profit_2000_rows[[#This Row],[order date]])</f>
        <v>2023</v>
      </c>
      <c r="M1148" t="str">
        <f>IF(discount_impact_on_profit_2000_rows[[#This Row],[Discount %]]=0,"Zero Discount",IF(discount_impact_on_profit_2000_rows[[#This Row],[Discount %]]&lt;=10,"Low Discount","High Discount"))</f>
        <v>High Discount</v>
      </c>
      <c r="N1148" t="str">
        <f t="shared" si="17"/>
        <v>20-30%</v>
      </c>
    </row>
    <row r="1149" spans="1:14">
      <c r="A1149" s="1">
        <v>45935</v>
      </c>
      <c r="B1149" t="s">
        <v>1211</v>
      </c>
      <c r="C1149" t="s">
        <v>33</v>
      </c>
      <c r="D1149" t="s">
        <v>44</v>
      </c>
      <c r="E1149">
        <v>11917.71</v>
      </c>
      <c r="F1149" t="s">
        <v>36</v>
      </c>
      <c r="G1149">
        <v>19178.16</v>
      </c>
      <c r="H1149">
        <v>7260.45</v>
      </c>
      <c r="I1149">
        <v>0</v>
      </c>
      <c r="J1149">
        <v>1</v>
      </c>
      <c r="K1149" t="str">
        <f>TEXT(discount_impact_on_profit_2000_rows[[#This Row],[order date]],"mmmm")</f>
        <v>October</v>
      </c>
      <c r="L1149">
        <f>YEAR(discount_impact_on_profit_2000_rows[[#This Row],[order date]])</f>
        <v>2025</v>
      </c>
      <c r="M1149" t="str">
        <f>IF(discount_impact_on_profit_2000_rows[[#This Row],[Discount %]]=0,"Zero Discount",IF(discount_impact_on_profit_2000_rows[[#This Row],[Discount %]]&lt;=10,"Low Discount","High Discount"))</f>
        <v>Zero Discount</v>
      </c>
      <c r="N1149" t="str">
        <f t="shared" si="17"/>
        <v>0-10%</v>
      </c>
    </row>
    <row r="1150" spans="1:14">
      <c r="A1150" s="1">
        <v>45540</v>
      </c>
      <c r="B1150" t="s">
        <v>1212</v>
      </c>
      <c r="C1150" t="s">
        <v>21</v>
      </c>
      <c r="D1150" t="s">
        <v>109</v>
      </c>
      <c r="E1150">
        <v>25153.200000000001</v>
      </c>
      <c r="F1150" t="s">
        <v>13</v>
      </c>
      <c r="G1150">
        <v>29354.09</v>
      </c>
      <c r="H1150">
        <v>4200.8900000000003</v>
      </c>
      <c r="I1150">
        <v>20</v>
      </c>
      <c r="J1150">
        <v>2</v>
      </c>
      <c r="K1150" t="str">
        <f>TEXT(discount_impact_on_profit_2000_rows[[#This Row],[order date]],"mmmm")</f>
        <v>September</v>
      </c>
      <c r="L1150">
        <f>YEAR(discount_impact_on_profit_2000_rows[[#This Row],[order date]])</f>
        <v>2024</v>
      </c>
      <c r="M1150" t="str">
        <f>IF(discount_impact_on_profit_2000_rows[[#This Row],[Discount %]]=0,"Zero Discount",IF(discount_impact_on_profit_2000_rows[[#This Row],[Discount %]]&lt;=10,"Low Discount","High Discount"))</f>
        <v>High Discount</v>
      </c>
      <c r="N1150" t="str">
        <f t="shared" si="17"/>
        <v>10-20%</v>
      </c>
    </row>
    <row r="1151" spans="1:14">
      <c r="A1151" s="1">
        <v>45255</v>
      </c>
      <c r="B1151" t="s">
        <v>1213</v>
      </c>
      <c r="C1151" t="s">
        <v>15</v>
      </c>
      <c r="D1151" t="s">
        <v>16</v>
      </c>
      <c r="E1151">
        <v>999.11</v>
      </c>
      <c r="F1151" t="s">
        <v>36</v>
      </c>
      <c r="G1151">
        <v>1207.3399999999999</v>
      </c>
      <c r="H1151">
        <v>208.23</v>
      </c>
      <c r="I1151">
        <v>20</v>
      </c>
      <c r="J1151">
        <v>1</v>
      </c>
      <c r="K1151" t="str">
        <f>TEXT(discount_impact_on_profit_2000_rows[[#This Row],[order date]],"mmmm")</f>
        <v>November</v>
      </c>
      <c r="L1151">
        <f>YEAR(discount_impact_on_profit_2000_rows[[#This Row],[order date]])</f>
        <v>2023</v>
      </c>
      <c r="M1151" t="str">
        <f>IF(discount_impact_on_profit_2000_rows[[#This Row],[Discount %]]=0,"Zero Discount",IF(discount_impact_on_profit_2000_rows[[#This Row],[Discount %]]&lt;=10,"Low Discount","High Discount"))</f>
        <v>High Discount</v>
      </c>
      <c r="N1151" t="str">
        <f t="shared" si="17"/>
        <v>10-20%</v>
      </c>
    </row>
    <row r="1152" spans="1:14">
      <c r="A1152" s="1">
        <v>45085</v>
      </c>
      <c r="B1152" t="s">
        <v>1214</v>
      </c>
      <c r="C1152" t="s">
        <v>11</v>
      </c>
      <c r="D1152" t="s">
        <v>12</v>
      </c>
      <c r="E1152">
        <v>617.53</v>
      </c>
      <c r="F1152" t="s">
        <v>23</v>
      </c>
      <c r="G1152">
        <v>876.92</v>
      </c>
      <c r="H1152">
        <v>259.39</v>
      </c>
      <c r="I1152">
        <v>10</v>
      </c>
      <c r="J1152">
        <v>1</v>
      </c>
      <c r="K1152" t="str">
        <f>TEXT(discount_impact_on_profit_2000_rows[[#This Row],[order date]],"mmmm")</f>
        <v>June</v>
      </c>
      <c r="L1152">
        <f>YEAR(discount_impact_on_profit_2000_rows[[#This Row],[order date]])</f>
        <v>2023</v>
      </c>
      <c r="M1152" t="str">
        <f>IF(discount_impact_on_profit_2000_rows[[#This Row],[Discount %]]=0,"Zero Discount",IF(discount_impact_on_profit_2000_rows[[#This Row],[Discount %]]&lt;=10,"Low Discount","High Discount"))</f>
        <v>Low Discount</v>
      </c>
      <c r="N1152" t="str">
        <f t="shared" si="17"/>
        <v>0-10%</v>
      </c>
    </row>
    <row r="1153" spans="1:14">
      <c r="A1153" s="1">
        <v>45830</v>
      </c>
      <c r="B1153" t="s">
        <v>1215</v>
      </c>
      <c r="C1153" t="s">
        <v>53</v>
      </c>
      <c r="D1153" t="s">
        <v>95</v>
      </c>
      <c r="E1153">
        <v>6243.44</v>
      </c>
      <c r="F1153" t="s">
        <v>26</v>
      </c>
      <c r="G1153">
        <v>10885.97</v>
      </c>
      <c r="H1153">
        <v>4642.53</v>
      </c>
      <c r="I1153">
        <v>10</v>
      </c>
      <c r="J1153">
        <v>3</v>
      </c>
      <c r="K1153" t="str">
        <f>TEXT(discount_impact_on_profit_2000_rows[[#This Row],[order date]],"mmmm")</f>
        <v>June</v>
      </c>
      <c r="L1153">
        <f>YEAR(discount_impact_on_profit_2000_rows[[#This Row],[order date]])</f>
        <v>2025</v>
      </c>
      <c r="M1153" t="str">
        <f>IF(discount_impact_on_profit_2000_rows[[#This Row],[Discount %]]=0,"Zero Discount",IF(discount_impact_on_profit_2000_rows[[#This Row],[Discount %]]&lt;=10,"Low Discount","High Discount"))</f>
        <v>Low Discount</v>
      </c>
      <c r="N1153" t="str">
        <f t="shared" si="17"/>
        <v>0-10%</v>
      </c>
    </row>
    <row r="1154" spans="1:14">
      <c r="A1154" s="1">
        <v>45754</v>
      </c>
      <c r="B1154" t="s">
        <v>1216</v>
      </c>
      <c r="C1154" t="s">
        <v>21</v>
      </c>
      <c r="D1154" t="s">
        <v>154</v>
      </c>
      <c r="E1154">
        <v>63683.46</v>
      </c>
      <c r="F1154" t="s">
        <v>13</v>
      </c>
      <c r="G1154">
        <v>70451.75</v>
      </c>
      <c r="H1154">
        <v>6768.29</v>
      </c>
      <c r="I1154">
        <v>20</v>
      </c>
      <c r="J1154">
        <v>4</v>
      </c>
      <c r="K1154" t="str">
        <f>TEXT(discount_impact_on_profit_2000_rows[[#This Row],[order date]],"mmmm")</f>
        <v>April</v>
      </c>
      <c r="L1154">
        <f>YEAR(discount_impact_on_profit_2000_rows[[#This Row],[order date]])</f>
        <v>2025</v>
      </c>
      <c r="M1154" t="str">
        <f>IF(discount_impact_on_profit_2000_rows[[#This Row],[Discount %]]=0,"Zero Discount",IF(discount_impact_on_profit_2000_rows[[#This Row],[Discount %]]&lt;=10,"Low Discount","High Discount"))</f>
        <v>High Discount</v>
      </c>
      <c r="N1154" t="str">
        <f t="shared" ref="N1154:N1217" si="18">IF(I1154&lt;=10,"0-10%",IF(I1154&lt;=20,"10-20%",IF(I1154&lt;=30,"20-30%","30%+")))</f>
        <v>10-20%</v>
      </c>
    </row>
    <row r="1155" spans="1:14">
      <c r="A1155" s="1">
        <v>45577</v>
      </c>
      <c r="B1155" t="s">
        <v>1217</v>
      </c>
      <c r="C1155" t="s">
        <v>15</v>
      </c>
      <c r="D1155" t="s">
        <v>99</v>
      </c>
      <c r="E1155">
        <v>10498.85</v>
      </c>
      <c r="F1155" t="s">
        <v>13</v>
      </c>
      <c r="G1155">
        <v>14026.91</v>
      </c>
      <c r="H1155">
        <v>3528.06</v>
      </c>
      <c r="I1155">
        <v>5</v>
      </c>
      <c r="J1155">
        <v>3</v>
      </c>
      <c r="K1155" t="str">
        <f>TEXT(discount_impact_on_profit_2000_rows[[#This Row],[order date]],"mmmm")</f>
        <v>October</v>
      </c>
      <c r="L1155">
        <f>YEAR(discount_impact_on_profit_2000_rows[[#This Row],[order date]])</f>
        <v>2024</v>
      </c>
      <c r="M1155" t="str">
        <f>IF(discount_impact_on_profit_2000_rows[[#This Row],[Discount %]]=0,"Zero Discount",IF(discount_impact_on_profit_2000_rows[[#This Row],[Discount %]]&lt;=10,"Low Discount","High Discount"))</f>
        <v>Low Discount</v>
      </c>
      <c r="N1155" t="str">
        <f t="shared" si="18"/>
        <v>0-10%</v>
      </c>
    </row>
    <row r="1156" spans="1:14">
      <c r="A1156" s="1">
        <v>45766</v>
      </c>
      <c r="B1156" t="s">
        <v>1218</v>
      </c>
      <c r="C1156" t="s">
        <v>21</v>
      </c>
      <c r="D1156" t="s">
        <v>46</v>
      </c>
      <c r="E1156">
        <v>1003.97</v>
      </c>
      <c r="F1156" t="s">
        <v>26</v>
      </c>
      <c r="G1156">
        <v>1181.8800000000001</v>
      </c>
      <c r="H1156">
        <v>177.91</v>
      </c>
      <c r="I1156">
        <v>20</v>
      </c>
      <c r="J1156">
        <v>1</v>
      </c>
      <c r="K1156" t="str">
        <f>TEXT(discount_impact_on_profit_2000_rows[[#This Row],[order date]],"mmmm")</f>
        <v>April</v>
      </c>
      <c r="L1156">
        <f>YEAR(discount_impact_on_profit_2000_rows[[#This Row],[order date]])</f>
        <v>2025</v>
      </c>
      <c r="M1156" t="str">
        <f>IF(discount_impact_on_profit_2000_rows[[#This Row],[Discount %]]=0,"Zero Discount",IF(discount_impact_on_profit_2000_rows[[#This Row],[Discount %]]&lt;=10,"Low Discount","High Discount"))</f>
        <v>High Discount</v>
      </c>
      <c r="N1156" t="str">
        <f t="shared" si="18"/>
        <v>10-20%</v>
      </c>
    </row>
    <row r="1157" spans="1:14">
      <c r="A1157" s="1">
        <v>45044</v>
      </c>
      <c r="B1157" t="s">
        <v>1219</v>
      </c>
      <c r="C1157" t="s">
        <v>15</v>
      </c>
      <c r="D1157" t="s">
        <v>28</v>
      </c>
      <c r="E1157">
        <v>19080.84</v>
      </c>
      <c r="F1157" t="s">
        <v>31</v>
      </c>
      <c r="G1157">
        <v>21657.8</v>
      </c>
      <c r="H1157">
        <v>2576.96</v>
      </c>
      <c r="I1157">
        <v>10</v>
      </c>
      <c r="J1157">
        <v>6</v>
      </c>
      <c r="K1157" t="str">
        <f>TEXT(discount_impact_on_profit_2000_rows[[#This Row],[order date]],"mmmm")</f>
        <v>April</v>
      </c>
      <c r="L1157">
        <f>YEAR(discount_impact_on_profit_2000_rows[[#This Row],[order date]])</f>
        <v>2023</v>
      </c>
      <c r="M1157" t="str">
        <f>IF(discount_impact_on_profit_2000_rows[[#This Row],[Discount %]]=0,"Zero Discount",IF(discount_impact_on_profit_2000_rows[[#This Row],[Discount %]]&lt;=10,"Low Discount","High Discount"))</f>
        <v>Low Discount</v>
      </c>
      <c r="N1157" t="str">
        <f t="shared" si="18"/>
        <v>0-10%</v>
      </c>
    </row>
    <row r="1158" spans="1:14">
      <c r="A1158" s="1">
        <v>45097</v>
      </c>
      <c r="B1158" t="s">
        <v>1220</v>
      </c>
      <c r="C1158" t="s">
        <v>18</v>
      </c>
      <c r="D1158" t="s">
        <v>104</v>
      </c>
      <c r="E1158">
        <v>69.5</v>
      </c>
      <c r="F1158" t="s">
        <v>31</v>
      </c>
      <c r="G1158">
        <v>147.84</v>
      </c>
      <c r="H1158">
        <v>78.34</v>
      </c>
      <c r="I1158">
        <v>0</v>
      </c>
      <c r="J1158">
        <v>1</v>
      </c>
      <c r="K1158" t="str">
        <f>TEXT(discount_impact_on_profit_2000_rows[[#This Row],[order date]],"mmmm")</f>
        <v>June</v>
      </c>
      <c r="L1158">
        <f>YEAR(discount_impact_on_profit_2000_rows[[#This Row],[order date]])</f>
        <v>2023</v>
      </c>
      <c r="M1158" t="str">
        <f>IF(discount_impact_on_profit_2000_rows[[#This Row],[Discount %]]=0,"Zero Discount",IF(discount_impact_on_profit_2000_rows[[#This Row],[Discount %]]&lt;=10,"Low Discount","High Discount"))</f>
        <v>Zero Discount</v>
      </c>
      <c r="N1158" t="str">
        <f t="shared" si="18"/>
        <v>0-10%</v>
      </c>
    </row>
    <row r="1159" spans="1:14">
      <c r="A1159" s="1">
        <v>45291</v>
      </c>
      <c r="B1159" t="s">
        <v>1221</v>
      </c>
      <c r="C1159" t="s">
        <v>21</v>
      </c>
      <c r="D1159" t="s">
        <v>82</v>
      </c>
      <c r="E1159">
        <v>658.37</v>
      </c>
      <c r="F1159" t="s">
        <v>31</v>
      </c>
      <c r="G1159">
        <v>822.1</v>
      </c>
      <c r="H1159">
        <v>163.72999999999999</v>
      </c>
      <c r="I1159">
        <v>15</v>
      </c>
      <c r="J1159">
        <v>1</v>
      </c>
      <c r="K1159" t="str">
        <f>TEXT(discount_impact_on_profit_2000_rows[[#This Row],[order date]],"mmmm")</f>
        <v>December</v>
      </c>
      <c r="L1159">
        <f>YEAR(discount_impact_on_profit_2000_rows[[#This Row],[order date]])</f>
        <v>2023</v>
      </c>
      <c r="M1159" t="str">
        <f>IF(discount_impact_on_profit_2000_rows[[#This Row],[Discount %]]=0,"Zero Discount",IF(discount_impact_on_profit_2000_rows[[#This Row],[Discount %]]&lt;=10,"Low Discount","High Discount"))</f>
        <v>High Discount</v>
      </c>
      <c r="N1159" t="str">
        <f t="shared" si="18"/>
        <v>10-20%</v>
      </c>
    </row>
    <row r="1160" spans="1:14">
      <c r="A1160" s="1">
        <v>45653</v>
      </c>
      <c r="B1160" t="s">
        <v>1222</v>
      </c>
      <c r="C1160" t="s">
        <v>11</v>
      </c>
      <c r="D1160" t="s">
        <v>80</v>
      </c>
      <c r="E1160">
        <v>895.06</v>
      </c>
      <c r="F1160" t="s">
        <v>36</v>
      </c>
      <c r="G1160">
        <v>1722.49</v>
      </c>
      <c r="H1160">
        <v>827.43</v>
      </c>
      <c r="I1160">
        <v>15</v>
      </c>
      <c r="J1160">
        <v>4</v>
      </c>
      <c r="K1160" t="str">
        <f>TEXT(discount_impact_on_profit_2000_rows[[#This Row],[order date]],"mmmm")</f>
        <v>December</v>
      </c>
      <c r="L1160">
        <f>YEAR(discount_impact_on_profit_2000_rows[[#This Row],[order date]])</f>
        <v>2024</v>
      </c>
      <c r="M1160" t="str">
        <f>IF(discount_impact_on_profit_2000_rows[[#This Row],[Discount %]]=0,"Zero Discount",IF(discount_impact_on_profit_2000_rows[[#This Row],[Discount %]]&lt;=10,"Low Discount","High Discount"))</f>
        <v>High Discount</v>
      </c>
      <c r="N1160" t="str">
        <f t="shared" si="18"/>
        <v>10-20%</v>
      </c>
    </row>
    <row r="1161" spans="1:14">
      <c r="A1161" s="1">
        <v>44940</v>
      </c>
      <c r="B1161" t="s">
        <v>1223</v>
      </c>
      <c r="C1161" t="s">
        <v>15</v>
      </c>
      <c r="D1161" t="s">
        <v>40</v>
      </c>
      <c r="E1161">
        <v>4366.6000000000004</v>
      </c>
      <c r="F1161" t="s">
        <v>31</v>
      </c>
      <c r="G1161">
        <v>7050.98</v>
      </c>
      <c r="H1161">
        <v>2684.38</v>
      </c>
      <c r="I1161">
        <v>0</v>
      </c>
      <c r="J1161">
        <v>2</v>
      </c>
      <c r="K1161" t="str">
        <f>TEXT(discount_impact_on_profit_2000_rows[[#This Row],[order date]],"mmmm")</f>
        <v>January</v>
      </c>
      <c r="L1161">
        <f>YEAR(discount_impact_on_profit_2000_rows[[#This Row],[order date]])</f>
        <v>2023</v>
      </c>
      <c r="M1161" t="str">
        <f>IF(discount_impact_on_profit_2000_rows[[#This Row],[Discount %]]=0,"Zero Discount",IF(discount_impact_on_profit_2000_rows[[#This Row],[Discount %]]&lt;=10,"Low Discount","High Discount"))</f>
        <v>Zero Discount</v>
      </c>
      <c r="N1161" t="str">
        <f t="shared" si="18"/>
        <v>0-10%</v>
      </c>
    </row>
    <row r="1162" spans="1:14">
      <c r="A1162" s="1">
        <v>45434</v>
      </c>
      <c r="B1162" t="s">
        <v>1224</v>
      </c>
      <c r="C1162" t="s">
        <v>53</v>
      </c>
      <c r="D1162" t="s">
        <v>152</v>
      </c>
      <c r="E1162">
        <v>1062.4000000000001</v>
      </c>
      <c r="F1162" t="s">
        <v>31</v>
      </c>
      <c r="G1162">
        <v>1828.21</v>
      </c>
      <c r="H1162">
        <v>765.81</v>
      </c>
      <c r="I1162">
        <v>20</v>
      </c>
      <c r="J1162">
        <v>5</v>
      </c>
      <c r="K1162" t="str">
        <f>TEXT(discount_impact_on_profit_2000_rows[[#This Row],[order date]],"mmmm")</f>
        <v>May</v>
      </c>
      <c r="L1162">
        <f>YEAR(discount_impact_on_profit_2000_rows[[#This Row],[order date]])</f>
        <v>2024</v>
      </c>
      <c r="M1162" t="str">
        <f>IF(discount_impact_on_profit_2000_rows[[#This Row],[Discount %]]=0,"Zero Discount",IF(discount_impact_on_profit_2000_rows[[#This Row],[Discount %]]&lt;=10,"Low Discount","High Discount"))</f>
        <v>High Discount</v>
      </c>
      <c r="N1162" t="str">
        <f t="shared" si="18"/>
        <v>10-20%</v>
      </c>
    </row>
    <row r="1163" spans="1:14">
      <c r="A1163" s="1">
        <v>45559</v>
      </c>
      <c r="B1163" t="s">
        <v>1225</v>
      </c>
      <c r="C1163" t="s">
        <v>18</v>
      </c>
      <c r="D1163" t="s">
        <v>188</v>
      </c>
      <c r="E1163">
        <v>85.57</v>
      </c>
      <c r="F1163" t="s">
        <v>13</v>
      </c>
      <c r="G1163">
        <v>148.86000000000001</v>
      </c>
      <c r="H1163">
        <v>63.29</v>
      </c>
      <c r="I1163">
        <v>20</v>
      </c>
      <c r="J1163">
        <v>1</v>
      </c>
      <c r="K1163" t="str">
        <f>TEXT(discount_impact_on_profit_2000_rows[[#This Row],[order date]],"mmmm")</f>
        <v>September</v>
      </c>
      <c r="L1163">
        <f>YEAR(discount_impact_on_profit_2000_rows[[#This Row],[order date]])</f>
        <v>2024</v>
      </c>
      <c r="M1163" t="str">
        <f>IF(discount_impact_on_profit_2000_rows[[#This Row],[Discount %]]=0,"Zero Discount",IF(discount_impact_on_profit_2000_rows[[#This Row],[Discount %]]&lt;=10,"Low Discount","High Discount"))</f>
        <v>High Discount</v>
      </c>
      <c r="N1163" t="str">
        <f t="shared" si="18"/>
        <v>10-20%</v>
      </c>
    </row>
    <row r="1164" spans="1:14">
      <c r="A1164" s="1">
        <v>45756</v>
      </c>
      <c r="B1164" t="s">
        <v>1226</v>
      </c>
      <c r="C1164" t="s">
        <v>11</v>
      </c>
      <c r="D1164" t="s">
        <v>38</v>
      </c>
      <c r="E1164">
        <v>21225.64</v>
      </c>
      <c r="F1164" t="s">
        <v>31</v>
      </c>
      <c r="G1164">
        <v>29801.98</v>
      </c>
      <c r="H1164">
        <v>8576.34</v>
      </c>
      <c r="I1164">
        <v>20</v>
      </c>
      <c r="J1164">
        <v>8</v>
      </c>
      <c r="K1164" t="str">
        <f>TEXT(discount_impact_on_profit_2000_rows[[#This Row],[order date]],"mmmm")</f>
        <v>April</v>
      </c>
      <c r="L1164">
        <f>YEAR(discount_impact_on_profit_2000_rows[[#This Row],[order date]])</f>
        <v>2025</v>
      </c>
      <c r="M1164" t="str">
        <f>IF(discount_impact_on_profit_2000_rows[[#This Row],[Discount %]]=0,"Zero Discount",IF(discount_impact_on_profit_2000_rows[[#This Row],[Discount %]]&lt;=10,"Low Discount","High Discount"))</f>
        <v>High Discount</v>
      </c>
      <c r="N1164" t="str">
        <f t="shared" si="18"/>
        <v>10-20%</v>
      </c>
    </row>
    <row r="1165" spans="1:14">
      <c r="A1165" s="1">
        <v>45758</v>
      </c>
      <c r="B1165" t="s">
        <v>1227</v>
      </c>
      <c r="C1165" t="s">
        <v>53</v>
      </c>
      <c r="D1165" t="s">
        <v>95</v>
      </c>
      <c r="E1165">
        <v>1692.68</v>
      </c>
      <c r="F1165" t="s">
        <v>36</v>
      </c>
      <c r="G1165">
        <v>2914.38</v>
      </c>
      <c r="H1165">
        <v>1221.7</v>
      </c>
      <c r="I1165">
        <v>15</v>
      </c>
      <c r="J1165">
        <v>2</v>
      </c>
      <c r="K1165" t="str">
        <f>TEXT(discount_impact_on_profit_2000_rows[[#This Row],[order date]],"mmmm")</f>
        <v>April</v>
      </c>
      <c r="L1165">
        <f>YEAR(discount_impact_on_profit_2000_rows[[#This Row],[order date]])</f>
        <v>2025</v>
      </c>
      <c r="M1165" t="str">
        <f>IF(discount_impact_on_profit_2000_rows[[#This Row],[Discount %]]=0,"Zero Discount",IF(discount_impact_on_profit_2000_rows[[#This Row],[Discount %]]&lt;=10,"Low Discount","High Discount"))</f>
        <v>High Discount</v>
      </c>
      <c r="N1165" t="str">
        <f t="shared" si="18"/>
        <v>10-20%</v>
      </c>
    </row>
    <row r="1166" spans="1:14">
      <c r="A1166" s="1">
        <v>45511</v>
      </c>
      <c r="B1166" t="s">
        <v>1228</v>
      </c>
      <c r="C1166" t="s">
        <v>21</v>
      </c>
      <c r="D1166" t="s">
        <v>123</v>
      </c>
      <c r="E1166">
        <v>2591.4499999999998</v>
      </c>
      <c r="F1166" t="s">
        <v>26</v>
      </c>
      <c r="G1166">
        <v>3067.53</v>
      </c>
      <c r="H1166">
        <v>476.08</v>
      </c>
      <c r="I1166">
        <v>0</v>
      </c>
      <c r="J1166">
        <v>2</v>
      </c>
      <c r="K1166" t="str">
        <f>TEXT(discount_impact_on_profit_2000_rows[[#This Row],[order date]],"mmmm")</f>
        <v>August</v>
      </c>
      <c r="L1166">
        <f>YEAR(discount_impact_on_profit_2000_rows[[#This Row],[order date]])</f>
        <v>2024</v>
      </c>
      <c r="M1166" t="str">
        <f>IF(discount_impact_on_profit_2000_rows[[#This Row],[Discount %]]=0,"Zero Discount",IF(discount_impact_on_profit_2000_rows[[#This Row],[Discount %]]&lt;=10,"Low Discount","High Discount"))</f>
        <v>Zero Discount</v>
      </c>
      <c r="N1166" t="str">
        <f t="shared" si="18"/>
        <v>0-10%</v>
      </c>
    </row>
    <row r="1167" spans="1:14">
      <c r="A1167" s="1">
        <v>45466</v>
      </c>
      <c r="B1167" t="s">
        <v>1229</v>
      </c>
      <c r="C1167" t="s">
        <v>21</v>
      </c>
      <c r="D1167" t="s">
        <v>109</v>
      </c>
      <c r="E1167">
        <v>23081.3</v>
      </c>
      <c r="F1167" t="s">
        <v>36</v>
      </c>
      <c r="G1167">
        <v>28365.67</v>
      </c>
      <c r="H1167">
        <v>5284.37</v>
      </c>
      <c r="I1167">
        <v>5</v>
      </c>
      <c r="J1167">
        <v>5</v>
      </c>
      <c r="K1167" t="str">
        <f>TEXT(discount_impact_on_profit_2000_rows[[#This Row],[order date]],"mmmm")</f>
        <v>June</v>
      </c>
      <c r="L1167">
        <f>YEAR(discount_impact_on_profit_2000_rows[[#This Row],[order date]])</f>
        <v>2024</v>
      </c>
      <c r="M1167" t="str">
        <f>IF(discount_impact_on_profit_2000_rows[[#This Row],[Discount %]]=0,"Zero Discount",IF(discount_impact_on_profit_2000_rows[[#This Row],[Discount %]]&lt;=10,"Low Discount","High Discount"))</f>
        <v>Low Discount</v>
      </c>
      <c r="N1167" t="str">
        <f t="shared" si="18"/>
        <v>0-10%</v>
      </c>
    </row>
    <row r="1168" spans="1:14">
      <c r="A1168" s="1">
        <v>45329</v>
      </c>
      <c r="B1168" t="s">
        <v>1230</v>
      </c>
      <c r="C1168" t="s">
        <v>21</v>
      </c>
      <c r="D1168" t="s">
        <v>57</v>
      </c>
      <c r="E1168">
        <v>2695.99</v>
      </c>
      <c r="F1168" t="s">
        <v>26</v>
      </c>
      <c r="G1168">
        <v>3248.46</v>
      </c>
      <c r="H1168">
        <v>552.47</v>
      </c>
      <c r="I1168">
        <v>20</v>
      </c>
      <c r="J1168">
        <v>2</v>
      </c>
      <c r="K1168" t="str">
        <f>TEXT(discount_impact_on_profit_2000_rows[[#This Row],[order date]],"mmmm")</f>
        <v>February</v>
      </c>
      <c r="L1168">
        <f>YEAR(discount_impact_on_profit_2000_rows[[#This Row],[order date]])</f>
        <v>2024</v>
      </c>
      <c r="M1168" t="str">
        <f>IF(discount_impact_on_profit_2000_rows[[#This Row],[Discount %]]=0,"Zero Discount",IF(discount_impact_on_profit_2000_rows[[#This Row],[Discount %]]&lt;=10,"Low Discount","High Discount"))</f>
        <v>High Discount</v>
      </c>
      <c r="N1168" t="str">
        <f t="shared" si="18"/>
        <v>10-20%</v>
      </c>
    </row>
    <row r="1169" spans="1:14">
      <c r="A1169" s="1">
        <v>45679</v>
      </c>
      <c r="B1169" t="s">
        <v>1231</v>
      </c>
      <c r="C1169" t="s">
        <v>15</v>
      </c>
      <c r="D1169" t="s">
        <v>99</v>
      </c>
      <c r="E1169">
        <v>8504.5</v>
      </c>
      <c r="F1169" t="s">
        <v>31</v>
      </c>
      <c r="G1169">
        <v>9016.4599999999991</v>
      </c>
      <c r="H1169">
        <v>511.96</v>
      </c>
      <c r="I1169">
        <v>15</v>
      </c>
      <c r="J1169">
        <v>1</v>
      </c>
      <c r="K1169" t="str">
        <f>TEXT(discount_impact_on_profit_2000_rows[[#This Row],[order date]],"mmmm")</f>
        <v>January</v>
      </c>
      <c r="L1169">
        <f>YEAR(discount_impact_on_profit_2000_rows[[#This Row],[order date]])</f>
        <v>2025</v>
      </c>
      <c r="M1169" t="str">
        <f>IF(discount_impact_on_profit_2000_rows[[#This Row],[Discount %]]=0,"Zero Discount",IF(discount_impact_on_profit_2000_rows[[#This Row],[Discount %]]&lt;=10,"Low Discount","High Discount"))</f>
        <v>High Discount</v>
      </c>
      <c r="N1169" t="str">
        <f t="shared" si="18"/>
        <v>10-20%</v>
      </c>
    </row>
    <row r="1170" spans="1:14">
      <c r="A1170" s="1">
        <v>45079</v>
      </c>
      <c r="B1170" t="s">
        <v>1232</v>
      </c>
      <c r="C1170" t="s">
        <v>33</v>
      </c>
      <c r="D1170" t="s">
        <v>102</v>
      </c>
      <c r="E1170">
        <v>39607.129999999997</v>
      </c>
      <c r="F1170" t="s">
        <v>36</v>
      </c>
      <c r="G1170">
        <v>50331.16</v>
      </c>
      <c r="H1170">
        <v>10724.03</v>
      </c>
      <c r="I1170">
        <v>0</v>
      </c>
      <c r="J1170">
        <v>8</v>
      </c>
      <c r="K1170" t="str">
        <f>TEXT(discount_impact_on_profit_2000_rows[[#This Row],[order date]],"mmmm")</f>
        <v>June</v>
      </c>
      <c r="L1170">
        <f>YEAR(discount_impact_on_profit_2000_rows[[#This Row],[order date]])</f>
        <v>2023</v>
      </c>
      <c r="M1170" t="str">
        <f>IF(discount_impact_on_profit_2000_rows[[#This Row],[Discount %]]=0,"Zero Discount",IF(discount_impact_on_profit_2000_rows[[#This Row],[Discount %]]&lt;=10,"Low Discount","High Discount"))</f>
        <v>Zero Discount</v>
      </c>
      <c r="N1170" t="str">
        <f t="shared" si="18"/>
        <v>0-10%</v>
      </c>
    </row>
    <row r="1171" spans="1:14">
      <c r="A1171" s="1">
        <v>45026</v>
      </c>
      <c r="B1171" t="s">
        <v>1233</v>
      </c>
      <c r="C1171" t="s">
        <v>21</v>
      </c>
      <c r="D1171" t="s">
        <v>123</v>
      </c>
      <c r="E1171">
        <v>11678.63</v>
      </c>
      <c r="F1171" t="s">
        <v>36</v>
      </c>
      <c r="G1171">
        <v>14559.9</v>
      </c>
      <c r="H1171">
        <v>2881.27</v>
      </c>
      <c r="I1171">
        <v>10</v>
      </c>
      <c r="J1171">
        <v>4</v>
      </c>
      <c r="K1171" t="str">
        <f>TEXT(discount_impact_on_profit_2000_rows[[#This Row],[order date]],"mmmm")</f>
        <v>April</v>
      </c>
      <c r="L1171">
        <f>YEAR(discount_impact_on_profit_2000_rows[[#This Row],[order date]])</f>
        <v>2023</v>
      </c>
      <c r="M1171" t="str">
        <f>IF(discount_impact_on_profit_2000_rows[[#This Row],[Discount %]]=0,"Zero Discount",IF(discount_impact_on_profit_2000_rows[[#This Row],[Discount %]]&lt;=10,"Low Discount","High Discount"))</f>
        <v>Low Discount</v>
      </c>
      <c r="N1171" t="str">
        <f t="shared" si="18"/>
        <v>0-10%</v>
      </c>
    </row>
    <row r="1172" spans="1:14">
      <c r="A1172" s="1">
        <v>45856</v>
      </c>
      <c r="B1172" t="s">
        <v>1234</v>
      </c>
      <c r="C1172" t="s">
        <v>11</v>
      </c>
      <c r="D1172" t="s">
        <v>64</v>
      </c>
      <c r="E1172">
        <v>2575.62</v>
      </c>
      <c r="F1172" t="s">
        <v>13</v>
      </c>
      <c r="G1172">
        <v>4718.8</v>
      </c>
      <c r="H1172">
        <v>2143.1799999999998</v>
      </c>
      <c r="I1172">
        <v>0</v>
      </c>
      <c r="J1172">
        <v>2</v>
      </c>
      <c r="K1172" t="str">
        <f>TEXT(discount_impact_on_profit_2000_rows[[#This Row],[order date]],"mmmm")</f>
        <v>July</v>
      </c>
      <c r="L1172">
        <f>YEAR(discount_impact_on_profit_2000_rows[[#This Row],[order date]])</f>
        <v>2025</v>
      </c>
      <c r="M1172" t="str">
        <f>IF(discount_impact_on_profit_2000_rows[[#This Row],[Discount %]]=0,"Zero Discount",IF(discount_impact_on_profit_2000_rows[[#This Row],[Discount %]]&lt;=10,"Low Discount","High Discount"))</f>
        <v>Zero Discount</v>
      </c>
      <c r="N1172" t="str">
        <f t="shared" si="18"/>
        <v>0-10%</v>
      </c>
    </row>
    <row r="1173" spans="1:14">
      <c r="A1173" s="1">
        <v>45138</v>
      </c>
      <c r="B1173" t="s">
        <v>1235</v>
      </c>
      <c r="C1173" t="s">
        <v>15</v>
      </c>
      <c r="D1173" t="s">
        <v>16</v>
      </c>
      <c r="E1173">
        <v>7165.21</v>
      </c>
      <c r="F1173" t="s">
        <v>23</v>
      </c>
      <c r="G1173">
        <v>9977.08</v>
      </c>
      <c r="H1173">
        <v>2811.87</v>
      </c>
      <c r="I1173">
        <v>5</v>
      </c>
      <c r="J1173">
        <v>8</v>
      </c>
      <c r="K1173" t="str">
        <f>TEXT(discount_impact_on_profit_2000_rows[[#This Row],[order date]],"mmmm")</f>
        <v>July</v>
      </c>
      <c r="L1173">
        <f>YEAR(discount_impact_on_profit_2000_rows[[#This Row],[order date]])</f>
        <v>2023</v>
      </c>
      <c r="M1173" t="str">
        <f>IF(discount_impact_on_profit_2000_rows[[#This Row],[Discount %]]=0,"Zero Discount",IF(discount_impact_on_profit_2000_rows[[#This Row],[Discount %]]&lt;=10,"Low Discount","High Discount"))</f>
        <v>Low Discount</v>
      </c>
      <c r="N1173" t="str">
        <f t="shared" si="18"/>
        <v>0-10%</v>
      </c>
    </row>
    <row r="1174" spans="1:14">
      <c r="A1174" s="1">
        <v>45756</v>
      </c>
      <c r="B1174" t="s">
        <v>1236</v>
      </c>
      <c r="C1174" t="s">
        <v>18</v>
      </c>
      <c r="D1174" t="s">
        <v>104</v>
      </c>
      <c r="E1174">
        <v>745.05</v>
      </c>
      <c r="F1174" t="s">
        <v>13</v>
      </c>
      <c r="G1174">
        <v>1301.5899999999999</v>
      </c>
      <c r="H1174">
        <v>556.54</v>
      </c>
      <c r="I1174">
        <v>10</v>
      </c>
      <c r="J1174">
        <v>2</v>
      </c>
      <c r="K1174" t="str">
        <f>TEXT(discount_impact_on_profit_2000_rows[[#This Row],[order date]],"mmmm")</f>
        <v>April</v>
      </c>
      <c r="L1174">
        <f>YEAR(discount_impact_on_profit_2000_rows[[#This Row],[order date]])</f>
        <v>2025</v>
      </c>
      <c r="M1174" t="str">
        <f>IF(discount_impact_on_profit_2000_rows[[#This Row],[Discount %]]=0,"Zero Discount",IF(discount_impact_on_profit_2000_rows[[#This Row],[Discount %]]&lt;=10,"Low Discount","High Discount"))</f>
        <v>Low Discount</v>
      </c>
      <c r="N1174" t="str">
        <f t="shared" si="18"/>
        <v>0-10%</v>
      </c>
    </row>
    <row r="1175" spans="1:14">
      <c r="A1175" s="1">
        <v>45464</v>
      </c>
      <c r="B1175" t="s">
        <v>1237</v>
      </c>
      <c r="C1175" t="s">
        <v>33</v>
      </c>
      <c r="D1175" t="s">
        <v>34</v>
      </c>
      <c r="E1175">
        <v>19408.240000000002</v>
      </c>
      <c r="F1175" t="s">
        <v>26</v>
      </c>
      <c r="G1175">
        <v>26902.5</v>
      </c>
      <c r="H1175">
        <v>7494.26</v>
      </c>
      <c r="I1175">
        <v>0</v>
      </c>
      <c r="J1175">
        <v>1</v>
      </c>
      <c r="K1175" t="str">
        <f>TEXT(discount_impact_on_profit_2000_rows[[#This Row],[order date]],"mmmm")</f>
        <v>June</v>
      </c>
      <c r="L1175">
        <f>YEAR(discount_impact_on_profit_2000_rows[[#This Row],[order date]])</f>
        <v>2024</v>
      </c>
      <c r="M1175" t="str">
        <f>IF(discount_impact_on_profit_2000_rows[[#This Row],[Discount %]]=0,"Zero Discount",IF(discount_impact_on_profit_2000_rows[[#This Row],[Discount %]]&lt;=10,"Low Discount","High Discount"))</f>
        <v>Zero Discount</v>
      </c>
      <c r="N1175" t="str">
        <f t="shared" si="18"/>
        <v>0-10%</v>
      </c>
    </row>
    <row r="1176" spans="1:14">
      <c r="A1176" s="1">
        <v>45610</v>
      </c>
      <c r="B1176" t="s">
        <v>1238</v>
      </c>
      <c r="C1176" t="s">
        <v>18</v>
      </c>
      <c r="D1176" t="s">
        <v>188</v>
      </c>
      <c r="E1176">
        <v>1324.94</v>
      </c>
      <c r="F1176" t="s">
        <v>36</v>
      </c>
      <c r="G1176">
        <v>1786.43</v>
      </c>
      <c r="H1176">
        <v>461.49</v>
      </c>
      <c r="I1176">
        <v>10</v>
      </c>
      <c r="J1176">
        <v>3</v>
      </c>
      <c r="K1176" t="str">
        <f>TEXT(discount_impact_on_profit_2000_rows[[#This Row],[order date]],"mmmm")</f>
        <v>November</v>
      </c>
      <c r="L1176">
        <f>YEAR(discount_impact_on_profit_2000_rows[[#This Row],[order date]])</f>
        <v>2024</v>
      </c>
      <c r="M1176" t="str">
        <f>IF(discount_impact_on_profit_2000_rows[[#This Row],[Discount %]]=0,"Zero Discount",IF(discount_impact_on_profit_2000_rows[[#This Row],[Discount %]]&lt;=10,"Low Discount","High Discount"))</f>
        <v>Low Discount</v>
      </c>
      <c r="N1176" t="str">
        <f t="shared" si="18"/>
        <v>0-10%</v>
      </c>
    </row>
    <row r="1177" spans="1:14">
      <c r="A1177" s="1">
        <v>45330</v>
      </c>
      <c r="B1177" t="s">
        <v>1239</v>
      </c>
      <c r="C1177" t="s">
        <v>11</v>
      </c>
      <c r="D1177" t="s">
        <v>207</v>
      </c>
      <c r="E1177">
        <v>345.24</v>
      </c>
      <c r="F1177" t="s">
        <v>13</v>
      </c>
      <c r="G1177">
        <v>558.53</v>
      </c>
      <c r="H1177">
        <v>213.29</v>
      </c>
      <c r="I1177">
        <v>15</v>
      </c>
      <c r="J1177">
        <v>2</v>
      </c>
      <c r="K1177" t="str">
        <f>TEXT(discount_impact_on_profit_2000_rows[[#This Row],[order date]],"mmmm")</f>
        <v>February</v>
      </c>
      <c r="L1177">
        <f>YEAR(discount_impact_on_profit_2000_rows[[#This Row],[order date]])</f>
        <v>2024</v>
      </c>
      <c r="M1177" t="str">
        <f>IF(discount_impact_on_profit_2000_rows[[#This Row],[Discount %]]=0,"Zero Discount",IF(discount_impact_on_profit_2000_rows[[#This Row],[Discount %]]&lt;=10,"Low Discount","High Discount"))</f>
        <v>High Discount</v>
      </c>
      <c r="N1177" t="str">
        <f t="shared" si="18"/>
        <v>10-20%</v>
      </c>
    </row>
    <row r="1178" spans="1:14">
      <c r="A1178" s="1">
        <v>45168</v>
      </c>
      <c r="B1178" t="s">
        <v>1240</v>
      </c>
      <c r="C1178" t="s">
        <v>21</v>
      </c>
      <c r="D1178" t="s">
        <v>154</v>
      </c>
      <c r="E1178">
        <v>5078.43</v>
      </c>
      <c r="F1178" t="s">
        <v>31</v>
      </c>
      <c r="G1178">
        <v>6765.01</v>
      </c>
      <c r="H1178">
        <v>1686.58</v>
      </c>
      <c r="I1178">
        <v>0</v>
      </c>
      <c r="J1178">
        <v>1</v>
      </c>
      <c r="K1178" t="str">
        <f>TEXT(discount_impact_on_profit_2000_rows[[#This Row],[order date]],"mmmm")</f>
        <v>August</v>
      </c>
      <c r="L1178">
        <f>YEAR(discount_impact_on_profit_2000_rows[[#This Row],[order date]])</f>
        <v>2023</v>
      </c>
      <c r="M1178" t="str">
        <f>IF(discount_impact_on_profit_2000_rows[[#This Row],[Discount %]]=0,"Zero Discount",IF(discount_impact_on_profit_2000_rows[[#This Row],[Discount %]]&lt;=10,"Low Discount","High Discount"))</f>
        <v>Zero Discount</v>
      </c>
      <c r="N1178" t="str">
        <f t="shared" si="18"/>
        <v>0-10%</v>
      </c>
    </row>
    <row r="1179" spans="1:14">
      <c r="A1179" s="1">
        <v>45507</v>
      </c>
      <c r="B1179" t="s">
        <v>1241</v>
      </c>
      <c r="C1179" t="s">
        <v>18</v>
      </c>
      <c r="D1179" t="s">
        <v>104</v>
      </c>
      <c r="E1179">
        <v>747.43</v>
      </c>
      <c r="F1179" t="s">
        <v>31</v>
      </c>
      <c r="G1179">
        <v>1061.32</v>
      </c>
      <c r="H1179">
        <v>313.89</v>
      </c>
      <c r="I1179">
        <v>20</v>
      </c>
      <c r="J1179">
        <v>3</v>
      </c>
      <c r="K1179" t="str">
        <f>TEXT(discount_impact_on_profit_2000_rows[[#This Row],[order date]],"mmmm")</f>
        <v>August</v>
      </c>
      <c r="L1179">
        <f>YEAR(discount_impact_on_profit_2000_rows[[#This Row],[order date]])</f>
        <v>2024</v>
      </c>
      <c r="M1179" t="str">
        <f>IF(discount_impact_on_profit_2000_rows[[#This Row],[Discount %]]=0,"Zero Discount",IF(discount_impact_on_profit_2000_rows[[#This Row],[Discount %]]&lt;=10,"Low Discount","High Discount"))</f>
        <v>High Discount</v>
      </c>
      <c r="N1179" t="str">
        <f t="shared" si="18"/>
        <v>10-20%</v>
      </c>
    </row>
    <row r="1180" spans="1:14">
      <c r="A1180" s="1">
        <v>45964</v>
      </c>
      <c r="B1180" t="s">
        <v>1242</v>
      </c>
      <c r="C1180" t="s">
        <v>33</v>
      </c>
      <c r="D1180" t="s">
        <v>203</v>
      </c>
      <c r="E1180">
        <v>31957.27</v>
      </c>
      <c r="F1180" t="s">
        <v>23</v>
      </c>
      <c r="G1180">
        <v>42644.79</v>
      </c>
      <c r="H1180">
        <v>10687.52</v>
      </c>
      <c r="I1180">
        <v>10</v>
      </c>
      <c r="J1180">
        <v>4</v>
      </c>
      <c r="K1180" t="str">
        <f>TEXT(discount_impact_on_profit_2000_rows[[#This Row],[order date]],"mmmm")</f>
        <v>November</v>
      </c>
      <c r="L1180">
        <f>YEAR(discount_impact_on_profit_2000_rows[[#This Row],[order date]])</f>
        <v>2025</v>
      </c>
      <c r="M1180" t="str">
        <f>IF(discount_impact_on_profit_2000_rows[[#This Row],[Discount %]]=0,"Zero Discount",IF(discount_impact_on_profit_2000_rows[[#This Row],[Discount %]]&lt;=10,"Low Discount","High Discount"))</f>
        <v>Low Discount</v>
      </c>
      <c r="N1180" t="str">
        <f t="shared" si="18"/>
        <v>0-10%</v>
      </c>
    </row>
    <row r="1181" spans="1:14">
      <c r="A1181" s="1">
        <v>44967</v>
      </c>
      <c r="B1181" t="s">
        <v>1243</v>
      </c>
      <c r="C1181" t="s">
        <v>21</v>
      </c>
      <c r="D1181" t="s">
        <v>109</v>
      </c>
      <c r="E1181">
        <v>6123.78</v>
      </c>
      <c r="F1181" t="s">
        <v>36</v>
      </c>
      <c r="G1181">
        <v>8515.66</v>
      </c>
      <c r="H1181">
        <v>2391.88</v>
      </c>
      <c r="I1181">
        <v>5</v>
      </c>
      <c r="J1181">
        <v>2</v>
      </c>
      <c r="K1181" t="str">
        <f>TEXT(discount_impact_on_profit_2000_rows[[#This Row],[order date]],"mmmm")</f>
        <v>February</v>
      </c>
      <c r="L1181">
        <f>YEAR(discount_impact_on_profit_2000_rows[[#This Row],[order date]])</f>
        <v>2023</v>
      </c>
      <c r="M1181" t="str">
        <f>IF(discount_impact_on_profit_2000_rows[[#This Row],[Discount %]]=0,"Zero Discount",IF(discount_impact_on_profit_2000_rows[[#This Row],[Discount %]]&lt;=10,"Low Discount","High Discount"))</f>
        <v>Low Discount</v>
      </c>
      <c r="N1181" t="str">
        <f t="shared" si="18"/>
        <v>0-10%</v>
      </c>
    </row>
    <row r="1182" spans="1:14">
      <c r="A1182" s="1">
        <v>44974</v>
      </c>
      <c r="B1182" t="s">
        <v>1244</v>
      </c>
      <c r="C1182" t="s">
        <v>21</v>
      </c>
      <c r="D1182" t="s">
        <v>57</v>
      </c>
      <c r="E1182">
        <v>74378.3</v>
      </c>
      <c r="F1182" t="s">
        <v>31</v>
      </c>
      <c r="G1182">
        <v>75837.679999999993</v>
      </c>
      <c r="H1182">
        <v>1459.38</v>
      </c>
      <c r="I1182">
        <v>15</v>
      </c>
      <c r="J1182">
        <v>4</v>
      </c>
      <c r="K1182" t="str">
        <f>TEXT(discount_impact_on_profit_2000_rows[[#This Row],[order date]],"mmmm")</f>
        <v>February</v>
      </c>
      <c r="L1182">
        <f>YEAR(discount_impact_on_profit_2000_rows[[#This Row],[order date]])</f>
        <v>2023</v>
      </c>
      <c r="M1182" t="str">
        <f>IF(discount_impact_on_profit_2000_rows[[#This Row],[Discount %]]=0,"Zero Discount",IF(discount_impact_on_profit_2000_rows[[#This Row],[Discount %]]&lt;=10,"Low Discount","High Discount"))</f>
        <v>High Discount</v>
      </c>
      <c r="N1182" t="str">
        <f t="shared" si="18"/>
        <v>10-20%</v>
      </c>
    </row>
    <row r="1183" spans="1:14">
      <c r="A1183" s="1">
        <v>45088</v>
      </c>
      <c r="B1183" t="s">
        <v>1245</v>
      </c>
      <c r="C1183" t="s">
        <v>21</v>
      </c>
      <c r="D1183" t="s">
        <v>57</v>
      </c>
      <c r="E1183">
        <v>1563.74</v>
      </c>
      <c r="F1183" t="s">
        <v>13</v>
      </c>
      <c r="G1183">
        <v>1833.89</v>
      </c>
      <c r="H1183">
        <v>270.14999999999998</v>
      </c>
      <c r="I1183">
        <v>20</v>
      </c>
      <c r="J1183">
        <v>2</v>
      </c>
      <c r="K1183" t="str">
        <f>TEXT(discount_impact_on_profit_2000_rows[[#This Row],[order date]],"mmmm")</f>
        <v>June</v>
      </c>
      <c r="L1183">
        <f>YEAR(discount_impact_on_profit_2000_rows[[#This Row],[order date]])</f>
        <v>2023</v>
      </c>
      <c r="M1183" t="str">
        <f>IF(discount_impact_on_profit_2000_rows[[#This Row],[Discount %]]=0,"Zero Discount",IF(discount_impact_on_profit_2000_rows[[#This Row],[Discount %]]&lt;=10,"Low Discount","High Discount"))</f>
        <v>High Discount</v>
      </c>
      <c r="N1183" t="str">
        <f t="shared" si="18"/>
        <v>10-20%</v>
      </c>
    </row>
    <row r="1184" spans="1:14">
      <c r="A1184" s="1">
        <v>44971</v>
      </c>
      <c r="B1184" t="s">
        <v>1246</v>
      </c>
      <c r="C1184" t="s">
        <v>15</v>
      </c>
      <c r="D1184" t="s">
        <v>76</v>
      </c>
      <c r="E1184">
        <v>7241.71</v>
      </c>
      <c r="F1184" t="s">
        <v>13</v>
      </c>
      <c r="G1184">
        <v>8611.9599999999991</v>
      </c>
      <c r="H1184">
        <v>1370.25</v>
      </c>
      <c r="I1184">
        <v>25</v>
      </c>
      <c r="J1184">
        <v>5</v>
      </c>
      <c r="K1184" t="str">
        <f>TEXT(discount_impact_on_profit_2000_rows[[#This Row],[order date]],"mmmm")</f>
        <v>February</v>
      </c>
      <c r="L1184">
        <f>YEAR(discount_impact_on_profit_2000_rows[[#This Row],[order date]])</f>
        <v>2023</v>
      </c>
      <c r="M1184" t="str">
        <f>IF(discount_impact_on_profit_2000_rows[[#This Row],[Discount %]]=0,"Zero Discount",IF(discount_impact_on_profit_2000_rows[[#This Row],[Discount %]]&lt;=10,"Low Discount","High Discount"))</f>
        <v>High Discount</v>
      </c>
      <c r="N1184" t="str">
        <f t="shared" si="18"/>
        <v>20-30%</v>
      </c>
    </row>
    <row r="1185" spans="1:14">
      <c r="A1185" s="1">
        <v>45936</v>
      </c>
      <c r="B1185" t="s">
        <v>1247</v>
      </c>
      <c r="C1185" t="s">
        <v>15</v>
      </c>
      <c r="D1185" t="s">
        <v>76</v>
      </c>
      <c r="E1185">
        <v>6796.49</v>
      </c>
      <c r="F1185" t="s">
        <v>31</v>
      </c>
      <c r="G1185">
        <v>8914.99</v>
      </c>
      <c r="H1185">
        <v>2118.5</v>
      </c>
      <c r="I1185">
        <v>15</v>
      </c>
      <c r="J1185">
        <v>4</v>
      </c>
      <c r="K1185" t="str">
        <f>TEXT(discount_impact_on_profit_2000_rows[[#This Row],[order date]],"mmmm")</f>
        <v>October</v>
      </c>
      <c r="L1185">
        <f>YEAR(discount_impact_on_profit_2000_rows[[#This Row],[order date]])</f>
        <v>2025</v>
      </c>
      <c r="M1185" t="str">
        <f>IF(discount_impact_on_profit_2000_rows[[#This Row],[Discount %]]=0,"Zero Discount",IF(discount_impact_on_profit_2000_rows[[#This Row],[Discount %]]&lt;=10,"Low Discount","High Discount"))</f>
        <v>High Discount</v>
      </c>
      <c r="N1185" t="str">
        <f t="shared" si="18"/>
        <v>10-20%</v>
      </c>
    </row>
    <row r="1186" spans="1:14">
      <c r="A1186" s="1">
        <v>45115</v>
      </c>
      <c r="B1186" t="s">
        <v>1248</v>
      </c>
      <c r="C1186" t="s">
        <v>11</v>
      </c>
      <c r="D1186" t="s">
        <v>80</v>
      </c>
      <c r="E1186">
        <v>492.24</v>
      </c>
      <c r="F1186" t="s">
        <v>23</v>
      </c>
      <c r="G1186">
        <v>775.11</v>
      </c>
      <c r="H1186">
        <v>282.87</v>
      </c>
      <c r="I1186">
        <v>0</v>
      </c>
      <c r="J1186">
        <v>2</v>
      </c>
      <c r="K1186" t="str">
        <f>TEXT(discount_impact_on_profit_2000_rows[[#This Row],[order date]],"mmmm")</f>
        <v>July</v>
      </c>
      <c r="L1186">
        <f>YEAR(discount_impact_on_profit_2000_rows[[#This Row],[order date]])</f>
        <v>2023</v>
      </c>
      <c r="M1186" t="str">
        <f>IF(discount_impact_on_profit_2000_rows[[#This Row],[Discount %]]=0,"Zero Discount",IF(discount_impact_on_profit_2000_rows[[#This Row],[Discount %]]&lt;=10,"Low Discount","High Discount"))</f>
        <v>Zero Discount</v>
      </c>
      <c r="N1186" t="str">
        <f t="shared" si="18"/>
        <v>0-10%</v>
      </c>
    </row>
    <row r="1187" spans="1:14">
      <c r="A1187" s="1">
        <v>45348</v>
      </c>
      <c r="B1187" t="s">
        <v>1249</v>
      </c>
      <c r="C1187" t="s">
        <v>53</v>
      </c>
      <c r="D1187" t="s">
        <v>78</v>
      </c>
      <c r="E1187">
        <v>2482.84</v>
      </c>
      <c r="F1187" t="s">
        <v>31</v>
      </c>
      <c r="G1187">
        <v>5320.08</v>
      </c>
      <c r="H1187">
        <v>2837.24</v>
      </c>
      <c r="I1187">
        <v>10</v>
      </c>
      <c r="J1187">
        <v>2</v>
      </c>
      <c r="K1187" t="str">
        <f>TEXT(discount_impact_on_profit_2000_rows[[#This Row],[order date]],"mmmm")</f>
        <v>February</v>
      </c>
      <c r="L1187">
        <f>YEAR(discount_impact_on_profit_2000_rows[[#This Row],[order date]])</f>
        <v>2024</v>
      </c>
      <c r="M1187" t="str">
        <f>IF(discount_impact_on_profit_2000_rows[[#This Row],[Discount %]]=0,"Zero Discount",IF(discount_impact_on_profit_2000_rows[[#This Row],[Discount %]]&lt;=10,"Low Discount","High Discount"))</f>
        <v>Low Discount</v>
      </c>
      <c r="N1187" t="str">
        <f t="shared" si="18"/>
        <v>0-10%</v>
      </c>
    </row>
    <row r="1188" spans="1:14">
      <c r="A1188" s="1">
        <v>45808</v>
      </c>
      <c r="B1188" t="s">
        <v>1250</v>
      </c>
      <c r="C1188" t="s">
        <v>15</v>
      </c>
      <c r="D1188" t="s">
        <v>84</v>
      </c>
      <c r="E1188">
        <v>35606.71</v>
      </c>
      <c r="F1188" t="s">
        <v>36</v>
      </c>
      <c r="G1188">
        <v>36634.03</v>
      </c>
      <c r="H1188">
        <v>1027.32</v>
      </c>
      <c r="I1188">
        <v>20</v>
      </c>
      <c r="J1188">
        <v>5</v>
      </c>
      <c r="K1188" t="str">
        <f>TEXT(discount_impact_on_profit_2000_rows[[#This Row],[order date]],"mmmm")</f>
        <v>May</v>
      </c>
      <c r="L1188">
        <f>YEAR(discount_impact_on_profit_2000_rows[[#This Row],[order date]])</f>
        <v>2025</v>
      </c>
      <c r="M1188" t="str">
        <f>IF(discount_impact_on_profit_2000_rows[[#This Row],[Discount %]]=0,"Zero Discount",IF(discount_impact_on_profit_2000_rows[[#This Row],[Discount %]]&lt;=10,"Low Discount","High Discount"))</f>
        <v>High Discount</v>
      </c>
      <c r="N1188" t="str">
        <f t="shared" si="18"/>
        <v>10-20%</v>
      </c>
    </row>
    <row r="1189" spans="1:14">
      <c r="A1189" s="1">
        <v>45907</v>
      </c>
      <c r="B1189" t="s">
        <v>1251</v>
      </c>
      <c r="C1189" t="s">
        <v>21</v>
      </c>
      <c r="D1189" t="s">
        <v>97</v>
      </c>
      <c r="E1189">
        <v>2824.86</v>
      </c>
      <c r="F1189" t="s">
        <v>36</v>
      </c>
      <c r="G1189">
        <v>3805.8</v>
      </c>
      <c r="H1189">
        <v>980.94</v>
      </c>
      <c r="I1189">
        <v>0</v>
      </c>
      <c r="J1189">
        <v>4</v>
      </c>
      <c r="K1189" t="str">
        <f>TEXT(discount_impact_on_profit_2000_rows[[#This Row],[order date]],"mmmm")</f>
        <v>September</v>
      </c>
      <c r="L1189">
        <f>YEAR(discount_impact_on_profit_2000_rows[[#This Row],[order date]])</f>
        <v>2025</v>
      </c>
      <c r="M1189" t="str">
        <f>IF(discount_impact_on_profit_2000_rows[[#This Row],[Discount %]]=0,"Zero Discount",IF(discount_impact_on_profit_2000_rows[[#This Row],[Discount %]]&lt;=10,"Low Discount","High Discount"))</f>
        <v>Zero Discount</v>
      </c>
      <c r="N1189" t="str">
        <f t="shared" si="18"/>
        <v>0-10%</v>
      </c>
    </row>
    <row r="1190" spans="1:14">
      <c r="A1190" s="1">
        <v>45542</v>
      </c>
      <c r="B1190" t="s">
        <v>1252</v>
      </c>
      <c r="C1190" t="s">
        <v>11</v>
      </c>
      <c r="D1190" t="s">
        <v>64</v>
      </c>
      <c r="E1190">
        <v>3210.34</v>
      </c>
      <c r="F1190" t="s">
        <v>36</v>
      </c>
      <c r="G1190">
        <v>5100.8</v>
      </c>
      <c r="H1190">
        <v>1890.46</v>
      </c>
      <c r="I1190">
        <v>15</v>
      </c>
      <c r="J1190">
        <v>4</v>
      </c>
      <c r="K1190" t="str">
        <f>TEXT(discount_impact_on_profit_2000_rows[[#This Row],[order date]],"mmmm")</f>
        <v>September</v>
      </c>
      <c r="L1190">
        <f>YEAR(discount_impact_on_profit_2000_rows[[#This Row],[order date]])</f>
        <v>2024</v>
      </c>
      <c r="M1190" t="str">
        <f>IF(discount_impact_on_profit_2000_rows[[#This Row],[Discount %]]=0,"Zero Discount",IF(discount_impact_on_profit_2000_rows[[#This Row],[Discount %]]&lt;=10,"Low Discount","High Discount"))</f>
        <v>High Discount</v>
      </c>
      <c r="N1190" t="str">
        <f t="shared" si="18"/>
        <v>10-20%</v>
      </c>
    </row>
    <row r="1191" spans="1:14">
      <c r="A1191" s="1">
        <v>45197</v>
      </c>
      <c r="B1191" t="s">
        <v>1253</v>
      </c>
      <c r="C1191" t="s">
        <v>21</v>
      </c>
      <c r="D1191" t="s">
        <v>123</v>
      </c>
      <c r="E1191">
        <v>1002.15</v>
      </c>
      <c r="F1191" t="s">
        <v>36</v>
      </c>
      <c r="G1191">
        <v>1093.25</v>
      </c>
      <c r="H1191">
        <v>91.1</v>
      </c>
      <c r="I1191">
        <v>15</v>
      </c>
      <c r="J1191">
        <v>1</v>
      </c>
      <c r="K1191" t="str">
        <f>TEXT(discount_impact_on_profit_2000_rows[[#This Row],[order date]],"mmmm")</f>
        <v>September</v>
      </c>
      <c r="L1191">
        <f>YEAR(discount_impact_on_profit_2000_rows[[#This Row],[order date]])</f>
        <v>2023</v>
      </c>
      <c r="M1191" t="str">
        <f>IF(discount_impact_on_profit_2000_rows[[#This Row],[Discount %]]=0,"Zero Discount",IF(discount_impact_on_profit_2000_rows[[#This Row],[Discount %]]&lt;=10,"Low Discount","High Discount"))</f>
        <v>High Discount</v>
      </c>
      <c r="N1191" t="str">
        <f t="shared" si="18"/>
        <v>10-20%</v>
      </c>
    </row>
    <row r="1192" spans="1:14">
      <c r="A1192" s="1">
        <v>45876</v>
      </c>
      <c r="B1192" t="s">
        <v>1254</v>
      </c>
      <c r="C1192" t="s">
        <v>18</v>
      </c>
      <c r="D1192" t="s">
        <v>104</v>
      </c>
      <c r="E1192">
        <v>97.82</v>
      </c>
      <c r="F1192" t="s">
        <v>36</v>
      </c>
      <c r="G1192">
        <v>161.15</v>
      </c>
      <c r="H1192">
        <v>63.33</v>
      </c>
      <c r="I1192">
        <v>0</v>
      </c>
      <c r="J1192">
        <v>2</v>
      </c>
      <c r="K1192" t="str">
        <f>TEXT(discount_impact_on_profit_2000_rows[[#This Row],[order date]],"mmmm")</f>
        <v>August</v>
      </c>
      <c r="L1192">
        <f>YEAR(discount_impact_on_profit_2000_rows[[#This Row],[order date]])</f>
        <v>2025</v>
      </c>
      <c r="M1192" t="str">
        <f>IF(discount_impact_on_profit_2000_rows[[#This Row],[Discount %]]=0,"Zero Discount",IF(discount_impact_on_profit_2000_rows[[#This Row],[Discount %]]&lt;=10,"Low Discount","High Discount"))</f>
        <v>Zero Discount</v>
      </c>
      <c r="N1192" t="str">
        <f t="shared" si="18"/>
        <v>0-10%</v>
      </c>
    </row>
    <row r="1193" spans="1:14">
      <c r="A1193" s="1">
        <v>44969</v>
      </c>
      <c r="B1193" t="s">
        <v>1255</v>
      </c>
      <c r="C1193" t="s">
        <v>53</v>
      </c>
      <c r="D1193" t="s">
        <v>78</v>
      </c>
      <c r="E1193">
        <v>1289.3599999999999</v>
      </c>
      <c r="F1193" t="s">
        <v>31</v>
      </c>
      <c r="G1193">
        <v>1696.12</v>
      </c>
      <c r="H1193">
        <v>406.76</v>
      </c>
      <c r="I1193">
        <v>30</v>
      </c>
      <c r="J1193">
        <v>1</v>
      </c>
      <c r="K1193" t="str">
        <f>TEXT(discount_impact_on_profit_2000_rows[[#This Row],[order date]],"mmmm")</f>
        <v>February</v>
      </c>
      <c r="L1193">
        <f>YEAR(discount_impact_on_profit_2000_rows[[#This Row],[order date]])</f>
        <v>2023</v>
      </c>
      <c r="M1193" t="str">
        <f>IF(discount_impact_on_profit_2000_rows[[#This Row],[Discount %]]=0,"Zero Discount",IF(discount_impact_on_profit_2000_rows[[#This Row],[Discount %]]&lt;=10,"Low Discount","High Discount"))</f>
        <v>High Discount</v>
      </c>
      <c r="N1193" t="str">
        <f t="shared" si="18"/>
        <v>20-30%</v>
      </c>
    </row>
    <row r="1194" spans="1:14">
      <c r="A1194" s="1">
        <v>45328</v>
      </c>
      <c r="B1194" t="s">
        <v>1256</v>
      </c>
      <c r="C1194" t="s">
        <v>21</v>
      </c>
      <c r="D1194" t="s">
        <v>109</v>
      </c>
      <c r="E1194">
        <v>38563.480000000003</v>
      </c>
      <c r="F1194" t="s">
        <v>26</v>
      </c>
      <c r="G1194">
        <v>40349.370000000003</v>
      </c>
      <c r="H1194">
        <v>1785.89</v>
      </c>
      <c r="I1194">
        <v>20</v>
      </c>
      <c r="J1194">
        <v>2</v>
      </c>
      <c r="K1194" t="str">
        <f>TEXT(discount_impact_on_profit_2000_rows[[#This Row],[order date]],"mmmm")</f>
        <v>February</v>
      </c>
      <c r="L1194">
        <f>YEAR(discount_impact_on_profit_2000_rows[[#This Row],[order date]])</f>
        <v>2024</v>
      </c>
      <c r="M1194" t="str">
        <f>IF(discount_impact_on_profit_2000_rows[[#This Row],[Discount %]]=0,"Zero Discount",IF(discount_impact_on_profit_2000_rows[[#This Row],[Discount %]]&lt;=10,"Low Discount","High Discount"))</f>
        <v>High Discount</v>
      </c>
      <c r="N1194" t="str">
        <f t="shared" si="18"/>
        <v>10-20%</v>
      </c>
    </row>
    <row r="1195" spans="1:14">
      <c r="A1195" s="1">
        <v>45476</v>
      </c>
      <c r="B1195" t="s">
        <v>1257</v>
      </c>
      <c r="C1195" t="s">
        <v>33</v>
      </c>
      <c r="D1195" t="s">
        <v>203</v>
      </c>
      <c r="E1195">
        <v>39511.870000000003</v>
      </c>
      <c r="F1195" t="s">
        <v>26</v>
      </c>
      <c r="G1195">
        <v>56058.07</v>
      </c>
      <c r="H1195">
        <v>16546.2</v>
      </c>
      <c r="I1195">
        <v>0</v>
      </c>
      <c r="J1195">
        <v>4</v>
      </c>
      <c r="K1195" t="str">
        <f>TEXT(discount_impact_on_profit_2000_rows[[#This Row],[order date]],"mmmm")</f>
        <v>July</v>
      </c>
      <c r="L1195">
        <f>YEAR(discount_impact_on_profit_2000_rows[[#This Row],[order date]])</f>
        <v>2024</v>
      </c>
      <c r="M1195" t="str">
        <f>IF(discount_impact_on_profit_2000_rows[[#This Row],[Discount %]]=0,"Zero Discount",IF(discount_impact_on_profit_2000_rows[[#This Row],[Discount %]]&lt;=10,"Low Discount","High Discount"))</f>
        <v>Zero Discount</v>
      </c>
      <c r="N1195" t="str">
        <f t="shared" si="18"/>
        <v>0-10%</v>
      </c>
    </row>
    <row r="1196" spans="1:14">
      <c r="A1196" s="1">
        <v>45725</v>
      </c>
      <c r="B1196" t="s">
        <v>1258</v>
      </c>
      <c r="C1196" t="s">
        <v>15</v>
      </c>
      <c r="D1196" t="s">
        <v>40</v>
      </c>
      <c r="E1196">
        <v>26704.03</v>
      </c>
      <c r="F1196" t="s">
        <v>13</v>
      </c>
      <c r="G1196">
        <v>32003.48</v>
      </c>
      <c r="H1196">
        <v>5299.45</v>
      </c>
      <c r="I1196">
        <v>15</v>
      </c>
      <c r="J1196">
        <v>8</v>
      </c>
      <c r="K1196" t="str">
        <f>TEXT(discount_impact_on_profit_2000_rows[[#This Row],[order date]],"mmmm")</f>
        <v>March</v>
      </c>
      <c r="L1196">
        <f>YEAR(discount_impact_on_profit_2000_rows[[#This Row],[order date]])</f>
        <v>2025</v>
      </c>
      <c r="M1196" t="str">
        <f>IF(discount_impact_on_profit_2000_rows[[#This Row],[Discount %]]=0,"Zero Discount",IF(discount_impact_on_profit_2000_rows[[#This Row],[Discount %]]&lt;=10,"Low Discount","High Discount"))</f>
        <v>High Discount</v>
      </c>
      <c r="N1196" t="str">
        <f t="shared" si="18"/>
        <v>10-20%</v>
      </c>
    </row>
    <row r="1197" spans="1:14">
      <c r="A1197" s="1">
        <v>45214</v>
      </c>
      <c r="B1197" t="s">
        <v>1259</v>
      </c>
      <c r="C1197" t="s">
        <v>21</v>
      </c>
      <c r="D1197" t="s">
        <v>123</v>
      </c>
      <c r="E1197">
        <v>72790.75</v>
      </c>
      <c r="F1197" t="s">
        <v>26</v>
      </c>
      <c r="G1197">
        <v>99105.600000000006</v>
      </c>
      <c r="H1197">
        <v>26314.85</v>
      </c>
      <c r="I1197">
        <v>10</v>
      </c>
      <c r="J1197">
        <v>6</v>
      </c>
      <c r="K1197" t="str">
        <f>TEXT(discount_impact_on_profit_2000_rows[[#This Row],[order date]],"mmmm")</f>
        <v>October</v>
      </c>
      <c r="L1197">
        <f>YEAR(discount_impact_on_profit_2000_rows[[#This Row],[order date]])</f>
        <v>2023</v>
      </c>
      <c r="M1197" t="str">
        <f>IF(discount_impact_on_profit_2000_rows[[#This Row],[Discount %]]=0,"Zero Discount",IF(discount_impact_on_profit_2000_rows[[#This Row],[Discount %]]&lt;=10,"Low Discount","High Discount"))</f>
        <v>Low Discount</v>
      </c>
      <c r="N1197" t="str">
        <f t="shared" si="18"/>
        <v>0-10%</v>
      </c>
    </row>
    <row r="1198" spans="1:14">
      <c r="A1198" s="1">
        <v>45441</v>
      </c>
      <c r="B1198" t="s">
        <v>1260</v>
      </c>
      <c r="C1198" t="s">
        <v>21</v>
      </c>
      <c r="D1198" t="s">
        <v>154</v>
      </c>
      <c r="E1198">
        <v>14095.73</v>
      </c>
      <c r="F1198" t="s">
        <v>23</v>
      </c>
      <c r="G1198">
        <v>14190.73</v>
      </c>
      <c r="H1198">
        <v>95</v>
      </c>
      <c r="I1198">
        <v>26</v>
      </c>
      <c r="J1198">
        <v>3</v>
      </c>
      <c r="K1198" t="str">
        <f>TEXT(discount_impact_on_profit_2000_rows[[#This Row],[order date]],"mmmm")</f>
        <v>May</v>
      </c>
      <c r="L1198">
        <f>YEAR(discount_impact_on_profit_2000_rows[[#This Row],[order date]])</f>
        <v>2024</v>
      </c>
      <c r="M1198" t="str">
        <f>IF(discount_impact_on_profit_2000_rows[[#This Row],[Discount %]]=0,"Zero Discount",IF(discount_impact_on_profit_2000_rows[[#This Row],[Discount %]]&lt;=10,"Low Discount","High Discount"))</f>
        <v>High Discount</v>
      </c>
      <c r="N1198" t="str">
        <f t="shared" si="18"/>
        <v>20-30%</v>
      </c>
    </row>
    <row r="1199" spans="1:14">
      <c r="A1199" s="1">
        <v>46005</v>
      </c>
      <c r="B1199" t="s">
        <v>1261</v>
      </c>
      <c r="C1199" t="s">
        <v>18</v>
      </c>
      <c r="D1199" t="s">
        <v>140</v>
      </c>
      <c r="E1199">
        <v>1895.38</v>
      </c>
      <c r="F1199" t="s">
        <v>13</v>
      </c>
      <c r="G1199">
        <v>2242.5700000000002</v>
      </c>
      <c r="H1199">
        <v>347.19</v>
      </c>
      <c r="I1199">
        <v>30</v>
      </c>
      <c r="J1199">
        <v>3</v>
      </c>
      <c r="K1199" t="str">
        <f>TEXT(discount_impact_on_profit_2000_rows[[#This Row],[order date]],"mmmm")</f>
        <v>December</v>
      </c>
      <c r="L1199">
        <f>YEAR(discount_impact_on_profit_2000_rows[[#This Row],[order date]])</f>
        <v>2025</v>
      </c>
      <c r="M1199" t="str">
        <f>IF(discount_impact_on_profit_2000_rows[[#This Row],[Discount %]]=0,"Zero Discount",IF(discount_impact_on_profit_2000_rows[[#This Row],[Discount %]]&lt;=10,"Low Discount","High Discount"))</f>
        <v>High Discount</v>
      </c>
      <c r="N1199" t="str">
        <f t="shared" si="18"/>
        <v>20-30%</v>
      </c>
    </row>
    <row r="1200" spans="1:14">
      <c r="A1200" s="1">
        <v>45859</v>
      </c>
      <c r="B1200" t="s">
        <v>1262</v>
      </c>
      <c r="C1200" t="s">
        <v>18</v>
      </c>
      <c r="D1200" t="s">
        <v>19</v>
      </c>
      <c r="E1200">
        <v>248.56</v>
      </c>
      <c r="F1200" t="s">
        <v>26</v>
      </c>
      <c r="G1200">
        <v>368.72</v>
      </c>
      <c r="H1200">
        <v>120.16</v>
      </c>
      <c r="I1200">
        <v>0</v>
      </c>
      <c r="J1200">
        <v>1</v>
      </c>
      <c r="K1200" t="str">
        <f>TEXT(discount_impact_on_profit_2000_rows[[#This Row],[order date]],"mmmm")</f>
        <v>July</v>
      </c>
      <c r="L1200">
        <f>YEAR(discount_impact_on_profit_2000_rows[[#This Row],[order date]])</f>
        <v>2025</v>
      </c>
      <c r="M1200" t="str">
        <f>IF(discount_impact_on_profit_2000_rows[[#This Row],[Discount %]]=0,"Zero Discount",IF(discount_impact_on_profit_2000_rows[[#This Row],[Discount %]]&lt;=10,"Low Discount","High Discount"))</f>
        <v>Zero Discount</v>
      </c>
      <c r="N1200" t="str">
        <f t="shared" si="18"/>
        <v>0-10%</v>
      </c>
    </row>
    <row r="1201" spans="1:14">
      <c r="A1201" s="1">
        <v>45075</v>
      </c>
      <c r="B1201" t="s">
        <v>1263</v>
      </c>
      <c r="C1201" t="s">
        <v>11</v>
      </c>
      <c r="D1201" t="s">
        <v>38</v>
      </c>
      <c r="E1201">
        <v>263.66000000000003</v>
      </c>
      <c r="F1201" t="s">
        <v>36</v>
      </c>
      <c r="G1201">
        <v>510.18</v>
      </c>
      <c r="H1201">
        <v>246.52</v>
      </c>
      <c r="I1201">
        <v>15</v>
      </c>
      <c r="J1201">
        <v>1</v>
      </c>
      <c r="K1201" t="str">
        <f>TEXT(discount_impact_on_profit_2000_rows[[#This Row],[order date]],"mmmm")</f>
        <v>May</v>
      </c>
      <c r="L1201">
        <f>YEAR(discount_impact_on_profit_2000_rows[[#This Row],[order date]])</f>
        <v>2023</v>
      </c>
      <c r="M1201" t="str">
        <f>IF(discount_impact_on_profit_2000_rows[[#This Row],[Discount %]]=0,"Zero Discount",IF(discount_impact_on_profit_2000_rows[[#This Row],[Discount %]]&lt;=10,"Low Discount","High Discount"))</f>
        <v>High Discount</v>
      </c>
      <c r="N1201" t="str">
        <f t="shared" si="18"/>
        <v>10-20%</v>
      </c>
    </row>
    <row r="1202" spans="1:14">
      <c r="A1202" s="1">
        <v>45719</v>
      </c>
      <c r="B1202" t="s">
        <v>1264</v>
      </c>
      <c r="C1202" t="s">
        <v>18</v>
      </c>
      <c r="D1202" t="s">
        <v>140</v>
      </c>
      <c r="E1202">
        <v>3856.02</v>
      </c>
      <c r="F1202" t="s">
        <v>36</v>
      </c>
      <c r="G1202">
        <v>5206.4799999999996</v>
      </c>
      <c r="H1202">
        <v>1350.46</v>
      </c>
      <c r="I1202">
        <v>15</v>
      </c>
      <c r="J1202">
        <v>8</v>
      </c>
      <c r="K1202" t="str">
        <f>TEXT(discount_impact_on_profit_2000_rows[[#This Row],[order date]],"mmmm")</f>
        <v>March</v>
      </c>
      <c r="L1202">
        <f>YEAR(discount_impact_on_profit_2000_rows[[#This Row],[order date]])</f>
        <v>2025</v>
      </c>
      <c r="M1202" t="str">
        <f>IF(discount_impact_on_profit_2000_rows[[#This Row],[Discount %]]=0,"Zero Discount",IF(discount_impact_on_profit_2000_rows[[#This Row],[Discount %]]&lt;=10,"Low Discount","High Discount"))</f>
        <v>High Discount</v>
      </c>
      <c r="N1202" t="str">
        <f t="shared" si="18"/>
        <v>10-20%</v>
      </c>
    </row>
    <row r="1203" spans="1:14">
      <c r="A1203" s="1">
        <v>45158</v>
      </c>
      <c r="B1203" t="s">
        <v>1265</v>
      </c>
      <c r="C1203" t="s">
        <v>53</v>
      </c>
      <c r="D1203" t="s">
        <v>113</v>
      </c>
      <c r="E1203">
        <v>4361.58</v>
      </c>
      <c r="F1203" t="s">
        <v>31</v>
      </c>
      <c r="G1203">
        <v>8232.81</v>
      </c>
      <c r="H1203">
        <v>3871.23</v>
      </c>
      <c r="I1203">
        <v>0</v>
      </c>
      <c r="J1203">
        <v>4</v>
      </c>
      <c r="K1203" t="str">
        <f>TEXT(discount_impact_on_profit_2000_rows[[#This Row],[order date]],"mmmm")</f>
        <v>August</v>
      </c>
      <c r="L1203">
        <f>YEAR(discount_impact_on_profit_2000_rows[[#This Row],[order date]])</f>
        <v>2023</v>
      </c>
      <c r="M1203" t="str">
        <f>IF(discount_impact_on_profit_2000_rows[[#This Row],[Discount %]]=0,"Zero Discount",IF(discount_impact_on_profit_2000_rows[[#This Row],[Discount %]]&lt;=10,"Low Discount","High Discount"))</f>
        <v>Zero Discount</v>
      </c>
      <c r="N1203" t="str">
        <f t="shared" si="18"/>
        <v>0-10%</v>
      </c>
    </row>
    <row r="1204" spans="1:14">
      <c r="A1204" s="1">
        <v>45077</v>
      </c>
      <c r="B1204" t="s">
        <v>1266</v>
      </c>
      <c r="C1204" t="s">
        <v>15</v>
      </c>
      <c r="D1204" t="s">
        <v>40</v>
      </c>
      <c r="E1204">
        <v>1084.6199999999999</v>
      </c>
      <c r="F1204" t="s">
        <v>31</v>
      </c>
      <c r="G1204">
        <v>1331.14</v>
      </c>
      <c r="H1204">
        <v>246.52</v>
      </c>
      <c r="I1204">
        <v>10</v>
      </c>
      <c r="J1204">
        <v>1</v>
      </c>
      <c r="K1204" t="str">
        <f>TEXT(discount_impact_on_profit_2000_rows[[#This Row],[order date]],"mmmm")</f>
        <v>May</v>
      </c>
      <c r="L1204">
        <f>YEAR(discount_impact_on_profit_2000_rows[[#This Row],[order date]])</f>
        <v>2023</v>
      </c>
      <c r="M1204" t="str">
        <f>IF(discount_impact_on_profit_2000_rows[[#This Row],[Discount %]]=0,"Zero Discount",IF(discount_impact_on_profit_2000_rows[[#This Row],[Discount %]]&lt;=10,"Low Discount","High Discount"))</f>
        <v>Low Discount</v>
      </c>
      <c r="N1204" t="str">
        <f t="shared" si="18"/>
        <v>0-10%</v>
      </c>
    </row>
    <row r="1205" spans="1:14">
      <c r="A1205" s="1">
        <v>45919</v>
      </c>
      <c r="B1205" t="s">
        <v>1267</v>
      </c>
      <c r="C1205" t="s">
        <v>33</v>
      </c>
      <c r="D1205" t="s">
        <v>203</v>
      </c>
      <c r="E1205">
        <v>12732.51</v>
      </c>
      <c r="F1205" t="s">
        <v>31</v>
      </c>
      <c r="G1205">
        <v>15827.79</v>
      </c>
      <c r="H1205">
        <v>3095.28</v>
      </c>
      <c r="I1205">
        <v>10</v>
      </c>
      <c r="J1205">
        <v>2</v>
      </c>
      <c r="K1205" t="str">
        <f>TEXT(discount_impact_on_profit_2000_rows[[#This Row],[order date]],"mmmm")</f>
        <v>September</v>
      </c>
      <c r="L1205">
        <f>YEAR(discount_impact_on_profit_2000_rows[[#This Row],[order date]])</f>
        <v>2025</v>
      </c>
      <c r="M1205" t="str">
        <f>IF(discount_impact_on_profit_2000_rows[[#This Row],[Discount %]]=0,"Zero Discount",IF(discount_impact_on_profit_2000_rows[[#This Row],[Discount %]]&lt;=10,"Low Discount","High Discount"))</f>
        <v>Low Discount</v>
      </c>
      <c r="N1205" t="str">
        <f t="shared" si="18"/>
        <v>0-10%</v>
      </c>
    </row>
    <row r="1206" spans="1:14">
      <c r="A1206" s="1">
        <v>44974</v>
      </c>
      <c r="B1206" t="s">
        <v>1268</v>
      </c>
      <c r="C1206" t="s">
        <v>11</v>
      </c>
      <c r="D1206" t="s">
        <v>64</v>
      </c>
      <c r="E1206">
        <v>3814.1</v>
      </c>
      <c r="F1206" t="s">
        <v>36</v>
      </c>
      <c r="G1206">
        <v>7130.07</v>
      </c>
      <c r="H1206">
        <v>3315.97</v>
      </c>
      <c r="I1206">
        <v>5</v>
      </c>
      <c r="J1206">
        <v>3</v>
      </c>
      <c r="K1206" t="str">
        <f>TEXT(discount_impact_on_profit_2000_rows[[#This Row],[order date]],"mmmm")</f>
        <v>February</v>
      </c>
      <c r="L1206">
        <f>YEAR(discount_impact_on_profit_2000_rows[[#This Row],[order date]])</f>
        <v>2023</v>
      </c>
      <c r="M1206" t="str">
        <f>IF(discount_impact_on_profit_2000_rows[[#This Row],[Discount %]]=0,"Zero Discount",IF(discount_impact_on_profit_2000_rows[[#This Row],[Discount %]]&lt;=10,"Low Discount","High Discount"))</f>
        <v>Low Discount</v>
      </c>
      <c r="N1206" t="str">
        <f t="shared" si="18"/>
        <v>0-10%</v>
      </c>
    </row>
    <row r="1207" spans="1:14">
      <c r="A1207" s="1">
        <v>45057</v>
      </c>
      <c r="B1207" t="s">
        <v>1269</v>
      </c>
      <c r="C1207" t="s">
        <v>18</v>
      </c>
      <c r="D1207" t="s">
        <v>104</v>
      </c>
      <c r="E1207">
        <v>971.85</v>
      </c>
      <c r="F1207" t="s">
        <v>31</v>
      </c>
      <c r="G1207">
        <v>1502.77</v>
      </c>
      <c r="H1207">
        <v>530.91999999999996</v>
      </c>
      <c r="I1207">
        <v>15</v>
      </c>
      <c r="J1207">
        <v>1</v>
      </c>
      <c r="K1207" t="str">
        <f>TEXT(discount_impact_on_profit_2000_rows[[#This Row],[order date]],"mmmm")</f>
        <v>May</v>
      </c>
      <c r="L1207">
        <f>YEAR(discount_impact_on_profit_2000_rows[[#This Row],[order date]])</f>
        <v>2023</v>
      </c>
      <c r="M1207" t="str">
        <f>IF(discount_impact_on_profit_2000_rows[[#This Row],[Discount %]]=0,"Zero Discount",IF(discount_impact_on_profit_2000_rows[[#This Row],[Discount %]]&lt;=10,"Low Discount","High Discount"))</f>
        <v>High Discount</v>
      </c>
      <c r="N1207" t="str">
        <f t="shared" si="18"/>
        <v>10-20%</v>
      </c>
    </row>
    <row r="1208" spans="1:14">
      <c r="A1208" s="1">
        <v>45296</v>
      </c>
      <c r="B1208" t="s">
        <v>1270</v>
      </c>
      <c r="C1208" t="s">
        <v>33</v>
      </c>
      <c r="D1208" t="s">
        <v>44</v>
      </c>
      <c r="E1208">
        <v>3635.53</v>
      </c>
      <c r="F1208" t="s">
        <v>36</v>
      </c>
      <c r="G1208">
        <v>4786.97</v>
      </c>
      <c r="H1208">
        <v>1151.44</v>
      </c>
      <c r="I1208">
        <v>0</v>
      </c>
      <c r="J1208">
        <v>2</v>
      </c>
      <c r="K1208" t="str">
        <f>TEXT(discount_impact_on_profit_2000_rows[[#This Row],[order date]],"mmmm")</f>
        <v>January</v>
      </c>
      <c r="L1208">
        <f>YEAR(discount_impact_on_profit_2000_rows[[#This Row],[order date]])</f>
        <v>2024</v>
      </c>
      <c r="M1208" t="str">
        <f>IF(discount_impact_on_profit_2000_rows[[#This Row],[Discount %]]=0,"Zero Discount",IF(discount_impact_on_profit_2000_rows[[#This Row],[Discount %]]&lt;=10,"Low Discount","High Discount"))</f>
        <v>Zero Discount</v>
      </c>
      <c r="N1208" t="str">
        <f t="shared" si="18"/>
        <v>0-10%</v>
      </c>
    </row>
    <row r="1209" spans="1:14">
      <c r="A1209" s="1">
        <v>45465</v>
      </c>
      <c r="B1209" t="s">
        <v>1271</v>
      </c>
      <c r="C1209" t="s">
        <v>18</v>
      </c>
      <c r="D1209" t="s">
        <v>140</v>
      </c>
      <c r="E1209">
        <v>1175.8699999999999</v>
      </c>
      <c r="F1209" t="s">
        <v>23</v>
      </c>
      <c r="G1209">
        <v>1275.4000000000001</v>
      </c>
      <c r="H1209">
        <v>99.53</v>
      </c>
      <c r="I1209">
        <v>25</v>
      </c>
      <c r="J1209">
        <v>1</v>
      </c>
      <c r="K1209" t="str">
        <f>TEXT(discount_impact_on_profit_2000_rows[[#This Row],[order date]],"mmmm")</f>
        <v>June</v>
      </c>
      <c r="L1209">
        <f>YEAR(discount_impact_on_profit_2000_rows[[#This Row],[order date]])</f>
        <v>2024</v>
      </c>
      <c r="M1209" t="str">
        <f>IF(discount_impact_on_profit_2000_rows[[#This Row],[Discount %]]=0,"Zero Discount",IF(discount_impact_on_profit_2000_rows[[#This Row],[Discount %]]&lt;=10,"Low Discount","High Discount"))</f>
        <v>High Discount</v>
      </c>
      <c r="N1209" t="str">
        <f t="shared" si="18"/>
        <v>20-30%</v>
      </c>
    </row>
    <row r="1210" spans="1:14">
      <c r="A1210" s="1">
        <v>45082</v>
      </c>
      <c r="B1210" t="s">
        <v>1272</v>
      </c>
      <c r="C1210" t="s">
        <v>21</v>
      </c>
      <c r="D1210" t="s">
        <v>22</v>
      </c>
      <c r="E1210">
        <v>14139.77</v>
      </c>
      <c r="F1210" t="s">
        <v>13</v>
      </c>
      <c r="G1210">
        <v>16418.62</v>
      </c>
      <c r="H1210">
        <v>2278.85</v>
      </c>
      <c r="I1210">
        <v>10</v>
      </c>
      <c r="J1210">
        <v>2</v>
      </c>
      <c r="K1210" t="str">
        <f>TEXT(discount_impact_on_profit_2000_rows[[#This Row],[order date]],"mmmm")</f>
        <v>June</v>
      </c>
      <c r="L1210">
        <f>YEAR(discount_impact_on_profit_2000_rows[[#This Row],[order date]])</f>
        <v>2023</v>
      </c>
      <c r="M1210" t="str">
        <f>IF(discount_impact_on_profit_2000_rows[[#This Row],[Discount %]]=0,"Zero Discount",IF(discount_impact_on_profit_2000_rows[[#This Row],[Discount %]]&lt;=10,"Low Discount","High Discount"))</f>
        <v>Low Discount</v>
      </c>
      <c r="N1210" t="str">
        <f t="shared" si="18"/>
        <v>0-10%</v>
      </c>
    </row>
    <row r="1211" spans="1:14">
      <c r="A1211" s="1">
        <v>45225</v>
      </c>
      <c r="B1211" t="s">
        <v>1273</v>
      </c>
      <c r="C1211" t="s">
        <v>53</v>
      </c>
      <c r="D1211" t="s">
        <v>59</v>
      </c>
      <c r="E1211">
        <v>418.87</v>
      </c>
      <c r="F1211" t="s">
        <v>13</v>
      </c>
      <c r="G1211">
        <v>863.27</v>
      </c>
      <c r="H1211">
        <v>444.4</v>
      </c>
      <c r="I1211">
        <v>5</v>
      </c>
      <c r="J1211">
        <v>1</v>
      </c>
      <c r="K1211" t="str">
        <f>TEXT(discount_impact_on_profit_2000_rows[[#This Row],[order date]],"mmmm")</f>
        <v>October</v>
      </c>
      <c r="L1211">
        <f>YEAR(discount_impact_on_profit_2000_rows[[#This Row],[order date]])</f>
        <v>2023</v>
      </c>
      <c r="M1211" t="str">
        <f>IF(discount_impact_on_profit_2000_rows[[#This Row],[Discount %]]=0,"Zero Discount",IF(discount_impact_on_profit_2000_rows[[#This Row],[Discount %]]&lt;=10,"Low Discount","High Discount"))</f>
        <v>Low Discount</v>
      </c>
      <c r="N1211" t="str">
        <f t="shared" si="18"/>
        <v>0-10%</v>
      </c>
    </row>
    <row r="1212" spans="1:14">
      <c r="A1212" s="1">
        <v>45538</v>
      </c>
      <c r="B1212" t="s">
        <v>1274</v>
      </c>
      <c r="C1212" t="s">
        <v>53</v>
      </c>
      <c r="D1212" t="s">
        <v>95</v>
      </c>
      <c r="E1212">
        <v>16667.54</v>
      </c>
      <c r="F1212" t="s">
        <v>36</v>
      </c>
      <c r="G1212">
        <v>31341.16</v>
      </c>
      <c r="H1212">
        <v>14673.62</v>
      </c>
      <c r="I1212">
        <v>15</v>
      </c>
      <c r="J1212">
        <v>6</v>
      </c>
      <c r="K1212" t="str">
        <f>TEXT(discount_impact_on_profit_2000_rows[[#This Row],[order date]],"mmmm")</f>
        <v>September</v>
      </c>
      <c r="L1212">
        <f>YEAR(discount_impact_on_profit_2000_rows[[#This Row],[order date]])</f>
        <v>2024</v>
      </c>
      <c r="M1212" t="str">
        <f>IF(discount_impact_on_profit_2000_rows[[#This Row],[Discount %]]=0,"Zero Discount",IF(discount_impact_on_profit_2000_rows[[#This Row],[Discount %]]&lt;=10,"Low Discount","High Discount"))</f>
        <v>High Discount</v>
      </c>
      <c r="N1212" t="str">
        <f t="shared" si="18"/>
        <v>10-20%</v>
      </c>
    </row>
    <row r="1213" spans="1:14">
      <c r="A1213" s="1">
        <v>45863</v>
      </c>
      <c r="B1213" t="s">
        <v>1275</v>
      </c>
      <c r="C1213" t="s">
        <v>33</v>
      </c>
      <c r="D1213" t="s">
        <v>92</v>
      </c>
      <c r="E1213">
        <v>46307.19</v>
      </c>
      <c r="F1213" t="s">
        <v>36</v>
      </c>
      <c r="G1213">
        <v>70861.61</v>
      </c>
      <c r="H1213">
        <v>24554.42</v>
      </c>
      <c r="I1213">
        <v>5</v>
      </c>
      <c r="J1213">
        <v>8</v>
      </c>
      <c r="K1213" t="str">
        <f>TEXT(discount_impact_on_profit_2000_rows[[#This Row],[order date]],"mmmm")</f>
        <v>July</v>
      </c>
      <c r="L1213">
        <f>YEAR(discount_impact_on_profit_2000_rows[[#This Row],[order date]])</f>
        <v>2025</v>
      </c>
      <c r="M1213" t="str">
        <f>IF(discount_impact_on_profit_2000_rows[[#This Row],[Discount %]]=0,"Zero Discount",IF(discount_impact_on_profit_2000_rows[[#This Row],[Discount %]]&lt;=10,"Low Discount","High Discount"))</f>
        <v>Low Discount</v>
      </c>
      <c r="N1213" t="str">
        <f t="shared" si="18"/>
        <v>0-10%</v>
      </c>
    </row>
    <row r="1214" spans="1:14">
      <c r="A1214" s="1">
        <v>45805</v>
      </c>
      <c r="B1214" t="s">
        <v>1276</v>
      </c>
      <c r="C1214" t="s">
        <v>33</v>
      </c>
      <c r="D1214" t="s">
        <v>273</v>
      </c>
      <c r="E1214">
        <v>4327.43</v>
      </c>
      <c r="F1214" t="s">
        <v>26</v>
      </c>
      <c r="G1214">
        <v>6018.11</v>
      </c>
      <c r="H1214">
        <v>1690.68</v>
      </c>
      <c r="I1214">
        <v>10</v>
      </c>
      <c r="J1214">
        <v>3</v>
      </c>
      <c r="K1214" t="str">
        <f>TEXT(discount_impact_on_profit_2000_rows[[#This Row],[order date]],"mmmm")</f>
        <v>May</v>
      </c>
      <c r="L1214">
        <f>YEAR(discount_impact_on_profit_2000_rows[[#This Row],[order date]])</f>
        <v>2025</v>
      </c>
      <c r="M1214" t="str">
        <f>IF(discount_impact_on_profit_2000_rows[[#This Row],[Discount %]]=0,"Zero Discount",IF(discount_impact_on_profit_2000_rows[[#This Row],[Discount %]]&lt;=10,"Low Discount","High Discount"))</f>
        <v>Low Discount</v>
      </c>
      <c r="N1214" t="str">
        <f t="shared" si="18"/>
        <v>0-10%</v>
      </c>
    </row>
    <row r="1215" spans="1:14">
      <c r="A1215" s="1">
        <v>45433</v>
      </c>
      <c r="B1215" t="s">
        <v>1277</v>
      </c>
      <c r="C1215" t="s">
        <v>15</v>
      </c>
      <c r="D1215" t="s">
        <v>16</v>
      </c>
      <c r="E1215">
        <v>7223.25</v>
      </c>
      <c r="F1215" t="s">
        <v>13</v>
      </c>
      <c r="G1215">
        <v>9631.09</v>
      </c>
      <c r="H1215">
        <v>2407.84</v>
      </c>
      <c r="I1215">
        <v>10</v>
      </c>
      <c r="J1215">
        <v>5</v>
      </c>
      <c r="K1215" t="str">
        <f>TEXT(discount_impact_on_profit_2000_rows[[#This Row],[order date]],"mmmm")</f>
        <v>May</v>
      </c>
      <c r="L1215">
        <f>YEAR(discount_impact_on_profit_2000_rows[[#This Row],[order date]])</f>
        <v>2024</v>
      </c>
      <c r="M1215" t="str">
        <f>IF(discount_impact_on_profit_2000_rows[[#This Row],[Discount %]]=0,"Zero Discount",IF(discount_impact_on_profit_2000_rows[[#This Row],[Discount %]]&lt;=10,"Low Discount","High Discount"))</f>
        <v>Low Discount</v>
      </c>
      <c r="N1215" t="str">
        <f t="shared" si="18"/>
        <v>0-10%</v>
      </c>
    </row>
    <row r="1216" spans="1:14">
      <c r="A1216" s="1">
        <v>45147</v>
      </c>
      <c r="B1216" t="s">
        <v>1278</v>
      </c>
      <c r="C1216" t="s">
        <v>21</v>
      </c>
      <c r="D1216" t="s">
        <v>82</v>
      </c>
      <c r="E1216">
        <v>4001.96</v>
      </c>
      <c r="F1216" t="s">
        <v>26</v>
      </c>
      <c r="G1216">
        <v>5571.24</v>
      </c>
      <c r="H1216">
        <v>1569.28</v>
      </c>
      <c r="I1216">
        <v>0</v>
      </c>
      <c r="J1216">
        <v>1</v>
      </c>
      <c r="K1216" t="str">
        <f>TEXT(discount_impact_on_profit_2000_rows[[#This Row],[order date]],"mmmm")</f>
        <v>August</v>
      </c>
      <c r="L1216">
        <f>YEAR(discount_impact_on_profit_2000_rows[[#This Row],[order date]])</f>
        <v>2023</v>
      </c>
      <c r="M1216" t="str">
        <f>IF(discount_impact_on_profit_2000_rows[[#This Row],[Discount %]]=0,"Zero Discount",IF(discount_impact_on_profit_2000_rows[[#This Row],[Discount %]]&lt;=10,"Low Discount","High Discount"))</f>
        <v>Zero Discount</v>
      </c>
      <c r="N1216" t="str">
        <f t="shared" si="18"/>
        <v>0-10%</v>
      </c>
    </row>
    <row r="1217" spans="1:14">
      <c r="A1217" s="1">
        <v>45673</v>
      </c>
      <c r="B1217" t="s">
        <v>1279</v>
      </c>
      <c r="C1217" t="s">
        <v>11</v>
      </c>
      <c r="D1217" t="s">
        <v>25</v>
      </c>
      <c r="E1217">
        <v>4582.13</v>
      </c>
      <c r="F1217" t="s">
        <v>31</v>
      </c>
      <c r="G1217">
        <v>9722.2000000000007</v>
      </c>
      <c r="H1217">
        <v>5140.07</v>
      </c>
      <c r="I1217">
        <v>0</v>
      </c>
      <c r="J1217">
        <v>4</v>
      </c>
      <c r="K1217" t="str">
        <f>TEXT(discount_impact_on_profit_2000_rows[[#This Row],[order date]],"mmmm")</f>
        <v>January</v>
      </c>
      <c r="L1217">
        <f>YEAR(discount_impact_on_profit_2000_rows[[#This Row],[order date]])</f>
        <v>2025</v>
      </c>
      <c r="M1217" t="str">
        <f>IF(discount_impact_on_profit_2000_rows[[#This Row],[Discount %]]=0,"Zero Discount",IF(discount_impact_on_profit_2000_rows[[#This Row],[Discount %]]&lt;=10,"Low Discount","High Discount"))</f>
        <v>Zero Discount</v>
      </c>
      <c r="N1217" t="str">
        <f t="shared" si="18"/>
        <v>0-10%</v>
      </c>
    </row>
    <row r="1218" spans="1:14">
      <c r="A1218" s="1">
        <v>45441</v>
      </c>
      <c r="B1218" t="s">
        <v>1280</v>
      </c>
      <c r="C1218" t="s">
        <v>21</v>
      </c>
      <c r="D1218" t="s">
        <v>22</v>
      </c>
      <c r="E1218">
        <v>25946.47</v>
      </c>
      <c r="F1218" t="s">
        <v>31</v>
      </c>
      <c r="G1218">
        <v>26724.86</v>
      </c>
      <c r="H1218">
        <v>778.39</v>
      </c>
      <c r="I1218">
        <v>25</v>
      </c>
      <c r="J1218">
        <v>5</v>
      </c>
      <c r="K1218" t="str">
        <f>TEXT(discount_impact_on_profit_2000_rows[[#This Row],[order date]],"mmmm")</f>
        <v>May</v>
      </c>
      <c r="L1218">
        <f>YEAR(discount_impact_on_profit_2000_rows[[#This Row],[order date]])</f>
        <v>2024</v>
      </c>
      <c r="M1218" t="str">
        <f>IF(discount_impact_on_profit_2000_rows[[#This Row],[Discount %]]=0,"Zero Discount",IF(discount_impact_on_profit_2000_rows[[#This Row],[Discount %]]&lt;=10,"Low Discount","High Discount"))</f>
        <v>High Discount</v>
      </c>
      <c r="N1218" t="str">
        <f t="shared" ref="N1218:N1281" si="19">IF(I1218&lt;=10,"0-10%",IF(I1218&lt;=20,"10-20%",IF(I1218&lt;=30,"20-30%","30%+")))</f>
        <v>20-30%</v>
      </c>
    </row>
    <row r="1219" spans="1:14">
      <c r="A1219" s="1">
        <v>45580</v>
      </c>
      <c r="B1219" t="s">
        <v>1281</v>
      </c>
      <c r="C1219" t="s">
        <v>33</v>
      </c>
      <c r="D1219" t="s">
        <v>102</v>
      </c>
      <c r="E1219">
        <v>3594.98</v>
      </c>
      <c r="F1219" t="s">
        <v>36</v>
      </c>
      <c r="G1219">
        <v>4503.96</v>
      </c>
      <c r="H1219">
        <v>908.98</v>
      </c>
      <c r="I1219">
        <v>10</v>
      </c>
      <c r="J1219">
        <v>2</v>
      </c>
      <c r="K1219" t="str">
        <f>TEXT(discount_impact_on_profit_2000_rows[[#This Row],[order date]],"mmmm")</f>
        <v>October</v>
      </c>
      <c r="L1219">
        <f>YEAR(discount_impact_on_profit_2000_rows[[#This Row],[order date]])</f>
        <v>2024</v>
      </c>
      <c r="M1219" t="str">
        <f>IF(discount_impact_on_profit_2000_rows[[#This Row],[Discount %]]=0,"Zero Discount",IF(discount_impact_on_profit_2000_rows[[#This Row],[Discount %]]&lt;=10,"Low Discount","High Discount"))</f>
        <v>Low Discount</v>
      </c>
      <c r="N1219" t="str">
        <f t="shared" si="19"/>
        <v>0-10%</v>
      </c>
    </row>
    <row r="1220" spans="1:14">
      <c r="A1220" s="1">
        <v>45349</v>
      </c>
      <c r="B1220" t="s">
        <v>1282</v>
      </c>
      <c r="C1220" t="s">
        <v>18</v>
      </c>
      <c r="D1220" t="s">
        <v>50</v>
      </c>
      <c r="E1220">
        <v>907.69</v>
      </c>
      <c r="F1220" t="s">
        <v>26</v>
      </c>
      <c r="G1220">
        <v>1557.71</v>
      </c>
      <c r="H1220">
        <v>650.02</v>
      </c>
      <c r="I1220">
        <v>15</v>
      </c>
      <c r="J1220">
        <v>2</v>
      </c>
      <c r="K1220" t="str">
        <f>TEXT(discount_impact_on_profit_2000_rows[[#This Row],[order date]],"mmmm")</f>
        <v>February</v>
      </c>
      <c r="L1220">
        <f>YEAR(discount_impact_on_profit_2000_rows[[#This Row],[order date]])</f>
        <v>2024</v>
      </c>
      <c r="M1220" t="str">
        <f>IF(discount_impact_on_profit_2000_rows[[#This Row],[Discount %]]=0,"Zero Discount",IF(discount_impact_on_profit_2000_rows[[#This Row],[Discount %]]&lt;=10,"Low Discount","High Discount"))</f>
        <v>High Discount</v>
      </c>
      <c r="N1220" t="str">
        <f t="shared" si="19"/>
        <v>10-20%</v>
      </c>
    </row>
    <row r="1221" spans="1:14">
      <c r="A1221" s="1">
        <v>46003</v>
      </c>
      <c r="B1221" t="s">
        <v>1283</v>
      </c>
      <c r="C1221" t="s">
        <v>18</v>
      </c>
      <c r="D1221" t="s">
        <v>42</v>
      </c>
      <c r="E1221">
        <v>215.61</v>
      </c>
      <c r="F1221" t="s">
        <v>13</v>
      </c>
      <c r="G1221">
        <v>483.28</v>
      </c>
      <c r="H1221">
        <v>267.67</v>
      </c>
      <c r="I1221">
        <v>5</v>
      </c>
      <c r="J1221">
        <v>2</v>
      </c>
      <c r="K1221" t="str">
        <f>TEXT(discount_impact_on_profit_2000_rows[[#This Row],[order date]],"mmmm")</f>
        <v>December</v>
      </c>
      <c r="L1221">
        <f>YEAR(discount_impact_on_profit_2000_rows[[#This Row],[order date]])</f>
        <v>2025</v>
      </c>
      <c r="M1221" t="str">
        <f>IF(discount_impact_on_profit_2000_rows[[#This Row],[Discount %]]=0,"Zero Discount",IF(discount_impact_on_profit_2000_rows[[#This Row],[Discount %]]&lt;=10,"Low Discount","High Discount"))</f>
        <v>Low Discount</v>
      </c>
      <c r="N1221" t="str">
        <f t="shared" si="19"/>
        <v>0-10%</v>
      </c>
    </row>
    <row r="1222" spans="1:14">
      <c r="A1222" s="1">
        <v>45713</v>
      </c>
      <c r="B1222" t="s">
        <v>1284</v>
      </c>
      <c r="C1222" t="s">
        <v>18</v>
      </c>
      <c r="D1222" t="s">
        <v>104</v>
      </c>
      <c r="E1222">
        <v>2580.25</v>
      </c>
      <c r="F1222" t="s">
        <v>26</v>
      </c>
      <c r="G1222">
        <v>4180.17</v>
      </c>
      <c r="H1222">
        <v>1599.92</v>
      </c>
      <c r="I1222">
        <v>5</v>
      </c>
      <c r="J1222">
        <v>3</v>
      </c>
      <c r="K1222" t="str">
        <f>TEXT(discount_impact_on_profit_2000_rows[[#This Row],[order date]],"mmmm")</f>
        <v>February</v>
      </c>
      <c r="L1222">
        <f>YEAR(discount_impact_on_profit_2000_rows[[#This Row],[order date]])</f>
        <v>2025</v>
      </c>
      <c r="M1222" t="str">
        <f>IF(discount_impact_on_profit_2000_rows[[#This Row],[Discount %]]=0,"Zero Discount",IF(discount_impact_on_profit_2000_rows[[#This Row],[Discount %]]&lt;=10,"Low Discount","High Discount"))</f>
        <v>Low Discount</v>
      </c>
      <c r="N1222" t="str">
        <f t="shared" si="19"/>
        <v>0-10%</v>
      </c>
    </row>
    <row r="1223" spans="1:14">
      <c r="A1223" s="1">
        <v>44931</v>
      </c>
      <c r="B1223" t="s">
        <v>1285</v>
      </c>
      <c r="C1223" t="s">
        <v>18</v>
      </c>
      <c r="D1223" t="s">
        <v>42</v>
      </c>
      <c r="E1223">
        <v>512.72</v>
      </c>
      <c r="F1223" t="s">
        <v>31</v>
      </c>
      <c r="G1223">
        <v>766.78</v>
      </c>
      <c r="H1223">
        <v>254.06</v>
      </c>
      <c r="I1223">
        <v>0</v>
      </c>
      <c r="J1223">
        <v>1</v>
      </c>
      <c r="K1223" t="str">
        <f>TEXT(discount_impact_on_profit_2000_rows[[#This Row],[order date]],"mmmm")</f>
        <v>January</v>
      </c>
      <c r="L1223">
        <f>YEAR(discount_impact_on_profit_2000_rows[[#This Row],[order date]])</f>
        <v>2023</v>
      </c>
      <c r="M1223" t="str">
        <f>IF(discount_impact_on_profit_2000_rows[[#This Row],[Discount %]]=0,"Zero Discount",IF(discount_impact_on_profit_2000_rows[[#This Row],[Discount %]]&lt;=10,"Low Discount","High Discount"))</f>
        <v>Zero Discount</v>
      </c>
      <c r="N1223" t="str">
        <f t="shared" si="19"/>
        <v>0-10%</v>
      </c>
    </row>
    <row r="1224" spans="1:14">
      <c r="A1224" s="1">
        <v>45673</v>
      </c>
      <c r="B1224" t="s">
        <v>1286</v>
      </c>
      <c r="C1224" t="s">
        <v>53</v>
      </c>
      <c r="D1224" t="s">
        <v>152</v>
      </c>
      <c r="E1224">
        <v>3303.15</v>
      </c>
      <c r="F1224" t="s">
        <v>26</v>
      </c>
      <c r="G1224">
        <v>5148.6400000000003</v>
      </c>
      <c r="H1224">
        <v>1845.49</v>
      </c>
      <c r="I1224">
        <v>10</v>
      </c>
      <c r="J1224">
        <v>1</v>
      </c>
      <c r="K1224" t="str">
        <f>TEXT(discount_impact_on_profit_2000_rows[[#This Row],[order date]],"mmmm")</f>
        <v>January</v>
      </c>
      <c r="L1224">
        <f>YEAR(discount_impact_on_profit_2000_rows[[#This Row],[order date]])</f>
        <v>2025</v>
      </c>
      <c r="M1224" t="str">
        <f>IF(discount_impact_on_profit_2000_rows[[#This Row],[Discount %]]=0,"Zero Discount",IF(discount_impact_on_profit_2000_rows[[#This Row],[Discount %]]&lt;=10,"Low Discount","High Discount"))</f>
        <v>Low Discount</v>
      </c>
      <c r="N1224" t="str">
        <f t="shared" si="19"/>
        <v>0-10%</v>
      </c>
    </row>
    <row r="1225" spans="1:14">
      <c r="A1225" s="1">
        <v>45732</v>
      </c>
      <c r="B1225" t="s">
        <v>1287</v>
      </c>
      <c r="C1225" t="s">
        <v>15</v>
      </c>
      <c r="D1225" t="s">
        <v>16</v>
      </c>
      <c r="E1225">
        <v>2059.25</v>
      </c>
      <c r="F1225" t="s">
        <v>23</v>
      </c>
      <c r="G1225">
        <v>2426.1799999999998</v>
      </c>
      <c r="H1225">
        <v>366.93</v>
      </c>
      <c r="I1225">
        <v>15</v>
      </c>
      <c r="J1225">
        <v>1</v>
      </c>
      <c r="K1225" t="str">
        <f>TEXT(discount_impact_on_profit_2000_rows[[#This Row],[order date]],"mmmm")</f>
        <v>March</v>
      </c>
      <c r="L1225">
        <f>YEAR(discount_impact_on_profit_2000_rows[[#This Row],[order date]])</f>
        <v>2025</v>
      </c>
      <c r="M1225" t="str">
        <f>IF(discount_impact_on_profit_2000_rows[[#This Row],[Discount %]]=0,"Zero Discount",IF(discount_impact_on_profit_2000_rows[[#This Row],[Discount %]]&lt;=10,"Low Discount","High Discount"))</f>
        <v>High Discount</v>
      </c>
      <c r="N1225" t="str">
        <f t="shared" si="19"/>
        <v>10-20%</v>
      </c>
    </row>
    <row r="1226" spans="1:14">
      <c r="A1226" s="1">
        <v>44950</v>
      </c>
      <c r="B1226" t="s">
        <v>1288</v>
      </c>
      <c r="C1226" t="s">
        <v>21</v>
      </c>
      <c r="D1226" t="s">
        <v>97</v>
      </c>
      <c r="E1226">
        <v>3867.89</v>
      </c>
      <c r="F1226" t="s">
        <v>26</v>
      </c>
      <c r="G1226">
        <v>4730.3999999999996</v>
      </c>
      <c r="H1226">
        <v>862.51</v>
      </c>
      <c r="I1226">
        <v>0</v>
      </c>
      <c r="J1226">
        <v>1</v>
      </c>
      <c r="K1226" t="str">
        <f>TEXT(discount_impact_on_profit_2000_rows[[#This Row],[order date]],"mmmm")</f>
        <v>January</v>
      </c>
      <c r="L1226">
        <f>YEAR(discount_impact_on_profit_2000_rows[[#This Row],[order date]])</f>
        <v>2023</v>
      </c>
      <c r="M1226" t="str">
        <f>IF(discount_impact_on_profit_2000_rows[[#This Row],[Discount %]]=0,"Zero Discount",IF(discount_impact_on_profit_2000_rows[[#This Row],[Discount %]]&lt;=10,"Low Discount","High Discount"))</f>
        <v>Zero Discount</v>
      </c>
      <c r="N1226" t="str">
        <f t="shared" si="19"/>
        <v>0-10%</v>
      </c>
    </row>
    <row r="1227" spans="1:14">
      <c r="A1227" s="1">
        <v>45251</v>
      </c>
      <c r="B1227" t="s">
        <v>1289</v>
      </c>
      <c r="C1227" t="s">
        <v>11</v>
      </c>
      <c r="D1227" t="s">
        <v>207</v>
      </c>
      <c r="E1227">
        <v>1262.1300000000001</v>
      </c>
      <c r="F1227" t="s">
        <v>31</v>
      </c>
      <c r="G1227">
        <v>1523.6</v>
      </c>
      <c r="H1227">
        <v>261.47000000000003</v>
      </c>
      <c r="I1227">
        <v>25</v>
      </c>
      <c r="J1227">
        <v>2</v>
      </c>
      <c r="K1227" t="str">
        <f>TEXT(discount_impact_on_profit_2000_rows[[#This Row],[order date]],"mmmm")</f>
        <v>November</v>
      </c>
      <c r="L1227">
        <f>YEAR(discount_impact_on_profit_2000_rows[[#This Row],[order date]])</f>
        <v>2023</v>
      </c>
      <c r="M1227" t="str">
        <f>IF(discount_impact_on_profit_2000_rows[[#This Row],[Discount %]]=0,"Zero Discount",IF(discount_impact_on_profit_2000_rows[[#This Row],[Discount %]]&lt;=10,"Low Discount","High Discount"))</f>
        <v>High Discount</v>
      </c>
      <c r="N1227" t="str">
        <f t="shared" si="19"/>
        <v>20-30%</v>
      </c>
    </row>
    <row r="1228" spans="1:14">
      <c r="A1228" s="1">
        <v>45476</v>
      </c>
      <c r="B1228" t="s">
        <v>1290</v>
      </c>
      <c r="C1228" t="s">
        <v>15</v>
      </c>
      <c r="D1228" t="s">
        <v>76</v>
      </c>
      <c r="E1228">
        <v>3156.22</v>
      </c>
      <c r="F1228" t="s">
        <v>36</v>
      </c>
      <c r="G1228">
        <v>4130.32</v>
      </c>
      <c r="H1228">
        <v>974.1</v>
      </c>
      <c r="I1228">
        <v>20</v>
      </c>
      <c r="J1228">
        <v>2</v>
      </c>
      <c r="K1228" t="str">
        <f>TEXT(discount_impact_on_profit_2000_rows[[#This Row],[order date]],"mmmm")</f>
        <v>July</v>
      </c>
      <c r="L1228">
        <f>YEAR(discount_impact_on_profit_2000_rows[[#This Row],[order date]])</f>
        <v>2024</v>
      </c>
      <c r="M1228" t="str">
        <f>IF(discount_impact_on_profit_2000_rows[[#This Row],[Discount %]]=0,"Zero Discount",IF(discount_impact_on_profit_2000_rows[[#This Row],[Discount %]]&lt;=10,"Low Discount","High Discount"))</f>
        <v>High Discount</v>
      </c>
      <c r="N1228" t="str">
        <f t="shared" si="19"/>
        <v>10-20%</v>
      </c>
    </row>
    <row r="1229" spans="1:14">
      <c r="A1229" s="1">
        <v>45782</v>
      </c>
      <c r="B1229" t="s">
        <v>1291</v>
      </c>
      <c r="C1229" t="s">
        <v>18</v>
      </c>
      <c r="D1229" t="s">
        <v>88</v>
      </c>
      <c r="E1229">
        <v>632.04</v>
      </c>
      <c r="F1229" t="s">
        <v>31</v>
      </c>
      <c r="G1229">
        <v>1075.1600000000001</v>
      </c>
      <c r="H1229">
        <v>443.12</v>
      </c>
      <c r="I1229">
        <v>10</v>
      </c>
      <c r="J1229">
        <v>2</v>
      </c>
      <c r="K1229" t="str">
        <f>TEXT(discount_impact_on_profit_2000_rows[[#This Row],[order date]],"mmmm")</f>
        <v>May</v>
      </c>
      <c r="L1229">
        <f>YEAR(discount_impact_on_profit_2000_rows[[#This Row],[order date]])</f>
        <v>2025</v>
      </c>
      <c r="M1229" t="str">
        <f>IF(discount_impact_on_profit_2000_rows[[#This Row],[Discount %]]=0,"Zero Discount",IF(discount_impact_on_profit_2000_rows[[#This Row],[Discount %]]&lt;=10,"Low Discount","High Discount"))</f>
        <v>Low Discount</v>
      </c>
      <c r="N1229" t="str">
        <f t="shared" si="19"/>
        <v>0-10%</v>
      </c>
    </row>
    <row r="1230" spans="1:14">
      <c r="A1230" s="1">
        <v>45773</v>
      </c>
      <c r="B1230" t="s">
        <v>1292</v>
      </c>
      <c r="C1230" t="s">
        <v>15</v>
      </c>
      <c r="D1230" t="s">
        <v>86</v>
      </c>
      <c r="E1230">
        <v>29981.72</v>
      </c>
      <c r="F1230" t="s">
        <v>36</v>
      </c>
      <c r="G1230">
        <v>36770.94</v>
      </c>
      <c r="H1230">
        <v>6789.22</v>
      </c>
      <c r="I1230">
        <v>15</v>
      </c>
      <c r="J1230">
        <v>3</v>
      </c>
      <c r="K1230" t="str">
        <f>TEXT(discount_impact_on_profit_2000_rows[[#This Row],[order date]],"mmmm")</f>
        <v>April</v>
      </c>
      <c r="L1230">
        <f>YEAR(discount_impact_on_profit_2000_rows[[#This Row],[order date]])</f>
        <v>2025</v>
      </c>
      <c r="M1230" t="str">
        <f>IF(discount_impact_on_profit_2000_rows[[#This Row],[Discount %]]=0,"Zero Discount",IF(discount_impact_on_profit_2000_rows[[#This Row],[Discount %]]&lt;=10,"Low Discount","High Discount"))</f>
        <v>High Discount</v>
      </c>
      <c r="N1230" t="str">
        <f t="shared" si="19"/>
        <v>10-20%</v>
      </c>
    </row>
    <row r="1231" spans="1:14">
      <c r="A1231" s="1">
        <v>44937</v>
      </c>
      <c r="B1231" t="s">
        <v>1293</v>
      </c>
      <c r="C1231" t="s">
        <v>53</v>
      </c>
      <c r="D1231" t="s">
        <v>59</v>
      </c>
      <c r="E1231">
        <v>4387.8900000000003</v>
      </c>
      <c r="F1231" t="s">
        <v>13</v>
      </c>
      <c r="G1231">
        <v>8175.64</v>
      </c>
      <c r="H1231">
        <v>3787.75</v>
      </c>
      <c r="I1231">
        <v>0</v>
      </c>
      <c r="J1231">
        <v>3</v>
      </c>
      <c r="K1231" t="str">
        <f>TEXT(discount_impact_on_profit_2000_rows[[#This Row],[order date]],"mmmm")</f>
        <v>January</v>
      </c>
      <c r="L1231">
        <f>YEAR(discount_impact_on_profit_2000_rows[[#This Row],[order date]])</f>
        <v>2023</v>
      </c>
      <c r="M1231" t="str">
        <f>IF(discount_impact_on_profit_2000_rows[[#This Row],[Discount %]]=0,"Zero Discount",IF(discount_impact_on_profit_2000_rows[[#This Row],[Discount %]]&lt;=10,"Low Discount","High Discount"))</f>
        <v>Zero Discount</v>
      </c>
      <c r="N1231" t="str">
        <f t="shared" si="19"/>
        <v>0-10%</v>
      </c>
    </row>
    <row r="1232" spans="1:14">
      <c r="A1232" s="1">
        <v>45929</v>
      </c>
      <c r="B1232" t="s">
        <v>1294</v>
      </c>
      <c r="C1232" t="s">
        <v>53</v>
      </c>
      <c r="D1232" t="s">
        <v>70</v>
      </c>
      <c r="E1232">
        <v>4673.7299999999996</v>
      </c>
      <c r="F1232" t="s">
        <v>26</v>
      </c>
      <c r="G1232">
        <v>7963.61</v>
      </c>
      <c r="H1232">
        <v>3289.88</v>
      </c>
      <c r="I1232">
        <v>5</v>
      </c>
      <c r="J1232">
        <v>2</v>
      </c>
      <c r="K1232" t="str">
        <f>TEXT(discount_impact_on_profit_2000_rows[[#This Row],[order date]],"mmmm")</f>
        <v>September</v>
      </c>
      <c r="L1232">
        <f>YEAR(discount_impact_on_profit_2000_rows[[#This Row],[order date]])</f>
        <v>2025</v>
      </c>
      <c r="M1232" t="str">
        <f>IF(discount_impact_on_profit_2000_rows[[#This Row],[Discount %]]=0,"Zero Discount",IF(discount_impact_on_profit_2000_rows[[#This Row],[Discount %]]&lt;=10,"Low Discount","High Discount"))</f>
        <v>Low Discount</v>
      </c>
      <c r="N1232" t="str">
        <f t="shared" si="19"/>
        <v>0-10%</v>
      </c>
    </row>
    <row r="1233" spans="1:14">
      <c r="A1233" s="1">
        <v>45981</v>
      </c>
      <c r="B1233" t="s">
        <v>1295</v>
      </c>
      <c r="C1233" t="s">
        <v>33</v>
      </c>
      <c r="D1233" t="s">
        <v>102</v>
      </c>
      <c r="E1233">
        <v>11369.11</v>
      </c>
      <c r="F1233" t="s">
        <v>26</v>
      </c>
      <c r="G1233">
        <v>18388.88</v>
      </c>
      <c r="H1233">
        <v>7019.77</v>
      </c>
      <c r="I1233">
        <v>5</v>
      </c>
      <c r="J1233">
        <v>1</v>
      </c>
      <c r="K1233" t="str">
        <f>TEXT(discount_impact_on_profit_2000_rows[[#This Row],[order date]],"mmmm")</f>
        <v>November</v>
      </c>
      <c r="L1233">
        <f>YEAR(discount_impact_on_profit_2000_rows[[#This Row],[order date]])</f>
        <v>2025</v>
      </c>
      <c r="M1233" t="str">
        <f>IF(discount_impact_on_profit_2000_rows[[#This Row],[Discount %]]=0,"Zero Discount",IF(discount_impact_on_profit_2000_rows[[#This Row],[Discount %]]&lt;=10,"Low Discount","High Discount"))</f>
        <v>Low Discount</v>
      </c>
      <c r="N1233" t="str">
        <f t="shared" si="19"/>
        <v>0-10%</v>
      </c>
    </row>
    <row r="1234" spans="1:14">
      <c r="A1234" s="1">
        <v>45967</v>
      </c>
      <c r="B1234" t="s">
        <v>1296</v>
      </c>
      <c r="C1234" t="s">
        <v>21</v>
      </c>
      <c r="D1234" t="s">
        <v>82</v>
      </c>
      <c r="E1234">
        <v>4068.86</v>
      </c>
      <c r="F1234" t="s">
        <v>26</v>
      </c>
      <c r="G1234">
        <v>4549.37</v>
      </c>
      <c r="H1234">
        <v>480.51</v>
      </c>
      <c r="I1234">
        <v>5</v>
      </c>
      <c r="J1234">
        <v>1</v>
      </c>
      <c r="K1234" t="str">
        <f>TEXT(discount_impact_on_profit_2000_rows[[#This Row],[order date]],"mmmm")</f>
        <v>November</v>
      </c>
      <c r="L1234">
        <f>YEAR(discount_impact_on_profit_2000_rows[[#This Row],[order date]])</f>
        <v>2025</v>
      </c>
      <c r="M1234" t="str">
        <f>IF(discount_impact_on_profit_2000_rows[[#This Row],[Discount %]]=0,"Zero Discount",IF(discount_impact_on_profit_2000_rows[[#This Row],[Discount %]]&lt;=10,"Low Discount","High Discount"))</f>
        <v>Low Discount</v>
      </c>
      <c r="N1234" t="str">
        <f t="shared" si="19"/>
        <v>0-10%</v>
      </c>
    </row>
    <row r="1235" spans="1:14">
      <c r="A1235" s="1">
        <v>45610</v>
      </c>
      <c r="B1235" t="s">
        <v>1297</v>
      </c>
      <c r="C1235" t="s">
        <v>53</v>
      </c>
      <c r="D1235" t="s">
        <v>78</v>
      </c>
      <c r="E1235">
        <v>2687.02</v>
      </c>
      <c r="F1235" t="s">
        <v>31</v>
      </c>
      <c r="G1235">
        <v>4292.82</v>
      </c>
      <c r="H1235">
        <v>1605.8</v>
      </c>
      <c r="I1235">
        <v>20</v>
      </c>
      <c r="J1235">
        <v>2</v>
      </c>
      <c r="K1235" t="str">
        <f>TEXT(discount_impact_on_profit_2000_rows[[#This Row],[order date]],"mmmm")</f>
        <v>November</v>
      </c>
      <c r="L1235">
        <f>YEAR(discount_impact_on_profit_2000_rows[[#This Row],[order date]])</f>
        <v>2024</v>
      </c>
      <c r="M1235" t="str">
        <f>IF(discount_impact_on_profit_2000_rows[[#This Row],[Discount %]]=0,"Zero Discount",IF(discount_impact_on_profit_2000_rows[[#This Row],[Discount %]]&lt;=10,"Low Discount","High Discount"))</f>
        <v>High Discount</v>
      </c>
      <c r="N1235" t="str">
        <f t="shared" si="19"/>
        <v>10-20%</v>
      </c>
    </row>
    <row r="1236" spans="1:14">
      <c r="A1236" s="1">
        <v>45050</v>
      </c>
      <c r="B1236" t="s">
        <v>1298</v>
      </c>
      <c r="C1236" t="s">
        <v>21</v>
      </c>
      <c r="D1236" t="s">
        <v>109</v>
      </c>
      <c r="E1236">
        <v>8534.7800000000007</v>
      </c>
      <c r="F1236" t="s">
        <v>31</v>
      </c>
      <c r="G1236">
        <v>10998.31</v>
      </c>
      <c r="H1236">
        <v>2463.5300000000002</v>
      </c>
      <c r="I1236">
        <v>5</v>
      </c>
      <c r="J1236">
        <v>2</v>
      </c>
      <c r="K1236" t="str">
        <f>TEXT(discount_impact_on_profit_2000_rows[[#This Row],[order date]],"mmmm")</f>
        <v>May</v>
      </c>
      <c r="L1236">
        <f>YEAR(discount_impact_on_profit_2000_rows[[#This Row],[order date]])</f>
        <v>2023</v>
      </c>
      <c r="M1236" t="str">
        <f>IF(discount_impact_on_profit_2000_rows[[#This Row],[Discount %]]=0,"Zero Discount",IF(discount_impact_on_profit_2000_rows[[#This Row],[Discount %]]&lt;=10,"Low Discount","High Discount"))</f>
        <v>Low Discount</v>
      </c>
      <c r="N1236" t="str">
        <f t="shared" si="19"/>
        <v>0-10%</v>
      </c>
    </row>
    <row r="1237" spans="1:14">
      <c r="A1237" s="1">
        <v>45198</v>
      </c>
      <c r="B1237" t="s">
        <v>1299</v>
      </c>
      <c r="C1237" t="s">
        <v>11</v>
      </c>
      <c r="D1237" t="s">
        <v>64</v>
      </c>
      <c r="E1237">
        <v>2789.6</v>
      </c>
      <c r="F1237" t="s">
        <v>36</v>
      </c>
      <c r="G1237">
        <v>5153.12</v>
      </c>
      <c r="H1237">
        <v>2363.52</v>
      </c>
      <c r="I1237">
        <v>0</v>
      </c>
      <c r="J1237">
        <v>2</v>
      </c>
      <c r="K1237" t="str">
        <f>TEXT(discount_impact_on_profit_2000_rows[[#This Row],[order date]],"mmmm")</f>
        <v>September</v>
      </c>
      <c r="L1237">
        <f>YEAR(discount_impact_on_profit_2000_rows[[#This Row],[order date]])</f>
        <v>2023</v>
      </c>
      <c r="M1237" t="str">
        <f>IF(discount_impact_on_profit_2000_rows[[#This Row],[Discount %]]=0,"Zero Discount",IF(discount_impact_on_profit_2000_rows[[#This Row],[Discount %]]&lt;=10,"Low Discount","High Discount"))</f>
        <v>Zero Discount</v>
      </c>
      <c r="N1237" t="str">
        <f t="shared" si="19"/>
        <v>0-10%</v>
      </c>
    </row>
    <row r="1238" spans="1:14">
      <c r="A1238" s="1">
        <v>45572</v>
      </c>
      <c r="B1238" t="s">
        <v>1300</v>
      </c>
      <c r="C1238" t="s">
        <v>15</v>
      </c>
      <c r="D1238" t="s">
        <v>40</v>
      </c>
      <c r="E1238">
        <v>3066.55</v>
      </c>
      <c r="F1238" t="s">
        <v>13</v>
      </c>
      <c r="G1238">
        <v>3158.55</v>
      </c>
      <c r="H1238">
        <v>92</v>
      </c>
      <c r="I1238">
        <v>20</v>
      </c>
      <c r="J1238">
        <v>1</v>
      </c>
      <c r="K1238" t="str">
        <f>TEXT(discount_impact_on_profit_2000_rows[[#This Row],[order date]],"mmmm")</f>
        <v>October</v>
      </c>
      <c r="L1238">
        <f>YEAR(discount_impact_on_profit_2000_rows[[#This Row],[order date]])</f>
        <v>2024</v>
      </c>
      <c r="M1238" t="str">
        <f>IF(discount_impact_on_profit_2000_rows[[#This Row],[Discount %]]=0,"Zero Discount",IF(discount_impact_on_profit_2000_rows[[#This Row],[Discount %]]&lt;=10,"Low Discount","High Discount"))</f>
        <v>High Discount</v>
      </c>
      <c r="N1238" t="str">
        <f t="shared" si="19"/>
        <v>10-20%</v>
      </c>
    </row>
    <row r="1239" spans="1:14">
      <c r="A1239" s="1">
        <v>44944</v>
      </c>
      <c r="B1239" t="s">
        <v>1301</v>
      </c>
      <c r="C1239" t="s">
        <v>11</v>
      </c>
      <c r="D1239" t="s">
        <v>64</v>
      </c>
      <c r="E1239">
        <v>462.98</v>
      </c>
      <c r="F1239" t="s">
        <v>31</v>
      </c>
      <c r="G1239">
        <v>654.17999999999995</v>
      </c>
      <c r="H1239">
        <v>191.2</v>
      </c>
      <c r="I1239">
        <v>30</v>
      </c>
      <c r="J1239">
        <v>2</v>
      </c>
      <c r="K1239" t="str">
        <f>TEXT(discount_impact_on_profit_2000_rows[[#This Row],[order date]],"mmmm")</f>
        <v>January</v>
      </c>
      <c r="L1239">
        <f>YEAR(discount_impact_on_profit_2000_rows[[#This Row],[order date]])</f>
        <v>2023</v>
      </c>
      <c r="M1239" t="str">
        <f>IF(discount_impact_on_profit_2000_rows[[#This Row],[Discount %]]=0,"Zero Discount",IF(discount_impact_on_profit_2000_rows[[#This Row],[Discount %]]&lt;=10,"Low Discount","High Discount"))</f>
        <v>High Discount</v>
      </c>
      <c r="N1239" t="str">
        <f t="shared" si="19"/>
        <v>20-30%</v>
      </c>
    </row>
    <row r="1240" spans="1:14">
      <c r="A1240" s="1">
        <v>45394</v>
      </c>
      <c r="B1240" t="s">
        <v>1302</v>
      </c>
      <c r="C1240" t="s">
        <v>18</v>
      </c>
      <c r="D1240" t="s">
        <v>140</v>
      </c>
      <c r="E1240">
        <v>683.53</v>
      </c>
      <c r="F1240" t="s">
        <v>31</v>
      </c>
      <c r="G1240">
        <v>900.26</v>
      </c>
      <c r="H1240">
        <v>216.73</v>
      </c>
      <c r="I1240">
        <v>15</v>
      </c>
      <c r="J1240">
        <v>1</v>
      </c>
      <c r="K1240" t="str">
        <f>TEXT(discount_impact_on_profit_2000_rows[[#This Row],[order date]],"mmmm")</f>
        <v>April</v>
      </c>
      <c r="L1240">
        <f>YEAR(discount_impact_on_profit_2000_rows[[#This Row],[order date]])</f>
        <v>2024</v>
      </c>
      <c r="M1240" t="str">
        <f>IF(discount_impact_on_profit_2000_rows[[#This Row],[Discount %]]=0,"Zero Discount",IF(discount_impact_on_profit_2000_rows[[#This Row],[Discount %]]&lt;=10,"Low Discount","High Discount"))</f>
        <v>High Discount</v>
      </c>
      <c r="N1240" t="str">
        <f t="shared" si="19"/>
        <v>10-20%</v>
      </c>
    </row>
    <row r="1241" spans="1:14">
      <c r="A1241" s="1">
        <v>45795</v>
      </c>
      <c r="B1241" t="s">
        <v>1303</v>
      </c>
      <c r="C1241" t="s">
        <v>18</v>
      </c>
      <c r="D1241" t="s">
        <v>19</v>
      </c>
      <c r="E1241">
        <v>257.27</v>
      </c>
      <c r="F1241" t="s">
        <v>13</v>
      </c>
      <c r="G1241">
        <v>433.76</v>
      </c>
      <c r="H1241">
        <v>176.49</v>
      </c>
      <c r="I1241">
        <v>0</v>
      </c>
      <c r="J1241">
        <v>1</v>
      </c>
      <c r="K1241" t="str">
        <f>TEXT(discount_impact_on_profit_2000_rows[[#This Row],[order date]],"mmmm")</f>
        <v>May</v>
      </c>
      <c r="L1241">
        <f>YEAR(discount_impact_on_profit_2000_rows[[#This Row],[order date]])</f>
        <v>2025</v>
      </c>
      <c r="M1241" t="str">
        <f>IF(discount_impact_on_profit_2000_rows[[#This Row],[Discount %]]=0,"Zero Discount",IF(discount_impact_on_profit_2000_rows[[#This Row],[Discount %]]&lt;=10,"Low Discount","High Discount"))</f>
        <v>Zero Discount</v>
      </c>
      <c r="N1241" t="str">
        <f t="shared" si="19"/>
        <v>0-10%</v>
      </c>
    </row>
    <row r="1242" spans="1:14">
      <c r="A1242" s="1">
        <v>45361</v>
      </c>
      <c r="B1242" t="s">
        <v>1304</v>
      </c>
      <c r="C1242" t="s">
        <v>21</v>
      </c>
      <c r="D1242" t="s">
        <v>154</v>
      </c>
      <c r="E1242">
        <v>11703.85</v>
      </c>
      <c r="F1242" t="s">
        <v>31</v>
      </c>
      <c r="G1242">
        <v>15202.85</v>
      </c>
      <c r="H1242">
        <v>3499</v>
      </c>
      <c r="I1242">
        <v>0</v>
      </c>
      <c r="J1242">
        <v>5</v>
      </c>
      <c r="K1242" t="str">
        <f>TEXT(discount_impact_on_profit_2000_rows[[#This Row],[order date]],"mmmm")</f>
        <v>March</v>
      </c>
      <c r="L1242">
        <f>YEAR(discount_impact_on_profit_2000_rows[[#This Row],[order date]])</f>
        <v>2024</v>
      </c>
      <c r="M1242" t="str">
        <f>IF(discount_impact_on_profit_2000_rows[[#This Row],[Discount %]]=0,"Zero Discount",IF(discount_impact_on_profit_2000_rows[[#This Row],[Discount %]]&lt;=10,"Low Discount","High Discount"))</f>
        <v>Zero Discount</v>
      </c>
      <c r="N1242" t="str">
        <f t="shared" si="19"/>
        <v>0-10%</v>
      </c>
    </row>
    <row r="1243" spans="1:14">
      <c r="A1243" s="1">
        <v>45695</v>
      </c>
      <c r="B1243" t="s">
        <v>1305</v>
      </c>
      <c r="C1243" t="s">
        <v>53</v>
      </c>
      <c r="D1243" t="s">
        <v>59</v>
      </c>
      <c r="E1243">
        <v>1164.0999999999999</v>
      </c>
      <c r="F1243" t="s">
        <v>36</v>
      </c>
      <c r="G1243">
        <v>2743.63</v>
      </c>
      <c r="H1243">
        <v>1579.53</v>
      </c>
      <c r="I1243">
        <v>0</v>
      </c>
      <c r="J1243">
        <v>1</v>
      </c>
      <c r="K1243" t="str">
        <f>TEXT(discount_impact_on_profit_2000_rows[[#This Row],[order date]],"mmmm")</f>
        <v>February</v>
      </c>
      <c r="L1243">
        <f>YEAR(discount_impact_on_profit_2000_rows[[#This Row],[order date]])</f>
        <v>2025</v>
      </c>
      <c r="M1243" t="str">
        <f>IF(discount_impact_on_profit_2000_rows[[#This Row],[Discount %]]=0,"Zero Discount",IF(discount_impact_on_profit_2000_rows[[#This Row],[Discount %]]&lt;=10,"Low Discount","High Discount"))</f>
        <v>Zero Discount</v>
      </c>
      <c r="N1243" t="str">
        <f t="shared" si="19"/>
        <v>0-10%</v>
      </c>
    </row>
    <row r="1244" spans="1:14">
      <c r="A1244" s="1">
        <v>45213</v>
      </c>
      <c r="B1244" t="s">
        <v>1306</v>
      </c>
      <c r="C1244" t="s">
        <v>21</v>
      </c>
      <c r="D1244" t="s">
        <v>22</v>
      </c>
      <c r="E1244">
        <v>22246.09</v>
      </c>
      <c r="F1244" t="s">
        <v>13</v>
      </c>
      <c r="G1244">
        <v>22319.59</v>
      </c>
      <c r="H1244">
        <v>73.5</v>
      </c>
      <c r="I1244">
        <v>22</v>
      </c>
      <c r="J1244">
        <v>5</v>
      </c>
      <c r="K1244" t="str">
        <f>TEXT(discount_impact_on_profit_2000_rows[[#This Row],[order date]],"mmmm")</f>
        <v>October</v>
      </c>
      <c r="L1244">
        <f>YEAR(discount_impact_on_profit_2000_rows[[#This Row],[order date]])</f>
        <v>2023</v>
      </c>
      <c r="M1244" t="str">
        <f>IF(discount_impact_on_profit_2000_rows[[#This Row],[Discount %]]=0,"Zero Discount",IF(discount_impact_on_profit_2000_rows[[#This Row],[Discount %]]&lt;=10,"Low Discount","High Discount"))</f>
        <v>High Discount</v>
      </c>
      <c r="N1244" t="str">
        <f t="shared" si="19"/>
        <v>20-30%</v>
      </c>
    </row>
    <row r="1245" spans="1:14">
      <c r="A1245" s="1">
        <v>45364</v>
      </c>
      <c r="B1245" t="s">
        <v>1307</v>
      </c>
      <c r="C1245" t="s">
        <v>18</v>
      </c>
      <c r="D1245" t="s">
        <v>88</v>
      </c>
      <c r="E1245">
        <v>3122.32</v>
      </c>
      <c r="F1245" t="s">
        <v>31</v>
      </c>
      <c r="G1245">
        <v>4369.45</v>
      </c>
      <c r="H1245">
        <v>1247.1300000000001</v>
      </c>
      <c r="I1245">
        <v>10</v>
      </c>
      <c r="J1245">
        <v>5</v>
      </c>
      <c r="K1245" t="str">
        <f>TEXT(discount_impact_on_profit_2000_rows[[#This Row],[order date]],"mmmm")</f>
        <v>March</v>
      </c>
      <c r="L1245">
        <f>YEAR(discount_impact_on_profit_2000_rows[[#This Row],[order date]])</f>
        <v>2024</v>
      </c>
      <c r="M1245" t="str">
        <f>IF(discount_impact_on_profit_2000_rows[[#This Row],[Discount %]]=0,"Zero Discount",IF(discount_impact_on_profit_2000_rows[[#This Row],[Discount %]]&lt;=10,"Low Discount","High Discount"))</f>
        <v>Low Discount</v>
      </c>
      <c r="N1245" t="str">
        <f t="shared" si="19"/>
        <v>0-10%</v>
      </c>
    </row>
    <row r="1246" spans="1:14">
      <c r="A1246" s="1">
        <v>45095</v>
      </c>
      <c r="B1246" t="s">
        <v>1308</v>
      </c>
      <c r="C1246" t="s">
        <v>18</v>
      </c>
      <c r="D1246" t="s">
        <v>19</v>
      </c>
      <c r="E1246">
        <v>190.76</v>
      </c>
      <c r="F1246" t="s">
        <v>31</v>
      </c>
      <c r="G1246">
        <v>274.56</v>
      </c>
      <c r="H1246">
        <v>83.8</v>
      </c>
      <c r="I1246">
        <v>10</v>
      </c>
      <c r="J1246">
        <v>1</v>
      </c>
      <c r="K1246" t="str">
        <f>TEXT(discount_impact_on_profit_2000_rows[[#This Row],[order date]],"mmmm")</f>
        <v>June</v>
      </c>
      <c r="L1246">
        <f>YEAR(discount_impact_on_profit_2000_rows[[#This Row],[order date]])</f>
        <v>2023</v>
      </c>
      <c r="M1246" t="str">
        <f>IF(discount_impact_on_profit_2000_rows[[#This Row],[Discount %]]=0,"Zero Discount",IF(discount_impact_on_profit_2000_rows[[#This Row],[Discount %]]&lt;=10,"Low Discount","High Discount"))</f>
        <v>Low Discount</v>
      </c>
      <c r="N1246" t="str">
        <f t="shared" si="19"/>
        <v>0-10%</v>
      </c>
    </row>
    <row r="1247" spans="1:14">
      <c r="A1247" s="1">
        <v>45078</v>
      </c>
      <c r="B1247" t="s">
        <v>1309</v>
      </c>
      <c r="C1247" t="s">
        <v>33</v>
      </c>
      <c r="D1247" t="s">
        <v>273</v>
      </c>
      <c r="E1247">
        <v>15102.78</v>
      </c>
      <c r="F1247" t="s">
        <v>31</v>
      </c>
      <c r="G1247">
        <v>18183.77</v>
      </c>
      <c r="H1247">
        <v>3080.99</v>
      </c>
      <c r="I1247">
        <v>10</v>
      </c>
      <c r="J1247">
        <v>6</v>
      </c>
      <c r="K1247" t="str">
        <f>TEXT(discount_impact_on_profit_2000_rows[[#This Row],[order date]],"mmmm")</f>
        <v>June</v>
      </c>
      <c r="L1247">
        <f>YEAR(discount_impact_on_profit_2000_rows[[#This Row],[order date]])</f>
        <v>2023</v>
      </c>
      <c r="M1247" t="str">
        <f>IF(discount_impact_on_profit_2000_rows[[#This Row],[Discount %]]=0,"Zero Discount",IF(discount_impact_on_profit_2000_rows[[#This Row],[Discount %]]&lt;=10,"Low Discount","High Discount"))</f>
        <v>Low Discount</v>
      </c>
      <c r="N1247" t="str">
        <f t="shared" si="19"/>
        <v>0-10%</v>
      </c>
    </row>
    <row r="1248" spans="1:14">
      <c r="A1248" s="1">
        <v>45453</v>
      </c>
      <c r="B1248" t="s">
        <v>1310</v>
      </c>
      <c r="C1248" t="s">
        <v>15</v>
      </c>
      <c r="D1248" t="s">
        <v>99</v>
      </c>
      <c r="E1248">
        <v>3694.64</v>
      </c>
      <c r="F1248" t="s">
        <v>26</v>
      </c>
      <c r="G1248">
        <v>5093.6400000000003</v>
      </c>
      <c r="H1248">
        <v>1399</v>
      </c>
      <c r="I1248">
        <v>15</v>
      </c>
      <c r="J1248">
        <v>3</v>
      </c>
      <c r="K1248" t="str">
        <f>TEXT(discount_impact_on_profit_2000_rows[[#This Row],[order date]],"mmmm")</f>
        <v>June</v>
      </c>
      <c r="L1248">
        <f>YEAR(discount_impact_on_profit_2000_rows[[#This Row],[order date]])</f>
        <v>2024</v>
      </c>
      <c r="M1248" t="str">
        <f>IF(discount_impact_on_profit_2000_rows[[#This Row],[Discount %]]=0,"Zero Discount",IF(discount_impact_on_profit_2000_rows[[#This Row],[Discount %]]&lt;=10,"Low Discount","High Discount"))</f>
        <v>High Discount</v>
      </c>
      <c r="N1248" t="str">
        <f t="shared" si="19"/>
        <v>10-20%</v>
      </c>
    </row>
    <row r="1249" spans="1:14">
      <c r="A1249" s="1">
        <v>45863</v>
      </c>
      <c r="B1249" t="s">
        <v>1311</v>
      </c>
      <c r="C1249" t="s">
        <v>18</v>
      </c>
      <c r="D1249" t="s">
        <v>188</v>
      </c>
      <c r="E1249">
        <v>636.14</v>
      </c>
      <c r="F1249" t="s">
        <v>36</v>
      </c>
      <c r="G1249">
        <v>1092.33</v>
      </c>
      <c r="H1249">
        <v>456.19</v>
      </c>
      <c r="I1249">
        <v>5</v>
      </c>
      <c r="J1249">
        <v>2</v>
      </c>
      <c r="K1249" t="str">
        <f>TEXT(discount_impact_on_profit_2000_rows[[#This Row],[order date]],"mmmm")</f>
        <v>July</v>
      </c>
      <c r="L1249">
        <f>YEAR(discount_impact_on_profit_2000_rows[[#This Row],[order date]])</f>
        <v>2025</v>
      </c>
      <c r="M1249" t="str">
        <f>IF(discount_impact_on_profit_2000_rows[[#This Row],[Discount %]]=0,"Zero Discount",IF(discount_impact_on_profit_2000_rows[[#This Row],[Discount %]]&lt;=10,"Low Discount","High Discount"))</f>
        <v>Low Discount</v>
      </c>
      <c r="N1249" t="str">
        <f t="shared" si="19"/>
        <v>0-10%</v>
      </c>
    </row>
    <row r="1250" spans="1:14">
      <c r="A1250" s="1">
        <v>45410</v>
      </c>
      <c r="B1250" t="s">
        <v>1312</v>
      </c>
      <c r="C1250" t="s">
        <v>53</v>
      </c>
      <c r="D1250" t="s">
        <v>78</v>
      </c>
      <c r="E1250">
        <v>5929.9</v>
      </c>
      <c r="F1250" t="s">
        <v>31</v>
      </c>
      <c r="G1250">
        <v>10286.75</v>
      </c>
      <c r="H1250">
        <v>4356.8500000000004</v>
      </c>
      <c r="I1250">
        <v>0</v>
      </c>
      <c r="J1250">
        <v>2</v>
      </c>
      <c r="K1250" t="str">
        <f>TEXT(discount_impact_on_profit_2000_rows[[#This Row],[order date]],"mmmm")</f>
        <v>April</v>
      </c>
      <c r="L1250">
        <f>YEAR(discount_impact_on_profit_2000_rows[[#This Row],[order date]])</f>
        <v>2024</v>
      </c>
      <c r="M1250" t="str">
        <f>IF(discount_impact_on_profit_2000_rows[[#This Row],[Discount %]]=0,"Zero Discount",IF(discount_impact_on_profit_2000_rows[[#This Row],[Discount %]]&lt;=10,"Low Discount","High Discount"))</f>
        <v>Zero Discount</v>
      </c>
      <c r="N1250" t="str">
        <f t="shared" si="19"/>
        <v>0-10%</v>
      </c>
    </row>
    <row r="1251" spans="1:14">
      <c r="A1251" s="1">
        <v>45994</v>
      </c>
      <c r="B1251" t="s">
        <v>1313</v>
      </c>
      <c r="C1251" t="s">
        <v>18</v>
      </c>
      <c r="D1251" t="s">
        <v>140</v>
      </c>
      <c r="E1251">
        <v>218.18</v>
      </c>
      <c r="F1251" t="s">
        <v>31</v>
      </c>
      <c r="G1251">
        <v>414.37</v>
      </c>
      <c r="H1251">
        <v>196.19</v>
      </c>
      <c r="I1251">
        <v>20</v>
      </c>
      <c r="J1251">
        <v>1</v>
      </c>
      <c r="K1251" t="str">
        <f>TEXT(discount_impact_on_profit_2000_rows[[#This Row],[order date]],"mmmm")</f>
        <v>December</v>
      </c>
      <c r="L1251">
        <f>YEAR(discount_impact_on_profit_2000_rows[[#This Row],[order date]])</f>
        <v>2025</v>
      </c>
      <c r="M1251" t="str">
        <f>IF(discount_impact_on_profit_2000_rows[[#This Row],[Discount %]]=0,"Zero Discount",IF(discount_impact_on_profit_2000_rows[[#This Row],[Discount %]]&lt;=10,"Low Discount","High Discount"))</f>
        <v>High Discount</v>
      </c>
      <c r="N1251" t="str">
        <f t="shared" si="19"/>
        <v>10-20%</v>
      </c>
    </row>
    <row r="1252" spans="1:14">
      <c r="A1252" s="1">
        <v>45204</v>
      </c>
      <c r="B1252" t="s">
        <v>1314</v>
      </c>
      <c r="C1252" t="s">
        <v>53</v>
      </c>
      <c r="D1252" t="s">
        <v>113</v>
      </c>
      <c r="E1252">
        <v>10442.950000000001</v>
      </c>
      <c r="F1252" t="s">
        <v>23</v>
      </c>
      <c r="G1252">
        <v>17743.490000000002</v>
      </c>
      <c r="H1252">
        <v>7300.54</v>
      </c>
      <c r="I1252">
        <v>10</v>
      </c>
      <c r="J1252">
        <v>6</v>
      </c>
      <c r="K1252" t="str">
        <f>TEXT(discount_impact_on_profit_2000_rows[[#This Row],[order date]],"mmmm")</f>
        <v>October</v>
      </c>
      <c r="L1252">
        <f>YEAR(discount_impact_on_profit_2000_rows[[#This Row],[order date]])</f>
        <v>2023</v>
      </c>
      <c r="M1252" t="str">
        <f>IF(discount_impact_on_profit_2000_rows[[#This Row],[Discount %]]=0,"Zero Discount",IF(discount_impact_on_profit_2000_rows[[#This Row],[Discount %]]&lt;=10,"Low Discount","High Discount"))</f>
        <v>Low Discount</v>
      </c>
      <c r="N1252" t="str">
        <f t="shared" si="19"/>
        <v>0-10%</v>
      </c>
    </row>
    <row r="1253" spans="1:14">
      <c r="A1253" s="1">
        <v>45137</v>
      </c>
      <c r="B1253" t="s">
        <v>1315</v>
      </c>
      <c r="C1253" t="s">
        <v>21</v>
      </c>
      <c r="D1253" t="s">
        <v>82</v>
      </c>
      <c r="E1253">
        <v>7351.77</v>
      </c>
      <c r="F1253" t="s">
        <v>13</v>
      </c>
      <c r="G1253">
        <v>9265.41</v>
      </c>
      <c r="H1253">
        <v>1913.64</v>
      </c>
      <c r="I1253">
        <v>5</v>
      </c>
      <c r="J1253">
        <v>6</v>
      </c>
      <c r="K1253" t="str">
        <f>TEXT(discount_impact_on_profit_2000_rows[[#This Row],[order date]],"mmmm")</f>
        <v>July</v>
      </c>
      <c r="L1253">
        <f>YEAR(discount_impact_on_profit_2000_rows[[#This Row],[order date]])</f>
        <v>2023</v>
      </c>
      <c r="M1253" t="str">
        <f>IF(discount_impact_on_profit_2000_rows[[#This Row],[Discount %]]=0,"Zero Discount",IF(discount_impact_on_profit_2000_rows[[#This Row],[Discount %]]&lt;=10,"Low Discount","High Discount"))</f>
        <v>Low Discount</v>
      </c>
      <c r="N1253" t="str">
        <f t="shared" si="19"/>
        <v>0-10%</v>
      </c>
    </row>
    <row r="1254" spans="1:14">
      <c r="A1254" s="1">
        <v>45164</v>
      </c>
      <c r="B1254" t="s">
        <v>1316</v>
      </c>
      <c r="C1254" t="s">
        <v>53</v>
      </c>
      <c r="D1254" t="s">
        <v>78</v>
      </c>
      <c r="E1254">
        <v>1112.1400000000001</v>
      </c>
      <c r="F1254" t="s">
        <v>26</v>
      </c>
      <c r="G1254">
        <v>2562.33</v>
      </c>
      <c r="H1254">
        <v>1450.19</v>
      </c>
      <c r="I1254">
        <v>0</v>
      </c>
      <c r="J1254">
        <v>3</v>
      </c>
      <c r="K1254" t="str">
        <f>TEXT(discount_impact_on_profit_2000_rows[[#This Row],[order date]],"mmmm")</f>
        <v>August</v>
      </c>
      <c r="L1254">
        <f>YEAR(discount_impact_on_profit_2000_rows[[#This Row],[order date]])</f>
        <v>2023</v>
      </c>
      <c r="M1254" t="str">
        <f>IF(discount_impact_on_profit_2000_rows[[#This Row],[Discount %]]=0,"Zero Discount",IF(discount_impact_on_profit_2000_rows[[#This Row],[Discount %]]&lt;=10,"Low Discount","High Discount"))</f>
        <v>Zero Discount</v>
      </c>
      <c r="N1254" t="str">
        <f t="shared" si="19"/>
        <v>0-10%</v>
      </c>
    </row>
    <row r="1255" spans="1:14">
      <c r="A1255" s="1">
        <v>45376</v>
      </c>
      <c r="B1255" t="s">
        <v>1317</v>
      </c>
      <c r="C1255" t="s">
        <v>21</v>
      </c>
      <c r="D1255" t="s">
        <v>123</v>
      </c>
      <c r="E1255">
        <v>9551.89</v>
      </c>
      <c r="F1255" t="s">
        <v>13</v>
      </c>
      <c r="G1255">
        <v>12036.94</v>
      </c>
      <c r="H1255">
        <v>2485.0500000000002</v>
      </c>
      <c r="I1255">
        <v>15</v>
      </c>
      <c r="J1255">
        <v>2</v>
      </c>
      <c r="K1255" t="str">
        <f>TEXT(discount_impact_on_profit_2000_rows[[#This Row],[order date]],"mmmm")</f>
        <v>March</v>
      </c>
      <c r="L1255">
        <f>YEAR(discount_impact_on_profit_2000_rows[[#This Row],[order date]])</f>
        <v>2024</v>
      </c>
      <c r="M1255" t="str">
        <f>IF(discount_impact_on_profit_2000_rows[[#This Row],[Discount %]]=0,"Zero Discount",IF(discount_impact_on_profit_2000_rows[[#This Row],[Discount %]]&lt;=10,"Low Discount","High Discount"))</f>
        <v>High Discount</v>
      </c>
      <c r="N1255" t="str">
        <f t="shared" si="19"/>
        <v>10-20%</v>
      </c>
    </row>
    <row r="1256" spans="1:14">
      <c r="A1256" s="1">
        <v>45621</v>
      </c>
      <c r="B1256" t="s">
        <v>1318</v>
      </c>
      <c r="C1256" t="s">
        <v>15</v>
      </c>
      <c r="D1256" t="s">
        <v>28</v>
      </c>
      <c r="E1256">
        <v>7475.16</v>
      </c>
      <c r="F1256" t="s">
        <v>31</v>
      </c>
      <c r="G1256">
        <v>9787.81</v>
      </c>
      <c r="H1256">
        <v>2312.65</v>
      </c>
      <c r="I1256">
        <v>20</v>
      </c>
      <c r="J1256">
        <v>6</v>
      </c>
      <c r="K1256" t="str">
        <f>TEXT(discount_impact_on_profit_2000_rows[[#This Row],[order date]],"mmmm")</f>
        <v>November</v>
      </c>
      <c r="L1256">
        <f>YEAR(discount_impact_on_profit_2000_rows[[#This Row],[order date]])</f>
        <v>2024</v>
      </c>
      <c r="M1256" t="str">
        <f>IF(discount_impact_on_profit_2000_rows[[#This Row],[Discount %]]=0,"Zero Discount",IF(discount_impact_on_profit_2000_rows[[#This Row],[Discount %]]&lt;=10,"Low Discount","High Discount"))</f>
        <v>High Discount</v>
      </c>
      <c r="N1256" t="str">
        <f t="shared" si="19"/>
        <v>10-20%</v>
      </c>
    </row>
    <row r="1257" spans="1:14">
      <c r="A1257" s="1">
        <v>45085</v>
      </c>
      <c r="B1257" t="s">
        <v>1319</v>
      </c>
      <c r="C1257" t="s">
        <v>11</v>
      </c>
      <c r="D1257" t="s">
        <v>30</v>
      </c>
      <c r="E1257">
        <v>669.64</v>
      </c>
      <c r="F1257" t="s">
        <v>26</v>
      </c>
      <c r="G1257">
        <v>1350.59</v>
      </c>
      <c r="H1257">
        <v>680.95</v>
      </c>
      <c r="I1257">
        <v>15</v>
      </c>
      <c r="J1257">
        <v>1</v>
      </c>
      <c r="K1257" t="str">
        <f>TEXT(discount_impact_on_profit_2000_rows[[#This Row],[order date]],"mmmm")</f>
        <v>June</v>
      </c>
      <c r="L1257">
        <f>YEAR(discount_impact_on_profit_2000_rows[[#This Row],[order date]])</f>
        <v>2023</v>
      </c>
      <c r="M1257" t="str">
        <f>IF(discount_impact_on_profit_2000_rows[[#This Row],[Discount %]]=0,"Zero Discount",IF(discount_impact_on_profit_2000_rows[[#This Row],[Discount %]]&lt;=10,"Low Discount","High Discount"))</f>
        <v>High Discount</v>
      </c>
      <c r="N1257" t="str">
        <f t="shared" si="19"/>
        <v>10-20%</v>
      </c>
    </row>
    <row r="1258" spans="1:14">
      <c r="A1258" s="1">
        <v>45347</v>
      </c>
      <c r="B1258" t="s">
        <v>1320</v>
      </c>
      <c r="C1258" t="s">
        <v>21</v>
      </c>
      <c r="D1258" t="s">
        <v>22</v>
      </c>
      <c r="E1258">
        <v>1375.66</v>
      </c>
      <c r="F1258" t="s">
        <v>13</v>
      </c>
      <c r="G1258">
        <v>1498.77</v>
      </c>
      <c r="H1258">
        <v>123.11</v>
      </c>
      <c r="I1258">
        <v>10</v>
      </c>
      <c r="J1258">
        <v>1</v>
      </c>
      <c r="K1258" t="str">
        <f>TEXT(discount_impact_on_profit_2000_rows[[#This Row],[order date]],"mmmm")</f>
        <v>February</v>
      </c>
      <c r="L1258">
        <f>YEAR(discount_impact_on_profit_2000_rows[[#This Row],[order date]])</f>
        <v>2024</v>
      </c>
      <c r="M1258" t="str">
        <f>IF(discount_impact_on_profit_2000_rows[[#This Row],[Discount %]]=0,"Zero Discount",IF(discount_impact_on_profit_2000_rows[[#This Row],[Discount %]]&lt;=10,"Low Discount","High Discount"))</f>
        <v>Low Discount</v>
      </c>
      <c r="N1258" t="str">
        <f t="shared" si="19"/>
        <v>0-10%</v>
      </c>
    </row>
    <row r="1259" spans="1:14">
      <c r="A1259" s="1">
        <v>44968</v>
      </c>
      <c r="B1259" t="s">
        <v>1321</v>
      </c>
      <c r="C1259" t="s">
        <v>33</v>
      </c>
      <c r="D1259" t="s">
        <v>34</v>
      </c>
      <c r="E1259">
        <v>15782.56</v>
      </c>
      <c r="F1259" t="s">
        <v>26</v>
      </c>
      <c r="G1259">
        <v>18346.03</v>
      </c>
      <c r="H1259">
        <v>2563.4699999999998</v>
      </c>
      <c r="I1259">
        <v>15</v>
      </c>
      <c r="J1259">
        <v>2</v>
      </c>
      <c r="K1259" t="str">
        <f>TEXT(discount_impact_on_profit_2000_rows[[#This Row],[order date]],"mmmm")</f>
        <v>February</v>
      </c>
      <c r="L1259">
        <f>YEAR(discount_impact_on_profit_2000_rows[[#This Row],[order date]])</f>
        <v>2023</v>
      </c>
      <c r="M1259" t="str">
        <f>IF(discount_impact_on_profit_2000_rows[[#This Row],[Discount %]]=0,"Zero Discount",IF(discount_impact_on_profit_2000_rows[[#This Row],[Discount %]]&lt;=10,"Low Discount","High Discount"))</f>
        <v>High Discount</v>
      </c>
      <c r="N1259" t="str">
        <f t="shared" si="19"/>
        <v>10-20%</v>
      </c>
    </row>
    <row r="1260" spans="1:14">
      <c r="A1260" s="1">
        <v>44962</v>
      </c>
      <c r="B1260" t="s">
        <v>1322</v>
      </c>
      <c r="C1260" t="s">
        <v>21</v>
      </c>
      <c r="D1260" t="s">
        <v>57</v>
      </c>
      <c r="E1260">
        <v>31171.46</v>
      </c>
      <c r="F1260" t="s">
        <v>31</v>
      </c>
      <c r="G1260">
        <v>37228.28</v>
      </c>
      <c r="H1260">
        <v>6056.82</v>
      </c>
      <c r="I1260">
        <v>15</v>
      </c>
      <c r="J1260">
        <v>2</v>
      </c>
      <c r="K1260" t="str">
        <f>TEXT(discount_impact_on_profit_2000_rows[[#This Row],[order date]],"mmmm")</f>
        <v>February</v>
      </c>
      <c r="L1260">
        <f>YEAR(discount_impact_on_profit_2000_rows[[#This Row],[order date]])</f>
        <v>2023</v>
      </c>
      <c r="M1260" t="str">
        <f>IF(discount_impact_on_profit_2000_rows[[#This Row],[Discount %]]=0,"Zero Discount",IF(discount_impact_on_profit_2000_rows[[#This Row],[Discount %]]&lt;=10,"Low Discount","High Discount"))</f>
        <v>High Discount</v>
      </c>
      <c r="N1260" t="str">
        <f t="shared" si="19"/>
        <v>10-20%</v>
      </c>
    </row>
    <row r="1261" spans="1:14">
      <c r="A1261" s="1">
        <v>45526</v>
      </c>
      <c r="B1261" t="s">
        <v>1323</v>
      </c>
      <c r="C1261" t="s">
        <v>15</v>
      </c>
      <c r="D1261" t="s">
        <v>99</v>
      </c>
      <c r="E1261">
        <v>6750.36</v>
      </c>
      <c r="F1261" t="s">
        <v>31</v>
      </c>
      <c r="G1261">
        <v>6907.59</v>
      </c>
      <c r="H1261">
        <v>157.22999999999999</v>
      </c>
      <c r="I1261">
        <v>25</v>
      </c>
      <c r="J1261">
        <v>2</v>
      </c>
      <c r="K1261" t="str">
        <f>TEXT(discount_impact_on_profit_2000_rows[[#This Row],[order date]],"mmmm")</f>
        <v>August</v>
      </c>
      <c r="L1261">
        <f>YEAR(discount_impact_on_profit_2000_rows[[#This Row],[order date]])</f>
        <v>2024</v>
      </c>
      <c r="M1261" t="str">
        <f>IF(discount_impact_on_profit_2000_rows[[#This Row],[Discount %]]=0,"Zero Discount",IF(discount_impact_on_profit_2000_rows[[#This Row],[Discount %]]&lt;=10,"Low Discount","High Discount"))</f>
        <v>High Discount</v>
      </c>
      <c r="N1261" t="str">
        <f t="shared" si="19"/>
        <v>20-30%</v>
      </c>
    </row>
    <row r="1262" spans="1:14">
      <c r="A1262" s="1">
        <v>45041</v>
      </c>
      <c r="B1262" t="s">
        <v>1324</v>
      </c>
      <c r="C1262" t="s">
        <v>33</v>
      </c>
      <c r="D1262" t="s">
        <v>44</v>
      </c>
      <c r="E1262">
        <v>71985.62</v>
      </c>
      <c r="F1262" t="s">
        <v>13</v>
      </c>
      <c r="G1262">
        <v>98415.360000000001</v>
      </c>
      <c r="H1262">
        <v>26429.74</v>
      </c>
      <c r="I1262">
        <v>10</v>
      </c>
      <c r="J1262">
        <v>6</v>
      </c>
      <c r="K1262" t="str">
        <f>TEXT(discount_impact_on_profit_2000_rows[[#This Row],[order date]],"mmmm")</f>
        <v>April</v>
      </c>
      <c r="L1262">
        <f>YEAR(discount_impact_on_profit_2000_rows[[#This Row],[order date]])</f>
        <v>2023</v>
      </c>
      <c r="M1262" t="str">
        <f>IF(discount_impact_on_profit_2000_rows[[#This Row],[Discount %]]=0,"Zero Discount",IF(discount_impact_on_profit_2000_rows[[#This Row],[Discount %]]&lt;=10,"Low Discount","High Discount"))</f>
        <v>Low Discount</v>
      </c>
      <c r="N1262" t="str">
        <f t="shared" si="19"/>
        <v>0-10%</v>
      </c>
    </row>
    <row r="1263" spans="1:14">
      <c r="A1263" s="1">
        <v>45009</v>
      </c>
      <c r="B1263" t="s">
        <v>1325</v>
      </c>
      <c r="C1263" t="s">
        <v>18</v>
      </c>
      <c r="D1263" t="s">
        <v>140</v>
      </c>
      <c r="E1263">
        <v>157.80000000000001</v>
      </c>
      <c r="F1263" t="s">
        <v>36</v>
      </c>
      <c r="G1263">
        <v>252.06</v>
      </c>
      <c r="H1263">
        <v>94.26</v>
      </c>
      <c r="I1263">
        <v>0</v>
      </c>
      <c r="J1263">
        <v>3</v>
      </c>
      <c r="K1263" t="str">
        <f>TEXT(discount_impact_on_profit_2000_rows[[#This Row],[order date]],"mmmm")</f>
        <v>March</v>
      </c>
      <c r="L1263">
        <f>YEAR(discount_impact_on_profit_2000_rows[[#This Row],[order date]])</f>
        <v>2023</v>
      </c>
      <c r="M1263" t="str">
        <f>IF(discount_impact_on_profit_2000_rows[[#This Row],[Discount %]]=0,"Zero Discount",IF(discount_impact_on_profit_2000_rows[[#This Row],[Discount %]]&lt;=10,"Low Discount","High Discount"))</f>
        <v>Zero Discount</v>
      </c>
      <c r="N1263" t="str">
        <f t="shared" si="19"/>
        <v>0-10%</v>
      </c>
    </row>
    <row r="1264" spans="1:14">
      <c r="A1264" s="1">
        <v>45676</v>
      </c>
      <c r="B1264" t="s">
        <v>1326</v>
      </c>
      <c r="C1264" t="s">
        <v>15</v>
      </c>
      <c r="D1264" t="s">
        <v>99</v>
      </c>
      <c r="E1264">
        <v>1555.35</v>
      </c>
      <c r="F1264" t="s">
        <v>23</v>
      </c>
      <c r="G1264">
        <v>2064.6</v>
      </c>
      <c r="H1264">
        <v>509.25</v>
      </c>
      <c r="I1264">
        <v>10</v>
      </c>
      <c r="J1264">
        <v>1</v>
      </c>
      <c r="K1264" t="str">
        <f>TEXT(discount_impact_on_profit_2000_rows[[#This Row],[order date]],"mmmm")</f>
        <v>January</v>
      </c>
      <c r="L1264">
        <f>YEAR(discount_impact_on_profit_2000_rows[[#This Row],[order date]])</f>
        <v>2025</v>
      </c>
      <c r="M1264" t="str">
        <f>IF(discount_impact_on_profit_2000_rows[[#This Row],[Discount %]]=0,"Zero Discount",IF(discount_impact_on_profit_2000_rows[[#This Row],[Discount %]]&lt;=10,"Low Discount","High Discount"))</f>
        <v>Low Discount</v>
      </c>
      <c r="N1264" t="str">
        <f t="shared" si="19"/>
        <v>0-10%</v>
      </c>
    </row>
    <row r="1265" spans="1:14">
      <c r="A1265" s="1">
        <v>45767</v>
      </c>
      <c r="B1265" t="s">
        <v>1327</v>
      </c>
      <c r="C1265" t="s">
        <v>11</v>
      </c>
      <c r="D1265" t="s">
        <v>207</v>
      </c>
      <c r="E1265">
        <v>4629.6000000000004</v>
      </c>
      <c r="F1265" t="s">
        <v>36</v>
      </c>
      <c r="G1265">
        <v>6749.19</v>
      </c>
      <c r="H1265">
        <v>2119.59</v>
      </c>
      <c r="I1265">
        <v>10</v>
      </c>
      <c r="J1265">
        <v>5</v>
      </c>
      <c r="K1265" t="str">
        <f>TEXT(discount_impact_on_profit_2000_rows[[#This Row],[order date]],"mmmm")</f>
        <v>April</v>
      </c>
      <c r="L1265">
        <f>YEAR(discount_impact_on_profit_2000_rows[[#This Row],[order date]])</f>
        <v>2025</v>
      </c>
      <c r="M1265" t="str">
        <f>IF(discount_impact_on_profit_2000_rows[[#This Row],[Discount %]]=0,"Zero Discount",IF(discount_impact_on_profit_2000_rows[[#This Row],[Discount %]]&lt;=10,"Low Discount","High Discount"))</f>
        <v>Low Discount</v>
      </c>
      <c r="N1265" t="str">
        <f t="shared" si="19"/>
        <v>0-10%</v>
      </c>
    </row>
    <row r="1266" spans="1:14">
      <c r="A1266" s="1">
        <v>45375</v>
      </c>
      <c r="B1266" t="s">
        <v>1328</v>
      </c>
      <c r="C1266" t="s">
        <v>21</v>
      </c>
      <c r="D1266" t="s">
        <v>109</v>
      </c>
      <c r="E1266">
        <v>8537.85</v>
      </c>
      <c r="F1266" t="s">
        <v>31</v>
      </c>
      <c r="G1266">
        <v>9728.6200000000008</v>
      </c>
      <c r="H1266">
        <v>1190.77</v>
      </c>
      <c r="I1266">
        <v>10</v>
      </c>
      <c r="J1266">
        <v>2</v>
      </c>
      <c r="K1266" t="str">
        <f>TEXT(discount_impact_on_profit_2000_rows[[#This Row],[order date]],"mmmm")</f>
        <v>March</v>
      </c>
      <c r="L1266">
        <f>YEAR(discount_impact_on_profit_2000_rows[[#This Row],[order date]])</f>
        <v>2024</v>
      </c>
      <c r="M1266" t="str">
        <f>IF(discount_impact_on_profit_2000_rows[[#This Row],[Discount %]]=0,"Zero Discount",IF(discount_impact_on_profit_2000_rows[[#This Row],[Discount %]]&lt;=10,"Low Discount","High Discount"))</f>
        <v>Low Discount</v>
      </c>
      <c r="N1266" t="str">
        <f t="shared" si="19"/>
        <v>0-10%</v>
      </c>
    </row>
    <row r="1267" spans="1:14">
      <c r="A1267" s="1">
        <v>45073</v>
      </c>
      <c r="B1267" t="s">
        <v>1329</v>
      </c>
      <c r="C1267" t="s">
        <v>18</v>
      </c>
      <c r="D1267" t="s">
        <v>188</v>
      </c>
      <c r="E1267">
        <v>342.78</v>
      </c>
      <c r="F1267" t="s">
        <v>26</v>
      </c>
      <c r="G1267">
        <v>603.01</v>
      </c>
      <c r="H1267">
        <v>260.23</v>
      </c>
      <c r="I1267">
        <v>10</v>
      </c>
      <c r="J1267">
        <v>1</v>
      </c>
      <c r="K1267" t="str">
        <f>TEXT(discount_impact_on_profit_2000_rows[[#This Row],[order date]],"mmmm")</f>
        <v>May</v>
      </c>
      <c r="L1267">
        <f>YEAR(discount_impact_on_profit_2000_rows[[#This Row],[order date]])</f>
        <v>2023</v>
      </c>
      <c r="M1267" t="str">
        <f>IF(discount_impact_on_profit_2000_rows[[#This Row],[Discount %]]=0,"Zero Discount",IF(discount_impact_on_profit_2000_rows[[#This Row],[Discount %]]&lt;=10,"Low Discount","High Discount"))</f>
        <v>Low Discount</v>
      </c>
      <c r="N1267" t="str">
        <f t="shared" si="19"/>
        <v>0-10%</v>
      </c>
    </row>
    <row r="1268" spans="1:14">
      <c r="A1268" s="1">
        <v>45844</v>
      </c>
      <c r="B1268" t="s">
        <v>1330</v>
      </c>
      <c r="C1268" t="s">
        <v>21</v>
      </c>
      <c r="D1268" t="s">
        <v>82</v>
      </c>
      <c r="E1268">
        <v>2994.91</v>
      </c>
      <c r="F1268" t="s">
        <v>36</v>
      </c>
      <c r="G1268">
        <v>3725.46</v>
      </c>
      <c r="H1268">
        <v>730.55</v>
      </c>
      <c r="I1268">
        <v>5</v>
      </c>
      <c r="J1268">
        <v>2</v>
      </c>
      <c r="K1268" t="str">
        <f>TEXT(discount_impact_on_profit_2000_rows[[#This Row],[order date]],"mmmm")</f>
        <v>July</v>
      </c>
      <c r="L1268">
        <f>YEAR(discount_impact_on_profit_2000_rows[[#This Row],[order date]])</f>
        <v>2025</v>
      </c>
      <c r="M1268" t="str">
        <f>IF(discount_impact_on_profit_2000_rows[[#This Row],[Discount %]]=0,"Zero Discount",IF(discount_impact_on_profit_2000_rows[[#This Row],[Discount %]]&lt;=10,"Low Discount","High Discount"))</f>
        <v>Low Discount</v>
      </c>
      <c r="N1268" t="str">
        <f t="shared" si="19"/>
        <v>0-10%</v>
      </c>
    </row>
    <row r="1269" spans="1:14">
      <c r="A1269" s="1">
        <v>46012</v>
      </c>
      <c r="B1269" t="s">
        <v>1331</v>
      </c>
      <c r="C1269" t="s">
        <v>21</v>
      </c>
      <c r="D1269" t="s">
        <v>97</v>
      </c>
      <c r="E1269">
        <v>50317.49</v>
      </c>
      <c r="F1269" t="s">
        <v>36</v>
      </c>
      <c r="G1269">
        <v>58994.84</v>
      </c>
      <c r="H1269">
        <v>8677.35</v>
      </c>
      <c r="I1269">
        <v>15</v>
      </c>
      <c r="J1269">
        <v>3</v>
      </c>
      <c r="K1269" t="str">
        <f>TEXT(discount_impact_on_profit_2000_rows[[#This Row],[order date]],"mmmm")</f>
        <v>December</v>
      </c>
      <c r="L1269">
        <f>YEAR(discount_impact_on_profit_2000_rows[[#This Row],[order date]])</f>
        <v>2025</v>
      </c>
      <c r="M1269" t="str">
        <f>IF(discount_impact_on_profit_2000_rows[[#This Row],[Discount %]]=0,"Zero Discount",IF(discount_impact_on_profit_2000_rows[[#This Row],[Discount %]]&lt;=10,"Low Discount","High Discount"))</f>
        <v>High Discount</v>
      </c>
      <c r="N1269" t="str">
        <f t="shared" si="19"/>
        <v>10-20%</v>
      </c>
    </row>
    <row r="1270" spans="1:14">
      <c r="A1270" s="1">
        <v>45533</v>
      </c>
      <c r="B1270" t="s">
        <v>1332</v>
      </c>
      <c r="C1270" t="s">
        <v>21</v>
      </c>
      <c r="D1270" t="s">
        <v>97</v>
      </c>
      <c r="E1270">
        <v>20885.259999999998</v>
      </c>
      <c r="F1270" t="s">
        <v>36</v>
      </c>
      <c r="G1270">
        <v>21931.48</v>
      </c>
      <c r="H1270">
        <v>1046.22</v>
      </c>
      <c r="I1270">
        <v>10</v>
      </c>
      <c r="J1270">
        <v>3</v>
      </c>
      <c r="K1270" t="str">
        <f>TEXT(discount_impact_on_profit_2000_rows[[#This Row],[order date]],"mmmm")</f>
        <v>August</v>
      </c>
      <c r="L1270">
        <f>YEAR(discount_impact_on_profit_2000_rows[[#This Row],[order date]])</f>
        <v>2024</v>
      </c>
      <c r="M1270" t="str">
        <f>IF(discount_impact_on_profit_2000_rows[[#This Row],[Discount %]]=0,"Zero Discount",IF(discount_impact_on_profit_2000_rows[[#This Row],[Discount %]]&lt;=10,"Low Discount","High Discount"))</f>
        <v>Low Discount</v>
      </c>
      <c r="N1270" t="str">
        <f t="shared" si="19"/>
        <v>0-10%</v>
      </c>
    </row>
    <row r="1271" spans="1:14">
      <c r="A1271" s="1">
        <v>45376</v>
      </c>
      <c r="B1271" t="s">
        <v>1333</v>
      </c>
      <c r="C1271" t="s">
        <v>15</v>
      </c>
      <c r="D1271" t="s">
        <v>16</v>
      </c>
      <c r="E1271">
        <v>2090.61</v>
      </c>
      <c r="F1271" t="s">
        <v>31</v>
      </c>
      <c r="G1271">
        <v>2412.0500000000002</v>
      </c>
      <c r="H1271">
        <v>321.44</v>
      </c>
      <c r="I1271">
        <v>25</v>
      </c>
      <c r="J1271">
        <v>2</v>
      </c>
      <c r="K1271" t="str">
        <f>TEXT(discount_impact_on_profit_2000_rows[[#This Row],[order date]],"mmmm")</f>
        <v>March</v>
      </c>
      <c r="L1271">
        <f>YEAR(discount_impact_on_profit_2000_rows[[#This Row],[order date]])</f>
        <v>2024</v>
      </c>
      <c r="M1271" t="str">
        <f>IF(discount_impact_on_profit_2000_rows[[#This Row],[Discount %]]=0,"Zero Discount",IF(discount_impact_on_profit_2000_rows[[#This Row],[Discount %]]&lt;=10,"Low Discount","High Discount"))</f>
        <v>High Discount</v>
      </c>
      <c r="N1271" t="str">
        <f t="shared" si="19"/>
        <v>20-30%</v>
      </c>
    </row>
    <row r="1272" spans="1:14">
      <c r="A1272" s="1">
        <v>46009</v>
      </c>
      <c r="B1272" t="s">
        <v>1334</v>
      </c>
      <c r="C1272" t="s">
        <v>18</v>
      </c>
      <c r="D1272" t="s">
        <v>50</v>
      </c>
      <c r="E1272">
        <v>4596.53</v>
      </c>
      <c r="F1272" t="s">
        <v>31</v>
      </c>
      <c r="G1272">
        <v>7149.02</v>
      </c>
      <c r="H1272">
        <v>2552.4899999999998</v>
      </c>
      <c r="I1272">
        <v>0</v>
      </c>
      <c r="J1272">
        <v>10</v>
      </c>
      <c r="K1272" t="str">
        <f>TEXT(discount_impact_on_profit_2000_rows[[#This Row],[order date]],"mmmm")</f>
        <v>December</v>
      </c>
      <c r="L1272">
        <f>YEAR(discount_impact_on_profit_2000_rows[[#This Row],[order date]])</f>
        <v>2025</v>
      </c>
      <c r="M1272" t="str">
        <f>IF(discount_impact_on_profit_2000_rows[[#This Row],[Discount %]]=0,"Zero Discount",IF(discount_impact_on_profit_2000_rows[[#This Row],[Discount %]]&lt;=10,"Low Discount","High Discount"))</f>
        <v>Zero Discount</v>
      </c>
      <c r="N1272" t="str">
        <f t="shared" si="19"/>
        <v>0-10%</v>
      </c>
    </row>
    <row r="1273" spans="1:14">
      <c r="A1273" s="1">
        <v>44928</v>
      </c>
      <c r="B1273" t="s">
        <v>1335</v>
      </c>
      <c r="C1273" t="s">
        <v>33</v>
      </c>
      <c r="D1273" t="s">
        <v>203</v>
      </c>
      <c r="E1273">
        <v>2432.0500000000002</v>
      </c>
      <c r="F1273" t="s">
        <v>26</v>
      </c>
      <c r="G1273">
        <v>3846.95</v>
      </c>
      <c r="H1273">
        <v>1414.9</v>
      </c>
      <c r="I1273">
        <v>0</v>
      </c>
      <c r="J1273">
        <v>1</v>
      </c>
      <c r="K1273" t="str">
        <f>TEXT(discount_impact_on_profit_2000_rows[[#This Row],[order date]],"mmmm")</f>
        <v>January</v>
      </c>
      <c r="L1273">
        <f>YEAR(discount_impact_on_profit_2000_rows[[#This Row],[order date]])</f>
        <v>2023</v>
      </c>
      <c r="M1273" t="str">
        <f>IF(discount_impact_on_profit_2000_rows[[#This Row],[Discount %]]=0,"Zero Discount",IF(discount_impact_on_profit_2000_rows[[#This Row],[Discount %]]&lt;=10,"Low Discount","High Discount"))</f>
        <v>Zero Discount</v>
      </c>
      <c r="N1273" t="str">
        <f t="shared" si="19"/>
        <v>0-10%</v>
      </c>
    </row>
    <row r="1274" spans="1:14">
      <c r="A1274" s="1">
        <v>45544</v>
      </c>
      <c r="B1274" t="s">
        <v>1336</v>
      </c>
      <c r="C1274" t="s">
        <v>33</v>
      </c>
      <c r="D1274" t="s">
        <v>273</v>
      </c>
      <c r="E1274">
        <v>5131.6499999999996</v>
      </c>
      <c r="F1274" t="s">
        <v>31</v>
      </c>
      <c r="G1274">
        <v>7892.62</v>
      </c>
      <c r="H1274">
        <v>2760.97</v>
      </c>
      <c r="I1274">
        <v>10</v>
      </c>
      <c r="J1274">
        <v>2</v>
      </c>
      <c r="K1274" t="str">
        <f>TEXT(discount_impact_on_profit_2000_rows[[#This Row],[order date]],"mmmm")</f>
        <v>September</v>
      </c>
      <c r="L1274">
        <f>YEAR(discount_impact_on_profit_2000_rows[[#This Row],[order date]])</f>
        <v>2024</v>
      </c>
      <c r="M1274" t="str">
        <f>IF(discount_impact_on_profit_2000_rows[[#This Row],[Discount %]]=0,"Zero Discount",IF(discount_impact_on_profit_2000_rows[[#This Row],[Discount %]]&lt;=10,"Low Discount","High Discount"))</f>
        <v>Low Discount</v>
      </c>
      <c r="N1274" t="str">
        <f t="shared" si="19"/>
        <v>0-10%</v>
      </c>
    </row>
    <row r="1275" spans="1:14">
      <c r="A1275" s="1">
        <v>45176</v>
      </c>
      <c r="B1275" t="s">
        <v>1337</v>
      </c>
      <c r="C1275" t="s">
        <v>53</v>
      </c>
      <c r="D1275" t="s">
        <v>70</v>
      </c>
      <c r="E1275">
        <v>2522.19</v>
      </c>
      <c r="F1275" t="s">
        <v>23</v>
      </c>
      <c r="G1275">
        <v>4367.38</v>
      </c>
      <c r="H1275">
        <v>1845.19</v>
      </c>
      <c r="I1275">
        <v>15</v>
      </c>
      <c r="J1275">
        <v>2</v>
      </c>
      <c r="K1275" t="str">
        <f>TEXT(discount_impact_on_profit_2000_rows[[#This Row],[order date]],"mmmm")</f>
        <v>September</v>
      </c>
      <c r="L1275">
        <f>YEAR(discount_impact_on_profit_2000_rows[[#This Row],[order date]])</f>
        <v>2023</v>
      </c>
      <c r="M1275" t="str">
        <f>IF(discount_impact_on_profit_2000_rows[[#This Row],[Discount %]]=0,"Zero Discount",IF(discount_impact_on_profit_2000_rows[[#This Row],[Discount %]]&lt;=10,"Low Discount","High Discount"))</f>
        <v>High Discount</v>
      </c>
      <c r="N1275" t="str">
        <f t="shared" si="19"/>
        <v>10-20%</v>
      </c>
    </row>
    <row r="1276" spans="1:14">
      <c r="A1276" s="1">
        <v>45893</v>
      </c>
      <c r="B1276" t="s">
        <v>1338</v>
      </c>
      <c r="C1276" t="s">
        <v>11</v>
      </c>
      <c r="D1276" t="s">
        <v>64</v>
      </c>
      <c r="E1276">
        <v>7143.68</v>
      </c>
      <c r="F1276" t="s">
        <v>26</v>
      </c>
      <c r="G1276">
        <v>11096.39</v>
      </c>
      <c r="H1276">
        <v>3952.71</v>
      </c>
      <c r="I1276">
        <v>10</v>
      </c>
      <c r="J1276">
        <v>8</v>
      </c>
      <c r="K1276" t="str">
        <f>TEXT(discount_impact_on_profit_2000_rows[[#This Row],[order date]],"mmmm")</f>
        <v>August</v>
      </c>
      <c r="L1276">
        <f>YEAR(discount_impact_on_profit_2000_rows[[#This Row],[order date]])</f>
        <v>2025</v>
      </c>
      <c r="M1276" t="str">
        <f>IF(discount_impact_on_profit_2000_rows[[#This Row],[Discount %]]=0,"Zero Discount",IF(discount_impact_on_profit_2000_rows[[#This Row],[Discount %]]&lt;=10,"Low Discount","High Discount"))</f>
        <v>Low Discount</v>
      </c>
      <c r="N1276" t="str">
        <f t="shared" si="19"/>
        <v>0-10%</v>
      </c>
    </row>
    <row r="1277" spans="1:14">
      <c r="A1277" s="1">
        <v>45036</v>
      </c>
      <c r="B1277" t="s">
        <v>1339</v>
      </c>
      <c r="C1277" t="s">
        <v>21</v>
      </c>
      <c r="D1277" t="s">
        <v>22</v>
      </c>
      <c r="E1277">
        <v>3326.35</v>
      </c>
      <c r="F1277" t="s">
        <v>36</v>
      </c>
      <c r="G1277">
        <v>3692.62</v>
      </c>
      <c r="H1277">
        <v>366.27</v>
      </c>
      <c r="I1277">
        <v>15</v>
      </c>
      <c r="J1277">
        <v>2</v>
      </c>
      <c r="K1277" t="str">
        <f>TEXT(discount_impact_on_profit_2000_rows[[#This Row],[order date]],"mmmm")</f>
        <v>April</v>
      </c>
      <c r="L1277">
        <f>YEAR(discount_impact_on_profit_2000_rows[[#This Row],[order date]])</f>
        <v>2023</v>
      </c>
      <c r="M1277" t="str">
        <f>IF(discount_impact_on_profit_2000_rows[[#This Row],[Discount %]]=0,"Zero Discount",IF(discount_impact_on_profit_2000_rows[[#This Row],[Discount %]]&lt;=10,"Low Discount","High Discount"))</f>
        <v>High Discount</v>
      </c>
      <c r="N1277" t="str">
        <f t="shared" si="19"/>
        <v>10-20%</v>
      </c>
    </row>
    <row r="1278" spans="1:14">
      <c r="A1278" s="1">
        <v>45178</v>
      </c>
      <c r="B1278" t="s">
        <v>1340</v>
      </c>
      <c r="C1278" t="s">
        <v>18</v>
      </c>
      <c r="D1278" t="s">
        <v>42</v>
      </c>
      <c r="E1278">
        <v>518.52</v>
      </c>
      <c r="F1278" t="s">
        <v>23</v>
      </c>
      <c r="G1278">
        <v>773.71</v>
      </c>
      <c r="H1278">
        <v>255.19</v>
      </c>
      <c r="I1278">
        <v>30</v>
      </c>
      <c r="J1278">
        <v>5</v>
      </c>
      <c r="K1278" t="str">
        <f>TEXT(discount_impact_on_profit_2000_rows[[#This Row],[order date]],"mmmm")</f>
        <v>September</v>
      </c>
      <c r="L1278">
        <f>YEAR(discount_impact_on_profit_2000_rows[[#This Row],[order date]])</f>
        <v>2023</v>
      </c>
      <c r="M1278" t="str">
        <f>IF(discount_impact_on_profit_2000_rows[[#This Row],[Discount %]]=0,"Zero Discount",IF(discount_impact_on_profit_2000_rows[[#This Row],[Discount %]]&lt;=10,"Low Discount","High Discount"))</f>
        <v>High Discount</v>
      </c>
      <c r="N1278" t="str">
        <f t="shared" si="19"/>
        <v>20-30%</v>
      </c>
    </row>
    <row r="1279" spans="1:14">
      <c r="A1279" s="1">
        <v>45765</v>
      </c>
      <c r="B1279" t="s">
        <v>1341</v>
      </c>
      <c r="C1279" t="s">
        <v>53</v>
      </c>
      <c r="D1279" t="s">
        <v>113</v>
      </c>
      <c r="E1279">
        <v>2967.45</v>
      </c>
      <c r="F1279" t="s">
        <v>26</v>
      </c>
      <c r="G1279">
        <v>4272.54</v>
      </c>
      <c r="H1279">
        <v>1305.0899999999999</v>
      </c>
      <c r="I1279">
        <v>25</v>
      </c>
      <c r="J1279">
        <v>1</v>
      </c>
      <c r="K1279" t="str">
        <f>TEXT(discount_impact_on_profit_2000_rows[[#This Row],[order date]],"mmmm")</f>
        <v>April</v>
      </c>
      <c r="L1279">
        <f>YEAR(discount_impact_on_profit_2000_rows[[#This Row],[order date]])</f>
        <v>2025</v>
      </c>
      <c r="M1279" t="str">
        <f>IF(discount_impact_on_profit_2000_rows[[#This Row],[Discount %]]=0,"Zero Discount",IF(discount_impact_on_profit_2000_rows[[#This Row],[Discount %]]&lt;=10,"Low Discount","High Discount"))</f>
        <v>High Discount</v>
      </c>
      <c r="N1279" t="str">
        <f t="shared" si="19"/>
        <v>20-30%</v>
      </c>
    </row>
    <row r="1280" spans="1:14">
      <c r="A1280" s="1">
        <v>45545</v>
      </c>
      <c r="B1280" t="s">
        <v>1342</v>
      </c>
      <c r="C1280" t="s">
        <v>53</v>
      </c>
      <c r="D1280" t="s">
        <v>78</v>
      </c>
      <c r="E1280">
        <v>4388.6099999999997</v>
      </c>
      <c r="F1280" t="s">
        <v>31</v>
      </c>
      <c r="G1280">
        <v>5823.75</v>
      </c>
      <c r="H1280">
        <v>1435.14</v>
      </c>
      <c r="I1280">
        <v>15</v>
      </c>
      <c r="J1280">
        <v>4</v>
      </c>
      <c r="K1280" t="str">
        <f>TEXT(discount_impact_on_profit_2000_rows[[#This Row],[order date]],"mmmm")</f>
        <v>September</v>
      </c>
      <c r="L1280">
        <f>YEAR(discount_impact_on_profit_2000_rows[[#This Row],[order date]])</f>
        <v>2024</v>
      </c>
      <c r="M1280" t="str">
        <f>IF(discount_impact_on_profit_2000_rows[[#This Row],[Discount %]]=0,"Zero Discount",IF(discount_impact_on_profit_2000_rows[[#This Row],[Discount %]]&lt;=10,"Low Discount","High Discount"))</f>
        <v>High Discount</v>
      </c>
      <c r="N1280" t="str">
        <f t="shared" si="19"/>
        <v>10-20%</v>
      </c>
    </row>
    <row r="1281" spans="1:14">
      <c r="A1281" s="1">
        <v>45050</v>
      </c>
      <c r="B1281" t="s">
        <v>1343</v>
      </c>
      <c r="C1281" t="s">
        <v>21</v>
      </c>
      <c r="D1281" t="s">
        <v>109</v>
      </c>
      <c r="E1281">
        <v>4529.2</v>
      </c>
      <c r="F1281" t="s">
        <v>26</v>
      </c>
      <c r="G1281">
        <v>5952.33</v>
      </c>
      <c r="H1281">
        <v>1423.13</v>
      </c>
      <c r="I1281">
        <v>0</v>
      </c>
      <c r="J1281">
        <v>4</v>
      </c>
      <c r="K1281" t="str">
        <f>TEXT(discount_impact_on_profit_2000_rows[[#This Row],[order date]],"mmmm")</f>
        <v>May</v>
      </c>
      <c r="L1281">
        <f>YEAR(discount_impact_on_profit_2000_rows[[#This Row],[order date]])</f>
        <v>2023</v>
      </c>
      <c r="M1281" t="str">
        <f>IF(discount_impact_on_profit_2000_rows[[#This Row],[Discount %]]=0,"Zero Discount",IF(discount_impact_on_profit_2000_rows[[#This Row],[Discount %]]&lt;=10,"Low Discount","High Discount"))</f>
        <v>Zero Discount</v>
      </c>
      <c r="N1281" t="str">
        <f t="shared" si="19"/>
        <v>0-10%</v>
      </c>
    </row>
    <row r="1282" spans="1:14">
      <c r="A1282" s="1">
        <v>45644</v>
      </c>
      <c r="B1282" t="s">
        <v>1344</v>
      </c>
      <c r="C1282" t="s">
        <v>53</v>
      </c>
      <c r="D1282" t="s">
        <v>113</v>
      </c>
      <c r="E1282">
        <v>4039.1</v>
      </c>
      <c r="F1282" t="s">
        <v>31</v>
      </c>
      <c r="G1282">
        <v>6472.64</v>
      </c>
      <c r="H1282">
        <v>2433.54</v>
      </c>
      <c r="I1282">
        <v>15</v>
      </c>
      <c r="J1282">
        <v>4</v>
      </c>
      <c r="K1282" t="str">
        <f>TEXT(discount_impact_on_profit_2000_rows[[#This Row],[order date]],"mmmm")</f>
        <v>December</v>
      </c>
      <c r="L1282">
        <f>YEAR(discount_impact_on_profit_2000_rows[[#This Row],[order date]])</f>
        <v>2024</v>
      </c>
      <c r="M1282" t="str">
        <f>IF(discount_impact_on_profit_2000_rows[[#This Row],[Discount %]]=0,"Zero Discount",IF(discount_impact_on_profit_2000_rows[[#This Row],[Discount %]]&lt;=10,"Low Discount","High Discount"))</f>
        <v>High Discount</v>
      </c>
      <c r="N1282" t="str">
        <f t="shared" ref="N1282:N1345" si="20">IF(I1282&lt;=10,"0-10%",IF(I1282&lt;=20,"10-20%",IF(I1282&lt;=30,"20-30%","30%+")))</f>
        <v>10-20%</v>
      </c>
    </row>
    <row r="1283" spans="1:14">
      <c r="A1283" s="1">
        <v>45169</v>
      </c>
      <c r="B1283" t="s">
        <v>1345</v>
      </c>
      <c r="C1283" t="s">
        <v>11</v>
      </c>
      <c r="D1283" t="s">
        <v>207</v>
      </c>
      <c r="E1283">
        <v>1824.99</v>
      </c>
      <c r="F1283" t="s">
        <v>26</v>
      </c>
      <c r="G1283">
        <v>2492.9299999999998</v>
      </c>
      <c r="H1283">
        <v>667.94</v>
      </c>
      <c r="I1283">
        <v>20</v>
      </c>
      <c r="J1283">
        <v>2</v>
      </c>
      <c r="K1283" t="str">
        <f>TEXT(discount_impact_on_profit_2000_rows[[#This Row],[order date]],"mmmm")</f>
        <v>August</v>
      </c>
      <c r="L1283">
        <f>YEAR(discount_impact_on_profit_2000_rows[[#This Row],[order date]])</f>
        <v>2023</v>
      </c>
      <c r="M1283" t="str">
        <f>IF(discount_impact_on_profit_2000_rows[[#This Row],[Discount %]]=0,"Zero Discount",IF(discount_impact_on_profit_2000_rows[[#This Row],[Discount %]]&lt;=10,"Low Discount","High Discount"))</f>
        <v>High Discount</v>
      </c>
      <c r="N1283" t="str">
        <f t="shared" si="20"/>
        <v>10-20%</v>
      </c>
    </row>
    <row r="1284" spans="1:14">
      <c r="A1284" s="1">
        <v>45905</v>
      </c>
      <c r="B1284" t="s">
        <v>1346</v>
      </c>
      <c r="C1284" t="s">
        <v>21</v>
      </c>
      <c r="D1284" t="s">
        <v>123</v>
      </c>
      <c r="E1284">
        <v>3946.77</v>
      </c>
      <c r="F1284" t="s">
        <v>13</v>
      </c>
      <c r="G1284">
        <v>4352.2299999999996</v>
      </c>
      <c r="H1284">
        <v>405.46</v>
      </c>
      <c r="I1284">
        <v>10</v>
      </c>
      <c r="J1284">
        <v>4</v>
      </c>
      <c r="K1284" t="str">
        <f>TEXT(discount_impact_on_profit_2000_rows[[#This Row],[order date]],"mmmm")</f>
        <v>September</v>
      </c>
      <c r="L1284">
        <f>YEAR(discount_impact_on_profit_2000_rows[[#This Row],[order date]])</f>
        <v>2025</v>
      </c>
      <c r="M1284" t="str">
        <f>IF(discount_impact_on_profit_2000_rows[[#This Row],[Discount %]]=0,"Zero Discount",IF(discount_impact_on_profit_2000_rows[[#This Row],[Discount %]]&lt;=10,"Low Discount","High Discount"))</f>
        <v>Low Discount</v>
      </c>
      <c r="N1284" t="str">
        <f t="shared" si="20"/>
        <v>0-10%</v>
      </c>
    </row>
    <row r="1285" spans="1:14">
      <c r="A1285" s="1">
        <v>45289</v>
      </c>
      <c r="B1285" t="s">
        <v>1347</v>
      </c>
      <c r="C1285" t="s">
        <v>15</v>
      </c>
      <c r="D1285" t="s">
        <v>84</v>
      </c>
      <c r="E1285">
        <v>42439.07</v>
      </c>
      <c r="F1285" t="s">
        <v>36</v>
      </c>
      <c r="G1285">
        <v>56108.99</v>
      </c>
      <c r="H1285">
        <v>13669.92</v>
      </c>
      <c r="I1285">
        <v>5</v>
      </c>
      <c r="J1285">
        <v>4</v>
      </c>
      <c r="K1285" t="str">
        <f>TEXT(discount_impact_on_profit_2000_rows[[#This Row],[order date]],"mmmm")</f>
        <v>December</v>
      </c>
      <c r="L1285">
        <f>YEAR(discount_impact_on_profit_2000_rows[[#This Row],[order date]])</f>
        <v>2023</v>
      </c>
      <c r="M1285" t="str">
        <f>IF(discount_impact_on_profit_2000_rows[[#This Row],[Discount %]]=0,"Zero Discount",IF(discount_impact_on_profit_2000_rows[[#This Row],[Discount %]]&lt;=10,"Low Discount","High Discount"))</f>
        <v>Low Discount</v>
      </c>
      <c r="N1285" t="str">
        <f t="shared" si="20"/>
        <v>0-10%</v>
      </c>
    </row>
    <row r="1286" spans="1:14">
      <c r="A1286" s="1">
        <v>45375</v>
      </c>
      <c r="B1286" t="s">
        <v>1348</v>
      </c>
      <c r="C1286" t="s">
        <v>18</v>
      </c>
      <c r="D1286" t="s">
        <v>50</v>
      </c>
      <c r="E1286">
        <v>735.91</v>
      </c>
      <c r="F1286" t="s">
        <v>23</v>
      </c>
      <c r="G1286">
        <v>1219.03</v>
      </c>
      <c r="H1286">
        <v>483.12</v>
      </c>
      <c r="I1286">
        <v>5</v>
      </c>
      <c r="J1286">
        <v>4</v>
      </c>
      <c r="K1286" t="str">
        <f>TEXT(discount_impact_on_profit_2000_rows[[#This Row],[order date]],"mmmm")</f>
        <v>March</v>
      </c>
      <c r="L1286">
        <f>YEAR(discount_impact_on_profit_2000_rows[[#This Row],[order date]])</f>
        <v>2024</v>
      </c>
      <c r="M1286" t="str">
        <f>IF(discount_impact_on_profit_2000_rows[[#This Row],[Discount %]]=0,"Zero Discount",IF(discount_impact_on_profit_2000_rows[[#This Row],[Discount %]]&lt;=10,"Low Discount","High Discount"))</f>
        <v>Low Discount</v>
      </c>
      <c r="N1286" t="str">
        <f t="shared" si="20"/>
        <v>0-10%</v>
      </c>
    </row>
    <row r="1287" spans="1:14">
      <c r="A1287" s="1">
        <v>45400</v>
      </c>
      <c r="B1287" t="s">
        <v>1349</v>
      </c>
      <c r="C1287" t="s">
        <v>11</v>
      </c>
      <c r="D1287" t="s">
        <v>64</v>
      </c>
      <c r="E1287">
        <v>1039.02</v>
      </c>
      <c r="F1287" t="s">
        <v>26</v>
      </c>
      <c r="G1287">
        <v>1709.01</v>
      </c>
      <c r="H1287">
        <v>669.99</v>
      </c>
      <c r="I1287">
        <v>10</v>
      </c>
      <c r="J1287">
        <v>1</v>
      </c>
      <c r="K1287" t="str">
        <f>TEXT(discount_impact_on_profit_2000_rows[[#This Row],[order date]],"mmmm")</f>
        <v>April</v>
      </c>
      <c r="L1287">
        <f>YEAR(discount_impact_on_profit_2000_rows[[#This Row],[order date]])</f>
        <v>2024</v>
      </c>
      <c r="M1287" t="str">
        <f>IF(discount_impact_on_profit_2000_rows[[#This Row],[Discount %]]=0,"Zero Discount",IF(discount_impact_on_profit_2000_rows[[#This Row],[Discount %]]&lt;=10,"Low Discount","High Discount"))</f>
        <v>Low Discount</v>
      </c>
      <c r="N1287" t="str">
        <f t="shared" si="20"/>
        <v>0-10%</v>
      </c>
    </row>
    <row r="1288" spans="1:14">
      <c r="A1288" s="1">
        <v>45599</v>
      </c>
      <c r="B1288" t="s">
        <v>1350</v>
      </c>
      <c r="C1288" t="s">
        <v>18</v>
      </c>
      <c r="D1288" t="s">
        <v>19</v>
      </c>
      <c r="E1288">
        <v>478.74</v>
      </c>
      <c r="F1288" t="s">
        <v>23</v>
      </c>
      <c r="G1288">
        <v>707.19</v>
      </c>
      <c r="H1288">
        <v>228.45</v>
      </c>
      <c r="I1288">
        <v>20</v>
      </c>
      <c r="J1288">
        <v>2</v>
      </c>
      <c r="K1288" t="str">
        <f>TEXT(discount_impact_on_profit_2000_rows[[#This Row],[order date]],"mmmm")</f>
        <v>November</v>
      </c>
      <c r="L1288">
        <f>YEAR(discount_impact_on_profit_2000_rows[[#This Row],[order date]])</f>
        <v>2024</v>
      </c>
      <c r="M1288" t="str">
        <f>IF(discount_impact_on_profit_2000_rows[[#This Row],[Discount %]]=0,"Zero Discount",IF(discount_impact_on_profit_2000_rows[[#This Row],[Discount %]]&lt;=10,"Low Discount","High Discount"))</f>
        <v>High Discount</v>
      </c>
      <c r="N1288" t="str">
        <f t="shared" si="20"/>
        <v>10-20%</v>
      </c>
    </row>
    <row r="1289" spans="1:14">
      <c r="A1289" s="1">
        <v>45149</v>
      </c>
      <c r="B1289" t="s">
        <v>1351</v>
      </c>
      <c r="C1289" t="s">
        <v>15</v>
      </c>
      <c r="D1289" t="s">
        <v>40</v>
      </c>
      <c r="E1289">
        <v>46021.75</v>
      </c>
      <c r="F1289" t="s">
        <v>23</v>
      </c>
      <c r="G1289">
        <v>71357.8</v>
      </c>
      <c r="H1289">
        <v>25336.05</v>
      </c>
      <c r="I1289">
        <v>5</v>
      </c>
      <c r="J1289">
        <v>5</v>
      </c>
      <c r="K1289" t="str">
        <f>TEXT(discount_impact_on_profit_2000_rows[[#This Row],[order date]],"mmmm")</f>
        <v>August</v>
      </c>
      <c r="L1289">
        <f>YEAR(discount_impact_on_profit_2000_rows[[#This Row],[order date]])</f>
        <v>2023</v>
      </c>
      <c r="M1289" t="str">
        <f>IF(discount_impact_on_profit_2000_rows[[#This Row],[Discount %]]=0,"Zero Discount",IF(discount_impact_on_profit_2000_rows[[#This Row],[Discount %]]&lt;=10,"Low Discount","High Discount"))</f>
        <v>Low Discount</v>
      </c>
      <c r="N1289" t="str">
        <f t="shared" si="20"/>
        <v>0-10%</v>
      </c>
    </row>
    <row r="1290" spans="1:14">
      <c r="A1290" s="1">
        <v>45536</v>
      </c>
      <c r="B1290" t="s">
        <v>1352</v>
      </c>
      <c r="C1290" t="s">
        <v>33</v>
      </c>
      <c r="D1290" t="s">
        <v>273</v>
      </c>
      <c r="E1290">
        <v>55250.81</v>
      </c>
      <c r="F1290" t="s">
        <v>26</v>
      </c>
      <c r="G1290">
        <v>62289.73</v>
      </c>
      <c r="H1290">
        <v>7038.92</v>
      </c>
      <c r="I1290">
        <v>20</v>
      </c>
      <c r="J1290">
        <v>4</v>
      </c>
      <c r="K1290" t="str">
        <f>TEXT(discount_impact_on_profit_2000_rows[[#This Row],[order date]],"mmmm")</f>
        <v>September</v>
      </c>
      <c r="L1290">
        <f>YEAR(discount_impact_on_profit_2000_rows[[#This Row],[order date]])</f>
        <v>2024</v>
      </c>
      <c r="M1290" t="str">
        <f>IF(discount_impact_on_profit_2000_rows[[#This Row],[Discount %]]=0,"Zero Discount",IF(discount_impact_on_profit_2000_rows[[#This Row],[Discount %]]&lt;=10,"Low Discount","High Discount"))</f>
        <v>High Discount</v>
      </c>
      <c r="N1290" t="str">
        <f t="shared" si="20"/>
        <v>10-20%</v>
      </c>
    </row>
    <row r="1291" spans="1:14">
      <c r="A1291" s="1">
        <v>45716</v>
      </c>
      <c r="B1291" t="s">
        <v>1353</v>
      </c>
      <c r="C1291" t="s">
        <v>15</v>
      </c>
      <c r="D1291" t="s">
        <v>76</v>
      </c>
      <c r="E1291">
        <v>4567.46</v>
      </c>
      <c r="F1291" t="s">
        <v>36</v>
      </c>
      <c r="G1291">
        <v>5600.59</v>
      </c>
      <c r="H1291">
        <v>1033.1300000000001</v>
      </c>
      <c r="I1291">
        <v>0</v>
      </c>
      <c r="J1291">
        <v>1</v>
      </c>
      <c r="K1291" t="str">
        <f>TEXT(discount_impact_on_profit_2000_rows[[#This Row],[order date]],"mmmm")</f>
        <v>February</v>
      </c>
      <c r="L1291">
        <f>YEAR(discount_impact_on_profit_2000_rows[[#This Row],[order date]])</f>
        <v>2025</v>
      </c>
      <c r="M1291" t="str">
        <f>IF(discount_impact_on_profit_2000_rows[[#This Row],[Discount %]]=0,"Zero Discount",IF(discount_impact_on_profit_2000_rows[[#This Row],[Discount %]]&lt;=10,"Low Discount","High Discount"))</f>
        <v>Zero Discount</v>
      </c>
      <c r="N1291" t="str">
        <f t="shared" si="20"/>
        <v>0-10%</v>
      </c>
    </row>
    <row r="1292" spans="1:14">
      <c r="A1292" s="1">
        <v>45448</v>
      </c>
      <c r="B1292" t="s">
        <v>1354</v>
      </c>
      <c r="C1292" t="s">
        <v>53</v>
      </c>
      <c r="D1292" t="s">
        <v>70</v>
      </c>
      <c r="E1292">
        <v>554.16999999999996</v>
      </c>
      <c r="F1292" t="s">
        <v>26</v>
      </c>
      <c r="G1292">
        <v>789.72</v>
      </c>
      <c r="H1292">
        <v>235.55</v>
      </c>
      <c r="I1292">
        <v>10</v>
      </c>
      <c r="J1292">
        <v>1</v>
      </c>
      <c r="K1292" t="str">
        <f>TEXT(discount_impact_on_profit_2000_rows[[#This Row],[order date]],"mmmm")</f>
        <v>June</v>
      </c>
      <c r="L1292">
        <f>YEAR(discount_impact_on_profit_2000_rows[[#This Row],[order date]])</f>
        <v>2024</v>
      </c>
      <c r="M1292" t="str">
        <f>IF(discount_impact_on_profit_2000_rows[[#This Row],[Discount %]]=0,"Zero Discount",IF(discount_impact_on_profit_2000_rows[[#This Row],[Discount %]]&lt;=10,"Low Discount","High Discount"))</f>
        <v>Low Discount</v>
      </c>
      <c r="N1292" t="str">
        <f t="shared" si="20"/>
        <v>0-10%</v>
      </c>
    </row>
    <row r="1293" spans="1:14">
      <c r="A1293" s="1">
        <v>45359</v>
      </c>
      <c r="B1293" t="s">
        <v>1355</v>
      </c>
      <c r="C1293" t="s">
        <v>33</v>
      </c>
      <c r="D1293" t="s">
        <v>273</v>
      </c>
      <c r="E1293">
        <v>1598.43</v>
      </c>
      <c r="F1293" t="s">
        <v>26</v>
      </c>
      <c r="G1293">
        <v>1821.99</v>
      </c>
      <c r="H1293">
        <v>223.56</v>
      </c>
      <c r="I1293">
        <v>10</v>
      </c>
      <c r="J1293">
        <v>1</v>
      </c>
      <c r="K1293" t="str">
        <f>TEXT(discount_impact_on_profit_2000_rows[[#This Row],[order date]],"mmmm")</f>
        <v>March</v>
      </c>
      <c r="L1293">
        <f>YEAR(discount_impact_on_profit_2000_rows[[#This Row],[order date]])</f>
        <v>2024</v>
      </c>
      <c r="M1293" t="str">
        <f>IF(discount_impact_on_profit_2000_rows[[#This Row],[Discount %]]=0,"Zero Discount",IF(discount_impact_on_profit_2000_rows[[#This Row],[Discount %]]&lt;=10,"Low Discount","High Discount"))</f>
        <v>Low Discount</v>
      </c>
      <c r="N1293" t="str">
        <f t="shared" si="20"/>
        <v>0-10%</v>
      </c>
    </row>
    <row r="1294" spans="1:14">
      <c r="A1294" s="1">
        <v>45846</v>
      </c>
      <c r="B1294" t="s">
        <v>1356</v>
      </c>
      <c r="C1294" t="s">
        <v>21</v>
      </c>
      <c r="D1294" t="s">
        <v>46</v>
      </c>
      <c r="E1294">
        <v>98822.46</v>
      </c>
      <c r="F1294" t="s">
        <v>36</v>
      </c>
      <c r="G1294">
        <v>133022.37</v>
      </c>
      <c r="H1294">
        <v>34199.910000000003</v>
      </c>
      <c r="I1294">
        <v>0</v>
      </c>
      <c r="J1294">
        <v>6</v>
      </c>
      <c r="K1294" t="str">
        <f>TEXT(discount_impact_on_profit_2000_rows[[#This Row],[order date]],"mmmm")</f>
        <v>July</v>
      </c>
      <c r="L1294">
        <f>YEAR(discount_impact_on_profit_2000_rows[[#This Row],[order date]])</f>
        <v>2025</v>
      </c>
      <c r="M1294" t="str">
        <f>IF(discount_impact_on_profit_2000_rows[[#This Row],[Discount %]]=0,"Zero Discount",IF(discount_impact_on_profit_2000_rows[[#This Row],[Discount %]]&lt;=10,"Low Discount","High Discount"))</f>
        <v>Zero Discount</v>
      </c>
      <c r="N1294" t="str">
        <f t="shared" si="20"/>
        <v>0-10%</v>
      </c>
    </row>
    <row r="1295" spans="1:14">
      <c r="A1295" s="1">
        <v>45837</v>
      </c>
      <c r="B1295" t="s">
        <v>1357</v>
      </c>
      <c r="C1295" t="s">
        <v>11</v>
      </c>
      <c r="D1295" t="s">
        <v>38</v>
      </c>
      <c r="E1295">
        <v>3946.5</v>
      </c>
      <c r="F1295" t="s">
        <v>26</v>
      </c>
      <c r="G1295">
        <v>4405.54</v>
      </c>
      <c r="H1295">
        <v>459.04</v>
      </c>
      <c r="I1295">
        <v>30</v>
      </c>
      <c r="J1295">
        <v>2</v>
      </c>
      <c r="K1295" t="str">
        <f>TEXT(discount_impact_on_profit_2000_rows[[#This Row],[order date]],"mmmm")</f>
        <v>June</v>
      </c>
      <c r="L1295">
        <f>YEAR(discount_impact_on_profit_2000_rows[[#This Row],[order date]])</f>
        <v>2025</v>
      </c>
      <c r="M1295" t="str">
        <f>IF(discount_impact_on_profit_2000_rows[[#This Row],[Discount %]]=0,"Zero Discount",IF(discount_impact_on_profit_2000_rows[[#This Row],[Discount %]]&lt;=10,"Low Discount","High Discount"))</f>
        <v>High Discount</v>
      </c>
      <c r="N1295" t="str">
        <f t="shared" si="20"/>
        <v>20-30%</v>
      </c>
    </row>
    <row r="1296" spans="1:14">
      <c r="A1296" s="1">
        <v>45537</v>
      </c>
      <c r="B1296" t="s">
        <v>1358</v>
      </c>
      <c r="C1296" t="s">
        <v>18</v>
      </c>
      <c r="D1296" t="s">
        <v>19</v>
      </c>
      <c r="E1296">
        <v>591.32000000000005</v>
      </c>
      <c r="F1296" t="s">
        <v>36</v>
      </c>
      <c r="G1296">
        <v>1111.97</v>
      </c>
      <c r="H1296">
        <v>520.65</v>
      </c>
      <c r="I1296">
        <v>10</v>
      </c>
      <c r="J1296">
        <v>1</v>
      </c>
      <c r="K1296" t="str">
        <f>TEXT(discount_impact_on_profit_2000_rows[[#This Row],[order date]],"mmmm")</f>
        <v>September</v>
      </c>
      <c r="L1296">
        <f>YEAR(discount_impact_on_profit_2000_rows[[#This Row],[order date]])</f>
        <v>2024</v>
      </c>
      <c r="M1296" t="str">
        <f>IF(discount_impact_on_profit_2000_rows[[#This Row],[Discount %]]=0,"Zero Discount",IF(discount_impact_on_profit_2000_rows[[#This Row],[Discount %]]&lt;=10,"Low Discount","High Discount"))</f>
        <v>Low Discount</v>
      </c>
      <c r="N1296" t="str">
        <f t="shared" si="20"/>
        <v>0-10%</v>
      </c>
    </row>
    <row r="1297" spans="1:14">
      <c r="A1297" s="1">
        <v>45357</v>
      </c>
      <c r="B1297" t="s">
        <v>1359</v>
      </c>
      <c r="C1297" t="s">
        <v>33</v>
      </c>
      <c r="D1297" t="s">
        <v>197</v>
      </c>
      <c r="E1297">
        <v>4330.3900000000003</v>
      </c>
      <c r="F1297" t="s">
        <v>36</v>
      </c>
      <c r="G1297">
        <v>5659.5</v>
      </c>
      <c r="H1297">
        <v>1329.11</v>
      </c>
      <c r="I1297">
        <v>20</v>
      </c>
      <c r="J1297">
        <v>3</v>
      </c>
      <c r="K1297" t="str">
        <f>TEXT(discount_impact_on_profit_2000_rows[[#This Row],[order date]],"mmmm")</f>
        <v>March</v>
      </c>
      <c r="L1297">
        <f>YEAR(discount_impact_on_profit_2000_rows[[#This Row],[order date]])</f>
        <v>2024</v>
      </c>
      <c r="M1297" t="str">
        <f>IF(discount_impact_on_profit_2000_rows[[#This Row],[Discount %]]=0,"Zero Discount",IF(discount_impact_on_profit_2000_rows[[#This Row],[Discount %]]&lt;=10,"Low Discount","High Discount"))</f>
        <v>High Discount</v>
      </c>
      <c r="N1297" t="str">
        <f t="shared" si="20"/>
        <v>10-20%</v>
      </c>
    </row>
    <row r="1298" spans="1:14">
      <c r="A1298" s="1">
        <v>45586</v>
      </c>
      <c r="B1298" t="s">
        <v>1360</v>
      </c>
      <c r="C1298" t="s">
        <v>15</v>
      </c>
      <c r="D1298" t="s">
        <v>40</v>
      </c>
      <c r="E1298">
        <v>2946.41</v>
      </c>
      <c r="F1298" t="s">
        <v>36</v>
      </c>
      <c r="G1298">
        <v>2959.96</v>
      </c>
      <c r="H1298">
        <v>13.55</v>
      </c>
      <c r="I1298">
        <v>23</v>
      </c>
      <c r="J1298">
        <v>1</v>
      </c>
      <c r="K1298" t="str">
        <f>TEXT(discount_impact_on_profit_2000_rows[[#This Row],[order date]],"mmmm")</f>
        <v>October</v>
      </c>
      <c r="L1298">
        <f>YEAR(discount_impact_on_profit_2000_rows[[#This Row],[order date]])</f>
        <v>2024</v>
      </c>
      <c r="M1298" t="str">
        <f>IF(discount_impact_on_profit_2000_rows[[#This Row],[Discount %]]=0,"Zero Discount",IF(discount_impact_on_profit_2000_rows[[#This Row],[Discount %]]&lt;=10,"Low Discount","High Discount"))</f>
        <v>High Discount</v>
      </c>
      <c r="N1298" t="str">
        <f t="shared" si="20"/>
        <v>20-30%</v>
      </c>
    </row>
    <row r="1299" spans="1:14">
      <c r="A1299" s="1">
        <v>45169</v>
      </c>
      <c r="B1299" t="s">
        <v>1361</v>
      </c>
      <c r="C1299" t="s">
        <v>11</v>
      </c>
      <c r="D1299" t="s">
        <v>25</v>
      </c>
      <c r="E1299">
        <v>1773.51</v>
      </c>
      <c r="F1299" t="s">
        <v>26</v>
      </c>
      <c r="G1299">
        <v>2650.02</v>
      </c>
      <c r="H1299">
        <v>876.51</v>
      </c>
      <c r="I1299">
        <v>20</v>
      </c>
      <c r="J1299">
        <v>2</v>
      </c>
      <c r="K1299" t="str">
        <f>TEXT(discount_impact_on_profit_2000_rows[[#This Row],[order date]],"mmmm")</f>
        <v>August</v>
      </c>
      <c r="L1299">
        <f>YEAR(discount_impact_on_profit_2000_rows[[#This Row],[order date]])</f>
        <v>2023</v>
      </c>
      <c r="M1299" t="str">
        <f>IF(discount_impact_on_profit_2000_rows[[#This Row],[Discount %]]=0,"Zero Discount",IF(discount_impact_on_profit_2000_rows[[#This Row],[Discount %]]&lt;=10,"Low Discount","High Discount"))</f>
        <v>High Discount</v>
      </c>
      <c r="N1299" t="str">
        <f t="shared" si="20"/>
        <v>10-20%</v>
      </c>
    </row>
    <row r="1300" spans="1:14">
      <c r="A1300" s="1">
        <v>45372</v>
      </c>
      <c r="B1300" t="s">
        <v>1362</v>
      </c>
      <c r="C1300" t="s">
        <v>11</v>
      </c>
      <c r="D1300" t="s">
        <v>64</v>
      </c>
      <c r="E1300">
        <v>910.62</v>
      </c>
      <c r="F1300" t="s">
        <v>36</v>
      </c>
      <c r="G1300">
        <v>1791.88</v>
      </c>
      <c r="H1300">
        <v>881.26</v>
      </c>
      <c r="I1300">
        <v>0</v>
      </c>
      <c r="J1300">
        <v>1</v>
      </c>
      <c r="K1300" t="str">
        <f>TEXT(discount_impact_on_profit_2000_rows[[#This Row],[order date]],"mmmm")</f>
        <v>March</v>
      </c>
      <c r="L1300">
        <f>YEAR(discount_impact_on_profit_2000_rows[[#This Row],[order date]])</f>
        <v>2024</v>
      </c>
      <c r="M1300" t="str">
        <f>IF(discount_impact_on_profit_2000_rows[[#This Row],[Discount %]]=0,"Zero Discount",IF(discount_impact_on_profit_2000_rows[[#This Row],[Discount %]]&lt;=10,"Low Discount","High Discount"))</f>
        <v>Zero Discount</v>
      </c>
      <c r="N1300" t="str">
        <f t="shared" si="20"/>
        <v>0-10%</v>
      </c>
    </row>
    <row r="1301" spans="1:14">
      <c r="A1301" s="1">
        <v>45594</v>
      </c>
      <c r="B1301" t="s">
        <v>1363</v>
      </c>
      <c r="C1301" t="s">
        <v>33</v>
      </c>
      <c r="D1301" t="s">
        <v>203</v>
      </c>
      <c r="E1301">
        <v>25803.65</v>
      </c>
      <c r="F1301" t="s">
        <v>36</v>
      </c>
      <c r="G1301">
        <v>33127.46</v>
      </c>
      <c r="H1301">
        <v>7323.81</v>
      </c>
      <c r="I1301">
        <v>25</v>
      </c>
      <c r="J1301">
        <v>5</v>
      </c>
      <c r="K1301" t="str">
        <f>TEXT(discount_impact_on_profit_2000_rows[[#This Row],[order date]],"mmmm")</f>
        <v>October</v>
      </c>
      <c r="L1301">
        <f>YEAR(discount_impact_on_profit_2000_rows[[#This Row],[order date]])</f>
        <v>2024</v>
      </c>
      <c r="M1301" t="str">
        <f>IF(discount_impact_on_profit_2000_rows[[#This Row],[Discount %]]=0,"Zero Discount",IF(discount_impact_on_profit_2000_rows[[#This Row],[Discount %]]&lt;=10,"Low Discount","High Discount"))</f>
        <v>High Discount</v>
      </c>
      <c r="N1301" t="str">
        <f t="shared" si="20"/>
        <v>20-30%</v>
      </c>
    </row>
    <row r="1302" spans="1:14">
      <c r="A1302" s="1">
        <v>45967</v>
      </c>
      <c r="B1302" t="s">
        <v>1364</v>
      </c>
      <c r="C1302" t="s">
        <v>33</v>
      </c>
      <c r="D1302" t="s">
        <v>92</v>
      </c>
      <c r="E1302">
        <v>14520.78</v>
      </c>
      <c r="F1302" t="s">
        <v>36</v>
      </c>
      <c r="G1302">
        <v>17738.43</v>
      </c>
      <c r="H1302">
        <v>3217.65</v>
      </c>
      <c r="I1302">
        <v>5</v>
      </c>
      <c r="J1302">
        <v>1</v>
      </c>
      <c r="K1302" t="str">
        <f>TEXT(discount_impact_on_profit_2000_rows[[#This Row],[order date]],"mmmm")</f>
        <v>November</v>
      </c>
      <c r="L1302">
        <f>YEAR(discount_impact_on_profit_2000_rows[[#This Row],[order date]])</f>
        <v>2025</v>
      </c>
      <c r="M1302" t="str">
        <f>IF(discount_impact_on_profit_2000_rows[[#This Row],[Discount %]]=0,"Zero Discount",IF(discount_impact_on_profit_2000_rows[[#This Row],[Discount %]]&lt;=10,"Low Discount","High Discount"))</f>
        <v>Low Discount</v>
      </c>
      <c r="N1302" t="str">
        <f t="shared" si="20"/>
        <v>0-10%</v>
      </c>
    </row>
    <row r="1303" spans="1:14">
      <c r="A1303" s="1">
        <v>44933</v>
      </c>
      <c r="B1303" t="s">
        <v>1365</v>
      </c>
      <c r="C1303" t="s">
        <v>18</v>
      </c>
      <c r="D1303" t="s">
        <v>42</v>
      </c>
      <c r="E1303">
        <v>706.99</v>
      </c>
      <c r="F1303" t="s">
        <v>13</v>
      </c>
      <c r="G1303">
        <v>1168.3399999999999</v>
      </c>
      <c r="H1303">
        <v>461.35</v>
      </c>
      <c r="I1303">
        <v>0</v>
      </c>
      <c r="J1303">
        <v>1</v>
      </c>
      <c r="K1303" t="str">
        <f>TEXT(discount_impact_on_profit_2000_rows[[#This Row],[order date]],"mmmm")</f>
        <v>January</v>
      </c>
      <c r="L1303">
        <f>YEAR(discount_impact_on_profit_2000_rows[[#This Row],[order date]])</f>
        <v>2023</v>
      </c>
      <c r="M1303" t="str">
        <f>IF(discount_impact_on_profit_2000_rows[[#This Row],[Discount %]]=0,"Zero Discount",IF(discount_impact_on_profit_2000_rows[[#This Row],[Discount %]]&lt;=10,"Low Discount","High Discount"))</f>
        <v>Zero Discount</v>
      </c>
      <c r="N1303" t="str">
        <f t="shared" si="20"/>
        <v>0-10%</v>
      </c>
    </row>
    <row r="1304" spans="1:14">
      <c r="A1304" s="1">
        <v>45955</v>
      </c>
      <c r="B1304" t="s">
        <v>1366</v>
      </c>
      <c r="C1304" t="s">
        <v>18</v>
      </c>
      <c r="D1304" t="s">
        <v>50</v>
      </c>
      <c r="E1304">
        <v>782.77</v>
      </c>
      <c r="F1304" t="s">
        <v>36</v>
      </c>
      <c r="G1304">
        <v>1099.72</v>
      </c>
      <c r="H1304">
        <v>316.95</v>
      </c>
      <c r="I1304">
        <v>20</v>
      </c>
      <c r="J1304">
        <v>3</v>
      </c>
      <c r="K1304" t="str">
        <f>TEXT(discount_impact_on_profit_2000_rows[[#This Row],[order date]],"mmmm")</f>
        <v>October</v>
      </c>
      <c r="L1304">
        <f>YEAR(discount_impact_on_profit_2000_rows[[#This Row],[order date]])</f>
        <v>2025</v>
      </c>
      <c r="M1304" t="str">
        <f>IF(discount_impact_on_profit_2000_rows[[#This Row],[Discount %]]=0,"Zero Discount",IF(discount_impact_on_profit_2000_rows[[#This Row],[Discount %]]&lt;=10,"Low Discount","High Discount"))</f>
        <v>High Discount</v>
      </c>
      <c r="N1304" t="str">
        <f t="shared" si="20"/>
        <v>10-20%</v>
      </c>
    </row>
    <row r="1305" spans="1:14">
      <c r="A1305" s="1">
        <v>45393</v>
      </c>
      <c r="B1305" t="s">
        <v>1367</v>
      </c>
      <c r="C1305" t="s">
        <v>33</v>
      </c>
      <c r="D1305" t="s">
        <v>44</v>
      </c>
      <c r="E1305">
        <v>11473.85</v>
      </c>
      <c r="F1305" t="s">
        <v>26</v>
      </c>
      <c r="G1305">
        <v>16977.66</v>
      </c>
      <c r="H1305">
        <v>5503.81</v>
      </c>
      <c r="I1305">
        <v>10</v>
      </c>
      <c r="J1305">
        <v>2</v>
      </c>
      <c r="K1305" t="str">
        <f>TEXT(discount_impact_on_profit_2000_rows[[#This Row],[order date]],"mmmm")</f>
        <v>April</v>
      </c>
      <c r="L1305">
        <f>YEAR(discount_impact_on_profit_2000_rows[[#This Row],[order date]])</f>
        <v>2024</v>
      </c>
      <c r="M1305" t="str">
        <f>IF(discount_impact_on_profit_2000_rows[[#This Row],[Discount %]]=0,"Zero Discount",IF(discount_impact_on_profit_2000_rows[[#This Row],[Discount %]]&lt;=10,"Low Discount","High Discount"))</f>
        <v>Low Discount</v>
      </c>
      <c r="N1305" t="str">
        <f t="shared" si="20"/>
        <v>0-10%</v>
      </c>
    </row>
    <row r="1306" spans="1:14">
      <c r="A1306" s="1">
        <v>44941</v>
      </c>
      <c r="B1306" t="s">
        <v>1368</v>
      </c>
      <c r="C1306" t="s">
        <v>33</v>
      </c>
      <c r="D1306" t="s">
        <v>102</v>
      </c>
      <c r="E1306">
        <v>7608.93</v>
      </c>
      <c r="F1306" t="s">
        <v>23</v>
      </c>
      <c r="G1306">
        <v>12689.01</v>
      </c>
      <c r="H1306">
        <v>5080.08</v>
      </c>
      <c r="I1306">
        <v>0</v>
      </c>
      <c r="J1306">
        <v>3</v>
      </c>
      <c r="K1306" t="str">
        <f>TEXT(discount_impact_on_profit_2000_rows[[#This Row],[order date]],"mmmm")</f>
        <v>January</v>
      </c>
      <c r="L1306">
        <f>YEAR(discount_impact_on_profit_2000_rows[[#This Row],[order date]])</f>
        <v>2023</v>
      </c>
      <c r="M1306" t="str">
        <f>IF(discount_impact_on_profit_2000_rows[[#This Row],[Discount %]]=0,"Zero Discount",IF(discount_impact_on_profit_2000_rows[[#This Row],[Discount %]]&lt;=10,"Low Discount","High Discount"))</f>
        <v>Zero Discount</v>
      </c>
      <c r="N1306" t="str">
        <f t="shared" si="20"/>
        <v>0-10%</v>
      </c>
    </row>
    <row r="1307" spans="1:14">
      <c r="A1307" s="1">
        <v>45057</v>
      </c>
      <c r="B1307" t="s">
        <v>1369</v>
      </c>
      <c r="C1307" t="s">
        <v>33</v>
      </c>
      <c r="D1307" t="s">
        <v>203</v>
      </c>
      <c r="E1307">
        <v>4413.78</v>
      </c>
      <c r="F1307" t="s">
        <v>23</v>
      </c>
      <c r="G1307">
        <v>5524.18</v>
      </c>
      <c r="H1307">
        <v>1110.4000000000001</v>
      </c>
      <c r="I1307">
        <v>15</v>
      </c>
      <c r="J1307">
        <v>3</v>
      </c>
      <c r="K1307" t="str">
        <f>TEXT(discount_impact_on_profit_2000_rows[[#This Row],[order date]],"mmmm")</f>
        <v>May</v>
      </c>
      <c r="L1307">
        <f>YEAR(discount_impact_on_profit_2000_rows[[#This Row],[order date]])</f>
        <v>2023</v>
      </c>
      <c r="M1307" t="str">
        <f>IF(discount_impact_on_profit_2000_rows[[#This Row],[Discount %]]=0,"Zero Discount",IF(discount_impact_on_profit_2000_rows[[#This Row],[Discount %]]&lt;=10,"Low Discount","High Discount"))</f>
        <v>High Discount</v>
      </c>
      <c r="N1307" t="str">
        <f t="shared" si="20"/>
        <v>10-20%</v>
      </c>
    </row>
    <row r="1308" spans="1:14">
      <c r="A1308" s="1">
        <v>45156</v>
      </c>
      <c r="B1308" t="s">
        <v>1370</v>
      </c>
      <c r="C1308" t="s">
        <v>11</v>
      </c>
      <c r="D1308" t="s">
        <v>80</v>
      </c>
      <c r="E1308">
        <v>2337.15</v>
      </c>
      <c r="F1308" t="s">
        <v>13</v>
      </c>
      <c r="G1308">
        <v>3971.61</v>
      </c>
      <c r="H1308">
        <v>1634.46</v>
      </c>
      <c r="I1308">
        <v>5</v>
      </c>
      <c r="J1308">
        <v>2</v>
      </c>
      <c r="K1308" t="str">
        <f>TEXT(discount_impact_on_profit_2000_rows[[#This Row],[order date]],"mmmm")</f>
        <v>August</v>
      </c>
      <c r="L1308">
        <f>YEAR(discount_impact_on_profit_2000_rows[[#This Row],[order date]])</f>
        <v>2023</v>
      </c>
      <c r="M1308" t="str">
        <f>IF(discount_impact_on_profit_2000_rows[[#This Row],[Discount %]]=0,"Zero Discount",IF(discount_impact_on_profit_2000_rows[[#This Row],[Discount %]]&lt;=10,"Low Discount","High Discount"))</f>
        <v>Low Discount</v>
      </c>
      <c r="N1308" t="str">
        <f t="shared" si="20"/>
        <v>0-10%</v>
      </c>
    </row>
    <row r="1309" spans="1:14">
      <c r="A1309" s="1">
        <v>45472</v>
      </c>
      <c r="B1309" t="s">
        <v>1371</v>
      </c>
      <c r="C1309" t="s">
        <v>11</v>
      </c>
      <c r="D1309" t="s">
        <v>64</v>
      </c>
      <c r="E1309">
        <v>896.05</v>
      </c>
      <c r="F1309" t="s">
        <v>23</v>
      </c>
      <c r="G1309">
        <v>1056.51</v>
      </c>
      <c r="H1309">
        <v>160.46</v>
      </c>
      <c r="I1309">
        <v>30</v>
      </c>
      <c r="J1309">
        <v>2</v>
      </c>
      <c r="K1309" t="str">
        <f>TEXT(discount_impact_on_profit_2000_rows[[#This Row],[order date]],"mmmm")</f>
        <v>June</v>
      </c>
      <c r="L1309">
        <f>YEAR(discount_impact_on_profit_2000_rows[[#This Row],[order date]])</f>
        <v>2024</v>
      </c>
      <c r="M1309" t="str">
        <f>IF(discount_impact_on_profit_2000_rows[[#This Row],[Discount %]]=0,"Zero Discount",IF(discount_impact_on_profit_2000_rows[[#This Row],[Discount %]]&lt;=10,"Low Discount","High Discount"))</f>
        <v>High Discount</v>
      </c>
      <c r="N1309" t="str">
        <f t="shared" si="20"/>
        <v>20-30%</v>
      </c>
    </row>
    <row r="1310" spans="1:14">
      <c r="A1310" s="1">
        <v>45918</v>
      </c>
      <c r="B1310" t="s">
        <v>1372</v>
      </c>
      <c r="C1310" t="s">
        <v>15</v>
      </c>
      <c r="D1310" t="s">
        <v>40</v>
      </c>
      <c r="E1310">
        <v>1654.88</v>
      </c>
      <c r="F1310" t="s">
        <v>23</v>
      </c>
      <c r="G1310">
        <v>2035.78</v>
      </c>
      <c r="H1310">
        <v>380.9</v>
      </c>
      <c r="I1310">
        <v>20</v>
      </c>
      <c r="J1310">
        <v>1</v>
      </c>
      <c r="K1310" t="str">
        <f>TEXT(discount_impact_on_profit_2000_rows[[#This Row],[order date]],"mmmm")</f>
        <v>September</v>
      </c>
      <c r="L1310">
        <f>YEAR(discount_impact_on_profit_2000_rows[[#This Row],[order date]])</f>
        <v>2025</v>
      </c>
      <c r="M1310" t="str">
        <f>IF(discount_impact_on_profit_2000_rows[[#This Row],[Discount %]]=0,"Zero Discount",IF(discount_impact_on_profit_2000_rows[[#This Row],[Discount %]]&lt;=10,"Low Discount","High Discount"))</f>
        <v>High Discount</v>
      </c>
      <c r="N1310" t="str">
        <f t="shared" si="20"/>
        <v>10-20%</v>
      </c>
    </row>
    <row r="1311" spans="1:14">
      <c r="A1311" s="1">
        <v>45740</v>
      </c>
      <c r="B1311" t="s">
        <v>1373</v>
      </c>
      <c r="C1311" t="s">
        <v>18</v>
      </c>
      <c r="D1311" t="s">
        <v>42</v>
      </c>
      <c r="E1311">
        <v>471.34</v>
      </c>
      <c r="F1311" t="s">
        <v>31</v>
      </c>
      <c r="G1311">
        <v>776.84</v>
      </c>
      <c r="H1311">
        <v>305.5</v>
      </c>
      <c r="I1311">
        <v>10</v>
      </c>
      <c r="J1311">
        <v>1</v>
      </c>
      <c r="K1311" t="str">
        <f>TEXT(discount_impact_on_profit_2000_rows[[#This Row],[order date]],"mmmm")</f>
        <v>March</v>
      </c>
      <c r="L1311">
        <f>YEAR(discount_impact_on_profit_2000_rows[[#This Row],[order date]])</f>
        <v>2025</v>
      </c>
      <c r="M1311" t="str">
        <f>IF(discount_impact_on_profit_2000_rows[[#This Row],[Discount %]]=0,"Zero Discount",IF(discount_impact_on_profit_2000_rows[[#This Row],[Discount %]]&lt;=10,"Low Discount","High Discount"))</f>
        <v>Low Discount</v>
      </c>
      <c r="N1311" t="str">
        <f t="shared" si="20"/>
        <v>0-10%</v>
      </c>
    </row>
    <row r="1312" spans="1:14">
      <c r="A1312" s="1">
        <v>45660</v>
      </c>
      <c r="B1312" t="s">
        <v>1374</v>
      </c>
      <c r="C1312" t="s">
        <v>18</v>
      </c>
      <c r="D1312" t="s">
        <v>50</v>
      </c>
      <c r="E1312">
        <v>3043.32</v>
      </c>
      <c r="F1312" t="s">
        <v>23</v>
      </c>
      <c r="G1312">
        <v>5427.33</v>
      </c>
      <c r="H1312">
        <v>2384.0100000000002</v>
      </c>
      <c r="I1312">
        <v>5</v>
      </c>
      <c r="J1312">
        <v>5</v>
      </c>
      <c r="K1312" t="str">
        <f>TEXT(discount_impact_on_profit_2000_rows[[#This Row],[order date]],"mmmm")</f>
        <v>January</v>
      </c>
      <c r="L1312">
        <f>YEAR(discount_impact_on_profit_2000_rows[[#This Row],[order date]])</f>
        <v>2025</v>
      </c>
      <c r="M1312" t="str">
        <f>IF(discount_impact_on_profit_2000_rows[[#This Row],[Discount %]]=0,"Zero Discount",IF(discount_impact_on_profit_2000_rows[[#This Row],[Discount %]]&lt;=10,"Low Discount","High Discount"))</f>
        <v>Low Discount</v>
      </c>
      <c r="N1312" t="str">
        <f t="shared" si="20"/>
        <v>0-10%</v>
      </c>
    </row>
    <row r="1313" spans="1:14">
      <c r="A1313" s="1">
        <v>46000</v>
      </c>
      <c r="B1313" t="s">
        <v>1375</v>
      </c>
      <c r="C1313" t="s">
        <v>53</v>
      </c>
      <c r="D1313" t="s">
        <v>113</v>
      </c>
      <c r="E1313">
        <v>4800.4799999999996</v>
      </c>
      <c r="F1313" t="s">
        <v>26</v>
      </c>
      <c r="G1313">
        <v>7810.83</v>
      </c>
      <c r="H1313">
        <v>3010.35</v>
      </c>
      <c r="I1313">
        <v>20</v>
      </c>
      <c r="J1313">
        <v>8</v>
      </c>
      <c r="K1313" t="str">
        <f>TEXT(discount_impact_on_profit_2000_rows[[#This Row],[order date]],"mmmm")</f>
        <v>December</v>
      </c>
      <c r="L1313">
        <f>YEAR(discount_impact_on_profit_2000_rows[[#This Row],[order date]])</f>
        <v>2025</v>
      </c>
      <c r="M1313" t="str">
        <f>IF(discount_impact_on_profit_2000_rows[[#This Row],[Discount %]]=0,"Zero Discount",IF(discount_impact_on_profit_2000_rows[[#This Row],[Discount %]]&lt;=10,"Low Discount","High Discount"))</f>
        <v>High Discount</v>
      </c>
      <c r="N1313" t="str">
        <f t="shared" si="20"/>
        <v>10-20%</v>
      </c>
    </row>
    <row r="1314" spans="1:14">
      <c r="A1314" s="1">
        <v>45500</v>
      </c>
      <c r="B1314" t="s">
        <v>1376</v>
      </c>
      <c r="C1314" t="s">
        <v>21</v>
      </c>
      <c r="D1314" t="s">
        <v>46</v>
      </c>
      <c r="E1314">
        <v>3150.46</v>
      </c>
      <c r="F1314" t="s">
        <v>31</v>
      </c>
      <c r="G1314">
        <v>3868.28</v>
      </c>
      <c r="H1314">
        <v>717.82</v>
      </c>
      <c r="I1314">
        <v>0</v>
      </c>
      <c r="J1314">
        <v>1</v>
      </c>
      <c r="K1314" t="str">
        <f>TEXT(discount_impact_on_profit_2000_rows[[#This Row],[order date]],"mmmm")</f>
        <v>July</v>
      </c>
      <c r="L1314">
        <f>YEAR(discount_impact_on_profit_2000_rows[[#This Row],[order date]])</f>
        <v>2024</v>
      </c>
      <c r="M1314" t="str">
        <f>IF(discount_impact_on_profit_2000_rows[[#This Row],[Discount %]]=0,"Zero Discount",IF(discount_impact_on_profit_2000_rows[[#This Row],[Discount %]]&lt;=10,"Low Discount","High Discount"))</f>
        <v>Zero Discount</v>
      </c>
      <c r="N1314" t="str">
        <f t="shared" si="20"/>
        <v>0-10%</v>
      </c>
    </row>
    <row r="1315" spans="1:14">
      <c r="A1315" s="1">
        <v>45432</v>
      </c>
      <c r="B1315" t="s">
        <v>1377</v>
      </c>
      <c r="C1315" t="s">
        <v>18</v>
      </c>
      <c r="D1315" t="s">
        <v>104</v>
      </c>
      <c r="E1315">
        <v>190.61</v>
      </c>
      <c r="F1315" t="s">
        <v>36</v>
      </c>
      <c r="G1315">
        <v>328.92</v>
      </c>
      <c r="H1315">
        <v>138.31</v>
      </c>
      <c r="I1315">
        <v>10</v>
      </c>
      <c r="J1315">
        <v>1</v>
      </c>
      <c r="K1315" t="str">
        <f>TEXT(discount_impact_on_profit_2000_rows[[#This Row],[order date]],"mmmm")</f>
        <v>May</v>
      </c>
      <c r="L1315">
        <f>YEAR(discount_impact_on_profit_2000_rows[[#This Row],[order date]])</f>
        <v>2024</v>
      </c>
      <c r="M1315" t="str">
        <f>IF(discount_impact_on_profit_2000_rows[[#This Row],[Discount %]]=0,"Zero Discount",IF(discount_impact_on_profit_2000_rows[[#This Row],[Discount %]]&lt;=10,"Low Discount","High Discount"))</f>
        <v>Low Discount</v>
      </c>
      <c r="N1315" t="str">
        <f t="shared" si="20"/>
        <v>0-10%</v>
      </c>
    </row>
    <row r="1316" spans="1:14">
      <c r="A1316" s="1">
        <v>45676</v>
      </c>
      <c r="B1316" t="s">
        <v>1378</v>
      </c>
      <c r="C1316" t="s">
        <v>15</v>
      </c>
      <c r="D1316" t="s">
        <v>99</v>
      </c>
      <c r="E1316">
        <v>4966.12</v>
      </c>
      <c r="F1316" t="s">
        <v>31</v>
      </c>
      <c r="G1316">
        <v>7483.38</v>
      </c>
      <c r="H1316">
        <v>2517.2600000000002</v>
      </c>
      <c r="I1316">
        <v>0</v>
      </c>
      <c r="J1316">
        <v>2</v>
      </c>
      <c r="K1316" t="str">
        <f>TEXT(discount_impact_on_profit_2000_rows[[#This Row],[order date]],"mmmm")</f>
        <v>January</v>
      </c>
      <c r="L1316">
        <f>YEAR(discount_impact_on_profit_2000_rows[[#This Row],[order date]])</f>
        <v>2025</v>
      </c>
      <c r="M1316" t="str">
        <f>IF(discount_impact_on_profit_2000_rows[[#This Row],[Discount %]]=0,"Zero Discount",IF(discount_impact_on_profit_2000_rows[[#This Row],[Discount %]]&lt;=10,"Low Discount","High Discount"))</f>
        <v>Zero Discount</v>
      </c>
      <c r="N1316" t="str">
        <f t="shared" si="20"/>
        <v>0-10%</v>
      </c>
    </row>
    <row r="1317" spans="1:14">
      <c r="A1317" s="1">
        <v>45772</v>
      </c>
      <c r="B1317" t="s">
        <v>1379</v>
      </c>
      <c r="C1317" t="s">
        <v>18</v>
      </c>
      <c r="D1317" t="s">
        <v>88</v>
      </c>
      <c r="E1317">
        <v>353.97</v>
      </c>
      <c r="F1317" t="s">
        <v>23</v>
      </c>
      <c r="G1317">
        <v>674.62</v>
      </c>
      <c r="H1317">
        <v>320.64999999999998</v>
      </c>
      <c r="I1317">
        <v>10</v>
      </c>
      <c r="J1317">
        <v>1</v>
      </c>
      <c r="K1317" t="str">
        <f>TEXT(discount_impact_on_profit_2000_rows[[#This Row],[order date]],"mmmm")</f>
        <v>April</v>
      </c>
      <c r="L1317">
        <f>YEAR(discount_impact_on_profit_2000_rows[[#This Row],[order date]])</f>
        <v>2025</v>
      </c>
      <c r="M1317" t="str">
        <f>IF(discount_impact_on_profit_2000_rows[[#This Row],[Discount %]]=0,"Zero Discount",IF(discount_impact_on_profit_2000_rows[[#This Row],[Discount %]]&lt;=10,"Low Discount","High Discount"))</f>
        <v>Low Discount</v>
      </c>
      <c r="N1317" t="str">
        <f t="shared" si="20"/>
        <v>0-10%</v>
      </c>
    </row>
    <row r="1318" spans="1:14">
      <c r="A1318" s="1">
        <v>45472</v>
      </c>
      <c r="B1318" t="s">
        <v>1380</v>
      </c>
      <c r="C1318" t="s">
        <v>53</v>
      </c>
      <c r="D1318" t="s">
        <v>95</v>
      </c>
      <c r="E1318">
        <v>1535.96</v>
      </c>
      <c r="F1318" t="s">
        <v>26</v>
      </c>
      <c r="G1318">
        <v>2779.37</v>
      </c>
      <c r="H1318">
        <v>1243.4100000000001</v>
      </c>
      <c r="I1318">
        <v>10</v>
      </c>
      <c r="J1318">
        <v>2</v>
      </c>
      <c r="K1318" t="str">
        <f>TEXT(discount_impact_on_profit_2000_rows[[#This Row],[order date]],"mmmm")</f>
        <v>June</v>
      </c>
      <c r="L1318">
        <f>YEAR(discount_impact_on_profit_2000_rows[[#This Row],[order date]])</f>
        <v>2024</v>
      </c>
      <c r="M1318" t="str">
        <f>IF(discount_impact_on_profit_2000_rows[[#This Row],[Discount %]]=0,"Zero Discount",IF(discount_impact_on_profit_2000_rows[[#This Row],[Discount %]]&lt;=10,"Low Discount","High Discount"))</f>
        <v>Low Discount</v>
      </c>
      <c r="N1318" t="str">
        <f t="shared" si="20"/>
        <v>0-10%</v>
      </c>
    </row>
    <row r="1319" spans="1:14">
      <c r="A1319" s="1">
        <v>45162</v>
      </c>
      <c r="B1319" t="s">
        <v>1381</v>
      </c>
      <c r="C1319" t="s">
        <v>21</v>
      </c>
      <c r="D1319" t="s">
        <v>97</v>
      </c>
      <c r="E1319">
        <v>61071.87</v>
      </c>
      <c r="F1319" t="s">
        <v>36</v>
      </c>
      <c r="G1319">
        <v>69351.22</v>
      </c>
      <c r="H1319">
        <v>8279.35</v>
      </c>
      <c r="I1319">
        <v>5</v>
      </c>
      <c r="J1319">
        <v>10</v>
      </c>
      <c r="K1319" t="str">
        <f>TEXT(discount_impact_on_profit_2000_rows[[#This Row],[order date]],"mmmm")</f>
        <v>August</v>
      </c>
      <c r="L1319">
        <f>YEAR(discount_impact_on_profit_2000_rows[[#This Row],[order date]])</f>
        <v>2023</v>
      </c>
      <c r="M1319" t="str">
        <f>IF(discount_impact_on_profit_2000_rows[[#This Row],[Discount %]]=0,"Zero Discount",IF(discount_impact_on_profit_2000_rows[[#This Row],[Discount %]]&lt;=10,"Low Discount","High Discount"))</f>
        <v>Low Discount</v>
      </c>
      <c r="N1319" t="str">
        <f t="shared" si="20"/>
        <v>0-10%</v>
      </c>
    </row>
    <row r="1320" spans="1:14">
      <c r="A1320" s="1">
        <v>45495</v>
      </c>
      <c r="B1320" t="s">
        <v>1382</v>
      </c>
      <c r="C1320" t="s">
        <v>18</v>
      </c>
      <c r="D1320" t="s">
        <v>88</v>
      </c>
      <c r="E1320">
        <v>1059.54</v>
      </c>
      <c r="F1320" t="s">
        <v>31</v>
      </c>
      <c r="G1320">
        <v>1381.3</v>
      </c>
      <c r="H1320">
        <v>321.76</v>
      </c>
      <c r="I1320">
        <v>10</v>
      </c>
      <c r="J1320">
        <v>10</v>
      </c>
      <c r="K1320" t="str">
        <f>TEXT(discount_impact_on_profit_2000_rows[[#This Row],[order date]],"mmmm")</f>
        <v>July</v>
      </c>
      <c r="L1320">
        <f>YEAR(discount_impact_on_profit_2000_rows[[#This Row],[order date]])</f>
        <v>2024</v>
      </c>
      <c r="M1320" t="str">
        <f>IF(discount_impact_on_profit_2000_rows[[#This Row],[Discount %]]=0,"Zero Discount",IF(discount_impact_on_profit_2000_rows[[#This Row],[Discount %]]&lt;=10,"Low Discount","High Discount"))</f>
        <v>Low Discount</v>
      </c>
      <c r="N1320" t="str">
        <f t="shared" si="20"/>
        <v>0-10%</v>
      </c>
    </row>
    <row r="1321" spans="1:14">
      <c r="A1321" s="1">
        <v>45885</v>
      </c>
      <c r="B1321" t="s">
        <v>1383</v>
      </c>
      <c r="C1321" t="s">
        <v>33</v>
      </c>
      <c r="D1321" t="s">
        <v>34</v>
      </c>
      <c r="E1321">
        <v>11876.66</v>
      </c>
      <c r="F1321" t="s">
        <v>26</v>
      </c>
      <c r="G1321">
        <v>15447.28</v>
      </c>
      <c r="H1321">
        <v>3570.62</v>
      </c>
      <c r="I1321">
        <v>10</v>
      </c>
      <c r="J1321">
        <v>1</v>
      </c>
      <c r="K1321" t="str">
        <f>TEXT(discount_impact_on_profit_2000_rows[[#This Row],[order date]],"mmmm")</f>
        <v>August</v>
      </c>
      <c r="L1321">
        <f>YEAR(discount_impact_on_profit_2000_rows[[#This Row],[order date]])</f>
        <v>2025</v>
      </c>
      <c r="M1321" t="str">
        <f>IF(discount_impact_on_profit_2000_rows[[#This Row],[Discount %]]=0,"Zero Discount",IF(discount_impact_on_profit_2000_rows[[#This Row],[Discount %]]&lt;=10,"Low Discount","High Discount"))</f>
        <v>Low Discount</v>
      </c>
      <c r="N1321" t="str">
        <f t="shared" si="20"/>
        <v>0-10%</v>
      </c>
    </row>
    <row r="1322" spans="1:14">
      <c r="A1322" s="1">
        <v>45012</v>
      </c>
      <c r="B1322" t="s">
        <v>1384</v>
      </c>
      <c r="C1322" t="s">
        <v>18</v>
      </c>
      <c r="D1322" t="s">
        <v>50</v>
      </c>
      <c r="E1322">
        <v>1444.43</v>
      </c>
      <c r="F1322" t="s">
        <v>26</v>
      </c>
      <c r="G1322">
        <v>2282.56</v>
      </c>
      <c r="H1322">
        <v>838.13</v>
      </c>
      <c r="I1322">
        <v>20</v>
      </c>
      <c r="J1322">
        <v>3</v>
      </c>
      <c r="K1322" t="str">
        <f>TEXT(discount_impact_on_profit_2000_rows[[#This Row],[order date]],"mmmm")</f>
        <v>March</v>
      </c>
      <c r="L1322">
        <f>YEAR(discount_impact_on_profit_2000_rows[[#This Row],[order date]])</f>
        <v>2023</v>
      </c>
      <c r="M1322" t="str">
        <f>IF(discount_impact_on_profit_2000_rows[[#This Row],[Discount %]]=0,"Zero Discount",IF(discount_impact_on_profit_2000_rows[[#This Row],[Discount %]]&lt;=10,"Low Discount","High Discount"))</f>
        <v>High Discount</v>
      </c>
      <c r="N1322" t="str">
        <f t="shared" si="20"/>
        <v>10-20%</v>
      </c>
    </row>
    <row r="1323" spans="1:14">
      <c r="A1323" s="1">
        <v>45746</v>
      </c>
      <c r="B1323" t="s">
        <v>1385</v>
      </c>
      <c r="C1323" t="s">
        <v>53</v>
      </c>
      <c r="D1323" t="s">
        <v>113</v>
      </c>
      <c r="E1323">
        <v>911.71</v>
      </c>
      <c r="F1323" t="s">
        <v>23</v>
      </c>
      <c r="G1323">
        <v>1029.44</v>
      </c>
      <c r="H1323">
        <v>117.73</v>
      </c>
      <c r="I1323">
        <v>25</v>
      </c>
      <c r="J1323">
        <v>2</v>
      </c>
      <c r="K1323" t="str">
        <f>TEXT(discount_impact_on_profit_2000_rows[[#This Row],[order date]],"mmmm")</f>
        <v>March</v>
      </c>
      <c r="L1323">
        <f>YEAR(discount_impact_on_profit_2000_rows[[#This Row],[order date]])</f>
        <v>2025</v>
      </c>
      <c r="M1323" t="str">
        <f>IF(discount_impact_on_profit_2000_rows[[#This Row],[Discount %]]=0,"Zero Discount",IF(discount_impact_on_profit_2000_rows[[#This Row],[Discount %]]&lt;=10,"Low Discount","High Discount"))</f>
        <v>High Discount</v>
      </c>
      <c r="N1323" t="str">
        <f t="shared" si="20"/>
        <v>20-30%</v>
      </c>
    </row>
    <row r="1324" spans="1:14">
      <c r="A1324" s="1">
        <v>45308</v>
      </c>
      <c r="B1324" t="s">
        <v>1386</v>
      </c>
      <c r="C1324" t="s">
        <v>11</v>
      </c>
      <c r="D1324" t="s">
        <v>12</v>
      </c>
      <c r="E1324">
        <v>1009.7</v>
      </c>
      <c r="F1324" t="s">
        <v>36</v>
      </c>
      <c r="G1324">
        <v>1436.67</v>
      </c>
      <c r="H1324">
        <v>426.97</v>
      </c>
      <c r="I1324">
        <v>25</v>
      </c>
      <c r="J1324">
        <v>3</v>
      </c>
      <c r="K1324" t="str">
        <f>TEXT(discount_impact_on_profit_2000_rows[[#This Row],[order date]],"mmmm")</f>
        <v>January</v>
      </c>
      <c r="L1324">
        <f>YEAR(discount_impact_on_profit_2000_rows[[#This Row],[order date]])</f>
        <v>2024</v>
      </c>
      <c r="M1324" t="str">
        <f>IF(discount_impact_on_profit_2000_rows[[#This Row],[Discount %]]=0,"Zero Discount",IF(discount_impact_on_profit_2000_rows[[#This Row],[Discount %]]&lt;=10,"Low Discount","High Discount"))</f>
        <v>High Discount</v>
      </c>
      <c r="N1324" t="str">
        <f t="shared" si="20"/>
        <v>20-30%</v>
      </c>
    </row>
    <row r="1325" spans="1:14">
      <c r="A1325" s="1">
        <v>45335</v>
      </c>
      <c r="B1325" t="s">
        <v>1387</v>
      </c>
      <c r="C1325" t="s">
        <v>33</v>
      </c>
      <c r="D1325" t="s">
        <v>203</v>
      </c>
      <c r="E1325">
        <v>18007.849999999999</v>
      </c>
      <c r="F1325" t="s">
        <v>36</v>
      </c>
      <c r="G1325">
        <v>21217.93</v>
      </c>
      <c r="H1325">
        <v>3210.08</v>
      </c>
      <c r="I1325">
        <v>20</v>
      </c>
      <c r="J1325">
        <v>3</v>
      </c>
      <c r="K1325" t="str">
        <f>TEXT(discount_impact_on_profit_2000_rows[[#This Row],[order date]],"mmmm")</f>
        <v>February</v>
      </c>
      <c r="L1325">
        <f>YEAR(discount_impact_on_profit_2000_rows[[#This Row],[order date]])</f>
        <v>2024</v>
      </c>
      <c r="M1325" t="str">
        <f>IF(discount_impact_on_profit_2000_rows[[#This Row],[Discount %]]=0,"Zero Discount",IF(discount_impact_on_profit_2000_rows[[#This Row],[Discount %]]&lt;=10,"Low Discount","High Discount"))</f>
        <v>High Discount</v>
      </c>
      <c r="N1325" t="str">
        <f t="shared" si="20"/>
        <v>10-20%</v>
      </c>
    </row>
    <row r="1326" spans="1:14">
      <c r="A1326" s="1">
        <v>45022</v>
      </c>
      <c r="B1326" t="s">
        <v>1388</v>
      </c>
      <c r="C1326" t="s">
        <v>21</v>
      </c>
      <c r="D1326" t="s">
        <v>46</v>
      </c>
      <c r="E1326">
        <v>35402.19</v>
      </c>
      <c r="F1326" t="s">
        <v>31</v>
      </c>
      <c r="G1326">
        <v>50324.63</v>
      </c>
      <c r="H1326">
        <v>14922.44</v>
      </c>
      <c r="I1326">
        <v>5</v>
      </c>
      <c r="J1326">
        <v>5</v>
      </c>
      <c r="K1326" t="str">
        <f>TEXT(discount_impact_on_profit_2000_rows[[#This Row],[order date]],"mmmm")</f>
        <v>April</v>
      </c>
      <c r="L1326">
        <f>YEAR(discount_impact_on_profit_2000_rows[[#This Row],[order date]])</f>
        <v>2023</v>
      </c>
      <c r="M1326" t="str">
        <f>IF(discount_impact_on_profit_2000_rows[[#This Row],[Discount %]]=0,"Zero Discount",IF(discount_impact_on_profit_2000_rows[[#This Row],[Discount %]]&lt;=10,"Low Discount","High Discount"))</f>
        <v>Low Discount</v>
      </c>
      <c r="N1326" t="str">
        <f t="shared" si="20"/>
        <v>0-10%</v>
      </c>
    </row>
    <row r="1327" spans="1:14">
      <c r="A1327" s="1">
        <v>45820</v>
      </c>
      <c r="B1327" t="s">
        <v>1389</v>
      </c>
      <c r="C1327" t="s">
        <v>11</v>
      </c>
      <c r="D1327" t="s">
        <v>30</v>
      </c>
      <c r="E1327">
        <v>807.7</v>
      </c>
      <c r="F1327" t="s">
        <v>23</v>
      </c>
      <c r="G1327">
        <v>1318.84</v>
      </c>
      <c r="H1327">
        <v>511.14</v>
      </c>
      <c r="I1327">
        <v>15</v>
      </c>
      <c r="J1327">
        <v>5</v>
      </c>
      <c r="K1327" t="str">
        <f>TEXT(discount_impact_on_profit_2000_rows[[#This Row],[order date]],"mmmm")</f>
        <v>June</v>
      </c>
      <c r="L1327">
        <f>YEAR(discount_impact_on_profit_2000_rows[[#This Row],[order date]])</f>
        <v>2025</v>
      </c>
      <c r="M1327" t="str">
        <f>IF(discount_impact_on_profit_2000_rows[[#This Row],[Discount %]]=0,"Zero Discount",IF(discount_impact_on_profit_2000_rows[[#This Row],[Discount %]]&lt;=10,"Low Discount","High Discount"))</f>
        <v>High Discount</v>
      </c>
      <c r="N1327" t="str">
        <f t="shared" si="20"/>
        <v>10-20%</v>
      </c>
    </row>
    <row r="1328" spans="1:14">
      <c r="A1328" s="1">
        <v>45617</v>
      </c>
      <c r="B1328" t="s">
        <v>1390</v>
      </c>
      <c r="C1328" t="s">
        <v>15</v>
      </c>
      <c r="D1328" t="s">
        <v>16</v>
      </c>
      <c r="E1328">
        <v>30733.49</v>
      </c>
      <c r="F1328" t="s">
        <v>23</v>
      </c>
      <c r="G1328">
        <v>35623.57</v>
      </c>
      <c r="H1328">
        <v>4890.08</v>
      </c>
      <c r="I1328">
        <v>5</v>
      </c>
      <c r="J1328">
        <v>4</v>
      </c>
      <c r="K1328" t="str">
        <f>TEXT(discount_impact_on_profit_2000_rows[[#This Row],[order date]],"mmmm")</f>
        <v>November</v>
      </c>
      <c r="L1328">
        <f>YEAR(discount_impact_on_profit_2000_rows[[#This Row],[order date]])</f>
        <v>2024</v>
      </c>
      <c r="M1328" t="str">
        <f>IF(discount_impact_on_profit_2000_rows[[#This Row],[Discount %]]=0,"Zero Discount",IF(discount_impact_on_profit_2000_rows[[#This Row],[Discount %]]&lt;=10,"Low Discount","High Discount"))</f>
        <v>Low Discount</v>
      </c>
      <c r="N1328" t="str">
        <f t="shared" si="20"/>
        <v>0-10%</v>
      </c>
    </row>
    <row r="1329" spans="1:14">
      <c r="A1329" s="1">
        <v>45463</v>
      </c>
      <c r="B1329" t="s">
        <v>1391</v>
      </c>
      <c r="C1329" t="s">
        <v>53</v>
      </c>
      <c r="D1329" t="s">
        <v>152</v>
      </c>
      <c r="E1329">
        <v>4824.68</v>
      </c>
      <c r="F1329" t="s">
        <v>13</v>
      </c>
      <c r="G1329">
        <v>9042.98</v>
      </c>
      <c r="H1329">
        <v>4218.3</v>
      </c>
      <c r="I1329">
        <v>25</v>
      </c>
      <c r="J1329">
        <v>4</v>
      </c>
      <c r="K1329" t="str">
        <f>TEXT(discount_impact_on_profit_2000_rows[[#This Row],[order date]],"mmmm")</f>
        <v>June</v>
      </c>
      <c r="L1329">
        <f>YEAR(discount_impact_on_profit_2000_rows[[#This Row],[order date]])</f>
        <v>2024</v>
      </c>
      <c r="M1329" t="str">
        <f>IF(discount_impact_on_profit_2000_rows[[#This Row],[Discount %]]=0,"Zero Discount",IF(discount_impact_on_profit_2000_rows[[#This Row],[Discount %]]&lt;=10,"Low Discount","High Discount"))</f>
        <v>High Discount</v>
      </c>
      <c r="N1329" t="str">
        <f t="shared" si="20"/>
        <v>20-30%</v>
      </c>
    </row>
    <row r="1330" spans="1:14">
      <c r="A1330" s="1">
        <v>44927</v>
      </c>
      <c r="B1330" t="s">
        <v>1392</v>
      </c>
      <c r="C1330" t="s">
        <v>18</v>
      </c>
      <c r="D1330" t="s">
        <v>19</v>
      </c>
      <c r="E1330">
        <v>88.98</v>
      </c>
      <c r="F1330" t="s">
        <v>31</v>
      </c>
      <c r="G1330">
        <v>144.72</v>
      </c>
      <c r="H1330">
        <v>55.74</v>
      </c>
      <c r="I1330">
        <v>10</v>
      </c>
      <c r="J1330">
        <v>2</v>
      </c>
      <c r="K1330" t="str">
        <f>TEXT(discount_impact_on_profit_2000_rows[[#This Row],[order date]],"mmmm")</f>
        <v>January</v>
      </c>
      <c r="L1330">
        <f>YEAR(discount_impact_on_profit_2000_rows[[#This Row],[order date]])</f>
        <v>2023</v>
      </c>
      <c r="M1330" t="str">
        <f>IF(discount_impact_on_profit_2000_rows[[#This Row],[Discount %]]=0,"Zero Discount",IF(discount_impact_on_profit_2000_rows[[#This Row],[Discount %]]&lt;=10,"Low Discount","High Discount"))</f>
        <v>Low Discount</v>
      </c>
      <c r="N1330" t="str">
        <f t="shared" si="20"/>
        <v>0-10%</v>
      </c>
    </row>
    <row r="1331" spans="1:14">
      <c r="A1331" s="1">
        <v>45856</v>
      </c>
      <c r="B1331" t="s">
        <v>1393</v>
      </c>
      <c r="C1331" t="s">
        <v>33</v>
      </c>
      <c r="D1331" t="s">
        <v>34</v>
      </c>
      <c r="E1331">
        <v>7014.93</v>
      </c>
      <c r="F1331" t="s">
        <v>23</v>
      </c>
      <c r="G1331">
        <v>10009.93</v>
      </c>
      <c r="H1331">
        <v>2995</v>
      </c>
      <c r="I1331">
        <v>5</v>
      </c>
      <c r="J1331">
        <v>2</v>
      </c>
      <c r="K1331" t="str">
        <f>TEXT(discount_impact_on_profit_2000_rows[[#This Row],[order date]],"mmmm")</f>
        <v>July</v>
      </c>
      <c r="L1331">
        <f>YEAR(discount_impact_on_profit_2000_rows[[#This Row],[order date]])</f>
        <v>2025</v>
      </c>
      <c r="M1331" t="str">
        <f>IF(discount_impact_on_profit_2000_rows[[#This Row],[Discount %]]=0,"Zero Discount",IF(discount_impact_on_profit_2000_rows[[#This Row],[Discount %]]&lt;=10,"Low Discount","High Discount"))</f>
        <v>Low Discount</v>
      </c>
      <c r="N1331" t="str">
        <f t="shared" si="20"/>
        <v>0-10%</v>
      </c>
    </row>
    <row r="1332" spans="1:14">
      <c r="A1332" s="1">
        <v>45361</v>
      </c>
      <c r="B1332" t="s">
        <v>1394</v>
      </c>
      <c r="C1332" t="s">
        <v>11</v>
      </c>
      <c r="D1332" t="s">
        <v>12</v>
      </c>
      <c r="E1332">
        <v>6790.87</v>
      </c>
      <c r="F1332" t="s">
        <v>26</v>
      </c>
      <c r="G1332">
        <v>12644.57</v>
      </c>
      <c r="H1332">
        <v>5853.7</v>
      </c>
      <c r="I1332">
        <v>0</v>
      </c>
      <c r="J1332">
        <v>4</v>
      </c>
      <c r="K1332" t="str">
        <f>TEXT(discount_impact_on_profit_2000_rows[[#This Row],[order date]],"mmmm")</f>
        <v>March</v>
      </c>
      <c r="L1332">
        <f>YEAR(discount_impact_on_profit_2000_rows[[#This Row],[order date]])</f>
        <v>2024</v>
      </c>
      <c r="M1332" t="str">
        <f>IF(discount_impact_on_profit_2000_rows[[#This Row],[Discount %]]=0,"Zero Discount",IF(discount_impact_on_profit_2000_rows[[#This Row],[Discount %]]&lt;=10,"Low Discount","High Discount"))</f>
        <v>Zero Discount</v>
      </c>
      <c r="N1332" t="str">
        <f t="shared" si="20"/>
        <v>0-10%</v>
      </c>
    </row>
    <row r="1333" spans="1:14">
      <c r="A1333" s="1">
        <v>45208</v>
      </c>
      <c r="B1333" t="s">
        <v>1395</v>
      </c>
      <c r="C1333" t="s">
        <v>11</v>
      </c>
      <c r="D1333" t="s">
        <v>38</v>
      </c>
      <c r="E1333">
        <v>2036.52</v>
      </c>
      <c r="F1333" t="s">
        <v>31</v>
      </c>
      <c r="G1333">
        <v>2992.55</v>
      </c>
      <c r="H1333">
        <v>956.03</v>
      </c>
      <c r="I1333">
        <v>15</v>
      </c>
      <c r="J1333">
        <v>3</v>
      </c>
      <c r="K1333" t="str">
        <f>TEXT(discount_impact_on_profit_2000_rows[[#This Row],[order date]],"mmmm")</f>
        <v>October</v>
      </c>
      <c r="L1333">
        <f>YEAR(discount_impact_on_profit_2000_rows[[#This Row],[order date]])</f>
        <v>2023</v>
      </c>
      <c r="M1333" t="str">
        <f>IF(discount_impact_on_profit_2000_rows[[#This Row],[Discount %]]=0,"Zero Discount",IF(discount_impact_on_profit_2000_rows[[#This Row],[Discount %]]&lt;=10,"Low Discount","High Discount"))</f>
        <v>High Discount</v>
      </c>
      <c r="N1333" t="str">
        <f t="shared" si="20"/>
        <v>10-20%</v>
      </c>
    </row>
    <row r="1334" spans="1:14">
      <c r="A1334" s="1">
        <v>45595</v>
      </c>
      <c r="B1334" t="s">
        <v>1396</v>
      </c>
      <c r="C1334" t="s">
        <v>11</v>
      </c>
      <c r="D1334" t="s">
        <v>38</v>
      </c>
      <c r="E1334">
        <v>1722.07</v>
      </c>
      <c r="F1334" t="s">
        <v>23</v>
      </c>
      <c r="G1334">
        <v>3067.93</v>
      </c>
      <c r="H1334">
        <v>1345.86</v>
      </c>
      <c r="I1334">
        <v>5</v>
      </c>
      <c r="J1334">
        <v>1</v>
      </c>
      <c r="K1334" t="str">
        <f>TEXT(discount_impact_on_profit_2000_rows[[#This Row],[order date]],"mmmm")</f>
        <v>October</v>
      </c>
      <c r="L1334">
        <f>YEAR(discount_impact_on_profit_2000_rows[[#This Row],[order date]])</f>
        <v>2024</v>
      </c>
      <c r="M1334" t="str">
        <f>IF(discount_impact_on_profit_2000_rows[[#This Row],[Discount %]]=0,"Zero Discount",IF(discount_impact_on_profit_2000_rows[[#This Row],[Discount %]]&lt;=10,"Low Discount","High Discount"))</f>
        <v>Low Discount</v>
      </c>
      <c r="N1334" t="str">
        <f t="shared" si="20"/>
        <v>0-10%</v>
      </c>
    </row>
    <row r="1335" spans="1:14">
      <c r="A1335" s="1">
        <v>45180</v>
      </c>
      <c r="B1335" t="s">
        <v>1397</v>
      </c>
      <c r="C1335" t="s">
        <v>18</v>
      </c>
      <c r="D1335" t="s">
        <v>188</v>
      </c>
      <c r="E1335">
        <v>917.07</v>
      </c>
      <c r="F1335" t="s">
        <v>26</v>
      </c>
      <c r="G1335">
        <v>1491.16</v>
      </c>
      <c r="H1335">
        <v>574.09</v>
      </c>
      <c r="I1335">
        <v>10</v>
      </c>
      <c r="J1335">
        <v>1</v>
      </c>
      <c r="K1335" t="str">
        <f>TEXT(discount_impact_on_profit_2000_rows[[#This Row],[order date]],"mmmm")</f>
        <v>September</v>
      </c>
      <c r="L1335">
        <f>YEAR(discount_impact_on_profit_2000_rows[[#This Row],[order date]])</f>
        <v>2023</v>
      </c>
      <c r="M1335" t="str">
        <f>IF(discount_impact_on_profit_2000_rows[[#This Row],[Discount %]]=0,"Zero Discount",IF(discount_impact_on_profit_2000_rows[[#This Row],[Discount %]]&lt;=10,"Low Discount","High Discount"))</f>
        <v>Low Discount</v>
      </c>
      <c r="N1335" t="str">
        <f t="shared" si="20"/>
        <v>0-10%</v>
      </c>
    </row>
    <row r="1336" spans="1:14">
      <c r="A1336" s="1">
        <v>45969</v>
      </c>
      <c r="B1336" t="s">
        <v>1398</v>
      </c>
      <c r="C1336" t="s">
        <v>21</v>
      </c>
      <c r="D1336" t="s">
        <v>109</v>
      </c>
      <c r="E1336">
        <v>3893.62</v>
      </c>
      <c r="F1336" t="s">
        <v>26</v>
      </c>
      <c r="G1336">
        <v>3902.93</v>
      </c>
      <c r="H1336">
        <v>9.31</v>
      </c>
      <c r="I1336">
        <v>17</v>
      </c>
      <c r="J1336">
        <v>3</v>
      </c>
      <c r="K1336" t="str">
        <f>TEXT(discount_impact_on_profit_2000_rows[[#This Row],[order date]],"mmmm")</f>
        <v>November</v>
      </c>
      <c r="L1336">
        <f>YEAR(discount_impact_on_profit_2000_rows[[#This Row],[order date]])</f>
        <v>2025</v>
      </c>
      <c r="M1336" t="str">
        <f>IF(discount_impact_on_profit_2000_rows[[#This Row],[Discount %]]=0,"Zero Discount",IF(discount_impact_on_profit_2000_rows[[#This Row],[Discount %]]&lt;=10,"Low Discount","High Discount"))</f>
        <v>High Discount</v>
      </c>
      <c r="N1336" t="str">
        <f t="shared" si="20"/>
        <v>10-20%</v>
      </c>
    </row>
    <row r="1337" spans="1:14">
      <c r="A1337" s="1">
        <v>45597</v>
      </c>
      <c r="B1337" t="s">
        <v>1399</v>
      </c>
      <c r="C1337" t="s">
        <v>15</v>
      </c>
      <c r="D1337" t="s">
        <v>16</v>
      </c>
      <c r="E1337">
        <v>10065.35</v>
      </c>
      <c r="F1337" t="s">
        <v>26</v>
      </c>
      <c r="G1337">
        <v>11876.84</v>
      </c>
      <c r="H1337">
        <v>1811.49</v>
      </c>
      <c r="I1337">
        <v>5</v>
      </c>
      <c r="J1337">
        <v>1</v>
      </c>
      <c r="K1337" t="str">
        <f>TEXT(discount_impact_on_profit_2000_rows[[#This Row],[order date]],"mmmm")</f>
        <v>November</v>
      </c>
      <c r="L1337">
        <f>YEAR(discount_impact_on_profit_2000_rows[[#This Row],[order date]])</f>
        <v>2024</v>
      </c>
      <c r="M1337" t="str">
        <f>IF(discount_impact_on_profit_2000_rows[[#This Row],[Discount %]]=0,"Zero Discount",IF(discount_impact_on_profit_2000_rows[[#This Row],[Discount %]]&lt;=10,"Low Discount","High Discount"))</f>
        <v>Low Discount</v>
      </c>
      <c r="N1337" t="str">
        <f t="shared" si="20"/>
        <v>0-10%</v>
      </c>
    </row>
    <row r="1338" spans="1:14">
      <c r="A1338" s="1">
        <v>46021</v>
      </c>
      <c r="B1338" t="s">
        <v>1400</v>
      </c>
      <c r="C1338" t="s">
        <v>18</v>
      </c>
      <c r="D1338" t="s">
        <v>104</v>
      </c>
      <c r="E1338">
        <v>2957.26</v>
      </c>
      <c r="F1338" t="s">
        <v>23</v>
      </c>
      <c r="G1338">
        <v>5170.53</v>
      </c>
      <c r="H1338">
        <v>2213.27</v>
      </c>
      <c r="I1338">
        <v>15</v>
      </c>
      <c r="J1338">
        <v>4</v>
      </c>
      <c r="K1338" t="str">
        <f>TEXT(discount_impact_on_profit_2000_rows[[#This Row],[order date]],"mmmm")</f>
        <v>December</v>
      </c>
      <c r="L1338">
        <f>YEAR(discount_impact_on_profit_2000_rows[[#This Row],[order date]])</f>
        <v>2025</v>
      </c>
      <c r="M1338" t="str">
        <f>IF(discount_impact_on_profit_2000_rows[[#This Row],[Discount %]]=0,"Zero Discount",IF(discount_impact_on_profit_2000_rows[[#This Row],[Discount %]]&lt;=10,"Low Discount","High Discount"))</f>
        <v>High Discount</v>
      </c>
      <c r="N1338" t="str">
        <f t="shared" si="20"/>
        <v>10-20%</v>
      </c>
    </row>
    <row r="1339" spans="1:14">
      <c r="A1339" s="1">
        <v>45519</v>
      </c>
      <c r="B1339" t="s">
        <v>1401</v>
      </c>
      <c r="C1339" t="s">
        <v>18</v>
      </c>
      <c r="D1339" t="s">
        <v>140</v>
      </c>
      <c r="E1339">
        <v>255.63</v>
      </c>
      <c r="F1339" t="s">
        <v>31</v>
      </c>
      <c r="G1339">
        <v>404.13</v>
      </c>
      <c r="H1339">
        <v>148.5</v>
      </c>
      <c r="I1339">
        <v>5</v>
      </c>
      <c r="J1339">
        <v>1</v>
      </c>
      <c r="K1339" t="str">
        <f>TEXT(discount_impact_on_profit_2000_rows[[#This Row],[order date]],"mmmm")</f>
        <v>August</v>
      </c>
      <c r="L1339">
        <f>YEAR(discount_impact_on_profit_2000_rows[[#This Row],[order date]])</f>
        <v>2024</v>
      </c>
      <c r="M1339" t="str">
        <f>IF(discount_impact_on_profit_2000_rows[[#This Row],[Discount %]]=0,"Zero Discount",IF(discount_impact_on_profit_2000_rows[[#This Row],[Discount %]]&lt;=10,"Low Discount","High Discount"))</f>
        <v>Low Discount</v>
      </c>
      <c r="N1339" t="str">
        <f t="shared" si="20"/>
        <v>0-10%</v>
      </c>
    </row>
    <row r="1340" spans="1:14">
      <c r="A1340" s="1">
        <v>45094</v>
      </c>
      <c r="B1340" t="s">
        <v>1402</v>
      </c>
      <c r="C1340" t="s">
        <v>18</v>
      </c>
      <c r="D1340" t="s">
        <v>42</v>
      </c>
      <c r="E1340">
        <v>1368.71</v>
      </c>
      <c r="F1340" t="s">
        <v>31</v>
      </c>
      <c r="G1340">
        <v>2364.9699999999998</v>
      </c>
      <c r="H1340">
        <v>996.26</v>
      </c>
      <c r="I1340">
        <v>25</v>
      </c>
      <c r="J1340">
        <v>2</v>
      </c>
      <c r="K1340" t="str">
        <f>TEXT(discount_impact_on_profit_2000_rows[[#This Row],[order date]],"mmmm")</f>
        <v>June</v>
      </c>
      <c r="L1340">
        <f>YEAR(discount_impact_on_profit_2000_rows[[#This Row],[order date]])</f>
        <v>2023</v>
      </c>
      <c r="M1340" t="str">
        <f>IF(discount_impact_on_profit_2000_rows[[#This Row],[Discount %]]=0,"Zero Discount",IF(discount_impact_on_profit_2000_rows[[#This Row],[Discount %]]&lt;=10,"Low Discount","High Discount"))</f>
        <v>High Discount</v>
      </c>
      <c r="N1340" t="str">
        <f t="shared" si="20"/>
        <v>20-30%</v>
      </c>
    </row>
    <row r="1341" spans="1:14">
      <c r="A1341" s="1">
        <v>45708</v>
      </c>
      <c r="B1341" t="s">
        <v>1403</v>
      </c>
      <c r="C1341" t="s">
        <v>53</v>
      </c>
      <c r="D1341" t="s">
        <v>70</v>
      </c>
      <c r="E1341">
        <v>2472.1</v>
      </c>
      <c r="F1341" t="s">
        <v>23</v>
      </c>
      <c r="G1341">
        <v>4440.1000000000004</v>
      </c>
      <c r="H1341">
        <v>1968</v>
      </c>
      <c r="I1341">
        <v>10</v>
      </c>
      <c r="J1341">
        <v>3</v>
      </c>
      <c r="K1341" t="str">
        <f>TEXT(discount_impact_on_profit_2000_rows[[#This Row],[order date]],"mmmm")</f>
        <v>February</v>
      </c>
      <c r="L1341">
        <f>YEAR(discount_impact_on_profit_2000_rows[[#This Row],[order date]])</f>
        <v>2025</v>
      </c>
      <c r="M1341" t="str">
        <f>IF(discount_impact_on_profit_2000_rows[[#This Row],[Discount %]]=0,"Zero Discount",IF(discount_impact_on_profit_2000_rows[[#This Row],[Discount %]]&lt;=10,"Low Discount","High Discount"))</f>
        <v>Low Discount</v>
      </c>
      <c r="N1341" t="str">
        <f t="shared" si="20"/>
        <v>0-10%</v>
      </c>
    </row>
    <row r="1342" spans="1:14">
      <c r="A1342" s="1">
        <v>44935</v>
      </c>
      <c r="B1342" t="s">
        <v>1404</v>
      </c>
      <c r="C1342" t="s">
        <v>21</v>
      </c>
      <c r="D1342" t="s">
        <v>97</v>
      </c>
      <c r="E1342">
        <v>17807.97</v>
      </c>
      <c r="F1342" t="s">
        <v>23</v>
      </c>
      <c r="G1342">
        <v>20304.66</v>
      </c>
      <c r="H1342">
        <v>2496.69</v>
      </c>
      <c r="I1342">
        <v>10</v>
      </c>
      <c r="J1342">
        <v>1</v>
      </c>
      <c r="K1342" t="str">
        <f>TEXT(discount_impact_on_profit_2000_rows[[#This Row],[order date]],"mmmm")</f>
        <v>January</v>
      </c>
      <c r="L1342">
        <f>YEAR(discount_impact_on_profit_2000_rows[[#This Row],[order date]])</f>
        <v>2023</v>
      </c>
      <c r="M1342" t="str">
        <f>IF(discount_impact_on_profit_2000_rows[[#This Row],[Discount %]]=0,"Zero Discount",IF(discount_impact_on_profit_2000_rows[[#This Row],[Discount %]]&lt;=10,"Low Discount","High Discount"))</f>
        <v>Low Discount</v>
      </c>
      <c r="N1342" t="str">
        <f t="shared" si="20"/>
        <v>0-10%</v>
      </c>
    </row>
    <row r="1343" spans="1:14">
      <c r="A1343" s="1">
        <v>45729</v>
      </c>
      <c r="B1343" t="s">
        <v>1405</v>
      </c>
      <c r="C1343" t="s">
        <v>53</v>
      </c>
      <c r="D1343" t="s">
        <v>70</v>
      </c>
      <c r="E1343">
        <v>8900.9500000000007</v>
      </c>
      <c r="F1343" t="s">
        <v>31</v>
      </c>
      <c r="G1343">
        <v>12916.72</v>
      </c>
      <c r="H1343">
        <v>4015.77</v>
      </c>
      <c r="I1343">
        <v>10</v>
      </c>
      <c r="J1343">
        <v>5</v>
      </c>
      <c r="K1343" t="str">
        <f>TEXT(discount_impact_on_profit_2000_rows[[#This Row],[order date]],"mmmm")</f>
        <v>March</v>
      </c>
      <c r="L1343">
        <f>YEAR(discount_impact_on_profit_2000_rows[[#This Row],[order date]])</f>
        <v>2025</v>
      </c>
      <c r="M1343" t="str">
        <f>IF(discount_impact_on_profit_2000_rows[[#This Row],[Discount %]]=0,"Zero Discount",IF(discount_impact_on_profit_2000_rows[[#This Row],[Discount %]]&lt;=10,"Low Discount","High Discount"))</f>
        <v>Low Discount</v>
      </c>
      <c r="N1343" t="str">
        <f t="shared" si="20"/>
        <v>0-10%</v>
      </c>
    </row>
    <row r="1344" spans="1:14">
      <c r="A1344" s="1">
        <v>45494</v>
      </c>
      <c r="B1344" t="s">
        <v>1406</v>
      </c>
      <c r="C1344" t="s">
        <v>15</v>
      </c>
      <c r="D1344" t="s">
        <v>86</v>
      </c>
      <c r="E1344">
        <v>2645.2</v>
      </c>
      <c r="F1344" t="s">
        <v>23</v>
      </c>
      <c r="G1344">
        <v>2659.47</v>
      </c>
      <c r="H1344">
        <v>14.27</v>
      </c>
      <c r="I1344">
        <v>22</v>
      </c>
      <c r="J1344">
        <v>2</v>
      </c>
      <c r="K1344" t="str">
        <f>TEXT(discount_impact_on_profit_2000_rows[[#This Row],[order date]],"mmmm")</f>
        <v>July</v>
      </c>
      <c r="L1344">
        <f>YEAR(discount_impact_on_profit_2000_rows[[#This Row],[order date]])</f>
        <v>2024</v>
      </c>
      <c r="M1344" t="str">
        <f>IF(discount_impact_on_profit_2000_rows[[#This Row],[Discount %]]=0,"Zero Discount",IF(discount_impact_on_profit_2000_rows[[#This Row],[Discount %]]&lt;=10,"Low Discount","High Discount"))</f>
        <v>High Discount</v>
      </c>
      <c r="N1344" t="str">
        <f t="shared" si="20"/>
        <v>20-30%</v>
      </c>
    </row>
    <row r="1345" spans="1:14">
      <c r="A1345" s="1">
        <v>45821</v>
      </c>
      <c r="B1345" t="s">
        <v>1407</v>
      </c>
      <c r="C1345" t="s">
        <v>53</v>
      </c>
      <c r="D1345" t="s">
        <v>152</v>
      </c>
      <c r="E1345">
        <v>1591.79</v>
      </c>
      <c r="F1345" t="s">
        <v>26</v>
      </c>
      <c r="G1345">
        <v>2135.0500000000002</v>
      </c>
      <c r="H1345">
        <v>543.26</v>
      </c>
      <c r="I1345">
        <v>25</v>
      </c>
      <c r="J1345">
        <v>4</v>
      </c>
      <c r="K1345" t="str">
        <f>TEXT(discount_impact_on_profit_2000_rows[[#This Row],[order date]],"mmmm")</f>
        <v>June</v>
      </c>
      <c r="L1345">
        <f>YEAR(discount_impact_on_profit_2000_rows[[#This Row],[order date]])</f>
        <v>2025</v>
      </c>
      <c r="M1345" t="str">
        <f>IF(discount_impact_on_profit_2000_rows[[#This Row],[Discount %]]=0,"Zero Discount",IF(discount_impact_on_profit_2000_rows[[#This Row],[Discount %]]&lt;=10,"Low Discount","High Discount"))</f>
        <v>High Discount</v>
      </c>
      <c r="N1345" t="str">
        <f t="shared" si="20"/>
        <v>20-30%</v>
      </c>
    </row>
    <row r="1346" spans="1:14">
      <c r="A1346" s="1">
        <v>45075</v>
      </c>
      <c r="B1346" t="s">
        <v>1408</v>
      </c>
      <c r="C1346" t="s">
        <v>53</v>
      </c>
      <c r="D1346" t="s">
        <v>59</v>
      </c>
      <c r="E1346">
        <v>8239.02</v>
      </c>
      <c r="F1346" t="s">
        <v>36</v>
      </c>
      <c r="G1346">
        <v>12432.9</v>
      </c>
      <c r="H1346">
        <v>4193.88</v>
      </c>
      <c r="I1346">
        <v>0</v>
      </c>
      <c r="J1346">
        <v>8</v>
      </c>
      <c r="K1346" t="str">
        <f>TEXT(discount_impact_on_profit_2000_rows[[#This Row],[order date]],"mmmm")</f>
        <v>May</v>
      </c>
      <c r="L1346">
        <f>YEAR(discount_impact_on_profit_2000_rows[[#This Row],[order date]])</f>
        <v>2023</v>
      </c>
      <c r="M1346" t="str">
        <f>IF(discount_impact_on_profit_2000_rows[[#This Row],[Discount %]]=0,"Zero Discount",IF(discount_impact_on_profit_2000_rows[[#This Row],[Discount %]]&lt;=10,"Low Discount","High Discount"))</f>
        <v>Zero Discount</v>
      </c>
      <c r="N1346" t="str">
        <f t="shared" ref="N1346:N1409" si="21">IF(I1346&lt;=10,"0-10%",IF(I1346&lt;=20,"10-20%",IF(I1346&lt;=30,"20-30%","30%+")))</f>
        <v>0-10%</v>
      </c>
    </row>
    <row r="1347" spans="1:14">
      <c r="A1347" s="1">
        <v>45554</v>
      </c>
      <c r="B1347" t="s">
        <v>1409</v>
      </c>
      <c r="C1347" t="s">
        <v>18</v>
      </c>
      <c r="D1347" t="s">
        <v>104</v>
      </c>
      <c r="E1347">
        <v>481.68</v>
      </c>
      <c r="F1347" t="s">
        <v>26</v>
      </c>
      <c r="G1347">
        <v>870.55</v>
      </c>
      <c r="H1347">
        <v>388.87</v>
      </c>
      <c r="I1347">
        <v>10</v>
      </c>
      <c r="J1347">
        <v>3</v>
      </c>
      <c r="K1347" t="str">
        <f>TEXT(discount_impact_on_profit_2000_rows[[#This Row],[order date]],"mmmm")</f>
        <v>September</v>
      </c>
      <c r="L1347">
        <f>YEAR(discount_impact_on_profit_2000_rows[[#This Row],[order date]])</f>
        <v>2024</v>
      </c>
      <c r="M1347" t="str">
        <f>IF(discount_impact_on_profit_2000_rows[[#This Row],[Discount %]]=0,"Zero Discount",IF(discount_impact_on_profit_2000_rows[[#This Row],[Discount %]]&lt;=10,"Low Discount","High Discount"))</f>
        <v>Low Discount</v>
      </c>
      <c r="N1347" t="str">
        <f t="shared" si="21"/>
        <v>0-10%</v>
      </c>
    </row>
    <row r="1348" spans="1:14">
      <c r="A1348" s="1">
        <v>45299</v>
      </c>
      <c r="B1348" t="s">
        <v>1410</v>
      </c>
      <c r="C1348" t="s">
        <v>11</v>
      </c>
      <c r="D1348" t="s">
        <v>207</v>
      </c>
      <c r="E1348">
        <v>3953.99</v>
      </c>
      <c r="F1348" t="s">
        <v>26</v>
      </c>
      <c r="G1348">
        <v>6181.72</v>
      </c>
      <c r="H1348">
        <v>2227.73</v>
      </c>
      <c r="I1348">
        <v>5</v>
      </c>
      <c r="J1348">
        <v>2</v>
      </c>
      <c r="K1348" t="str">
        <f>TEXT(discount_impact_on_profit_2000_rows[[#This Row],[order date]],"mmmm")</f>
        <v>January</v>
      </c>
      <c r="L1348">
        <f>YEAR(discount_impact_on_profit_2000_rows[[#This Row],[order date]])</f>
        <v>2024</v>
      </c>
      <c r="M1348" t="str">
        <f>IF(discount_impact_on_profit_2000_rows[[#This Row],[Discount %]]=0,"Zero Discount",IF(discount_impact_on_profit_2000_rows[[#This Row],[Discount %]]&lt;=10,"Low Discount","High Discount"))</f>
        <v>Low Discount</v>
      </c>
      <c r="N1348" t="str">
        <f t="shared" si="21"/>
        <v>0-10%</v>
      </c>
    </row>
    <row r="1349" spans="1:14">
      <c r="A1349" s="1">
        <v>45963</v>
      </c>
      <c r="B1349" t="s">
        <v>1411</v>
      </c>
      <c r="C1349" t="s">
        <v>11</v>
      </c>
      <c r="D1349" t="s">
        <v>12</v>
      </c>
      <c r="E1349">
        <v>1967.71</v>
      </c>
      <c r="F1349" t="s">
        <v>31</v>
      </c>
      <c r="G1349">
        <v>3082.69</v>
      </c>
      <c r="H1349">
        <v>1114.98</v>
      </c>
      <c r="I1349">
        <v>0</v>
      </c>
      <c r="J1349">
        <v>6</v>
      </c>
      <c r="K1349" t="str">
        <f>TEXT(discount_impact_on_profit_2000_rows[[#This Row],[order date]],"mmmm")</f>
        <v>November</v>
      </c>
      <c r="L1349">
        <f>YEAR(discount_impact_on_profit_2000_rows[[#This Row],[order date]])</f>
        <v>2025</v>
      </c>
      <c r="M1349" t="str">
        <f>IF(discount_impact_on_profit_2000_rows[[#This Row],[Discount %]]=0,"Zero Discount",IF(discount_impact_on_profit_2000_rows[[#This Row],[Discount %]]&lt;=10,"Low Discount","High Discount"))</f>
        <v>Zero Discount</v>
      </c>
      <c r="N1349" t="str">
        <f t="shared" si="21"/>
        <v>0-10%</v>
      </c>
    </row>
    <row r="1350" spans="1:14">
      <c r="A1350" s="1">
        <v>45057</v>
      </c>
      <c r="B1350" t="s">
        <v>1412</v>
      </c>
      <c r="C1350" t="s">
        <v>53</v>
      </c>
      <c r="D1350" t="s">
        <v>152</v>
      </c>
      <c r="E1350">
        <v>5130.91</v>
      </c>
      <c r="F1350" t="s">
        <v>23</v>
      </c>
      <c r="G1350">
        <v>8854.4500000000007</v>
      </c>
      <c r="H1350">
        <v>3723.54</v>
      </c>
      <c r="I1350">
        <v>15</v>
      </c>
      <c r="J1350">
        <v>5</v>
      </c>
      <c r="K1350" t="str">
        <f>TEXT(discount_impact_on_profit_2000_rows[[#This Row],[order date]],"mmmm")</f>
        <v>May</v>
      </c>
      <c r="L1350">
        <f>YEAR(discount_impact_on_profit_2000_rows[[#This Row],[order date]])</f>
        <v>2023</v>
      </c>
      <c r="M1350" t="str">
        <f>IF(discount_impact_on_profit_2000_rows[[#This Row],[Discount %]]=0,"Zero Discount",IF(discount_impact_on_profit_2000_rows[[#This Row],[Discount %]]&lt;=10,"Low Discount","High Discount"))</f>
        <v>High Discount</v>
      </c>
      <c r="N1350" t="str">
        <f t="shared" si="21"/>
        <v>10-20%</v>
      </c>
    </row>
    <row r="1351" spans="1:14">
      <c r="A1351" s="1">
        <v>44936</v>
      </c>
      <c r="B1351" t="s">
        <v>1413</v>
      </c>
      <c r="C1351" t="s">
        <v>11</v>
      </c>
      <c r="D1351" t="s">
        <v>207</v>
      </c>
      <c r="E1351">
        <v>8876.76</v>
      </c>
      <c r="F1351" t="s">
        <v>26</v>
      </c>
      <c r="G1351">
        <v>18816.71</v>
      </c>
      <c r="H1351">
        <v>9939.9500000000007</v>
      </c>
      <c r="I1351">
        <v>15</v>
      </c>
      <c r="J1351">
        <v>6</v>
      </c>
      <c r="K1351" t="str">
        <f>TEXT(discount_impact_on_profit_2000_rows[[#This Row],[order date]],"mmmm")</f>
        <v>January</v>
      </c>
      <c r="L1351">
        <f>YEAR(discount_impact_on_profit_2000_rows[[#This Row],[order date]])</f>
        <v>2023</v>
      </c>
      <c r="M1351" t="str">
        <f>IF(discount_impact_on_profit_2000_rows[[#This Row],[Discount %]]=0,"Zero Discount",IF(discount_impact_on_profit_2000_rows[[#This Row],[Discount %]]&lt;=10,"Low Discount","High Discount"))</f>
        <v>High Discount</v>
      </c>
      <c r="N1351" t="str">
        <f t="shared" si="21"/>
        <v>10-20%</v>
      </c>
    </row>
    <row r="1352" spans="1:14">
      <c r="A1352" s="1">
        <v>44979</v>
      </c>
      <c r="B1352" t="s">
        <v>1414</v>
      </c>
      <c r="C1352" t="s">
        <v>18</v>
      </c>
      <c r="D1352" t="s">
        <v>140</v>
      </c>
      <c r="E1352">
        <v>1027.94</v>
      </c>
      <c r="F1352" t="s">
        <v>26</v>
      </c>
      <c r="G1352">
        <v>1391.44</v>
      </c>
      <c r="H1352">
        <v>363.5</v>
      </c>
      <c r="I1352">
        <v>15</v>
      </c>
      <c r="J1352">
        <v>2</v>
      </c>
      <c r="K1352" t="str">
        <f>TEXT(discount_impact_on_profit_2000_rows[[#This Row],[order date]],"mmmm")</f>
        <v>February</v>
      </c>
      <c r="L1352">
        <f>YEAR(discount_impact_on_profit_2000_rows[[#This Row],[order date]])</f>
        <v>2023</v>
      </c>
      <c r="M1352" t="str">
        <f>IF(discount_impact_on_profit_2000_rows[[#This Row],[Discount %]]=0,"Zero Discount",IF(discount_impact_on_profit_2000_rows[[#This Row],[Discount %]]&lt;=10,"Low Discount","High Discount"))</f>
        <v>High Discount</v>
      </c>
      <c r="N1352" t="str">
        <f t="shared" si="21"/>
        <v>10-20%</v>
      </c>
    </row>
    <row r="1353" spans="1:14">
      <c r="A1353" s="1">
        <v>45656</v>
      </c>
      <c r="B1353" t="s">
        <v>1415</v>
      </c>
      <c r="C1353" t="s">
        <v>18</v>
      </c>
      <c r="D1353" t="s">
        <v>19</v>
      </c>
      <c r="E1353">
        <v>622.85</v>
      </c>
      <c r="F1353" t="s">
        <v>26</v>
      </c>
      <c r="G1353">
        <v>957.78</v>
      </c>
      <c r="H1353">
        <v>334.93</v>
      </c>
      <c r="I1353">
        <v>25</v>
      </c>
      <c r="J1353">
        <v>4</v>
      </c>
      <c r="K1353" t="str">
        <f>TEXT(discount_impact_on_profit_2000_rows[[#This Row],[order date]],"mmmm")</f>
        <v>December</v>
      </c>
      <c r="L1353">
        <f>YEAR(discount_impact_on_profit_2000_rows[[#This Row],[order date]])</f>
        <v>2024</v>
      </c>
      <c r="M1353" t="str">
        <f>IF(discount_impact_on_profit_2000_rows[[#This Row],[Discount %]]=0,"Zero Discount",IF(discount_impact_on_profit_2000_rows[[#This Row],[Discount %]]&lt;=10,"Low Discount","High Discount"))</f>
        <v>High Discount</v>
      </c>
      <c r="N1353" t="str">
        <f t="shared" si="21"/>
        <v>20-30%</v>
      </c>
    </row>
    <row r="1354" spans="1:14">
      <c r="A1354" s="1">
        <v>45601</v>
      </c>
      <c r="B1354" t="s">
        <v>1416</v>
      </c>
      <c r="C1354" t="s">
        <v>33</v>
      </c>
      <c r="D1354" t="s">
        <v>34</v>
      </c>
      <c r="E1354">
        <v>6837.63</v>
      </c>
      <c r="F1354" t="s">
        <v>26</v>
      </c>
      <c r="G1354">
        <v>10339.67</v>
      </c>
      <c r="H1354">
        <v>3502.04</v>
      </c>
      <c r="I1354">
        <v>10</v>
      </c>
      <c r="J1354">
        <v>3</v>
      </c>
      <c r="K1354" t="str">
        <f>TEXT(discount_impact_on_profit_2000_rows[[#This Row],[order date]],"mmmm")</f>
        <v>November</v>
      </c>
      <c r="L1354">
        <f>YEAR(discount_impact_on_profit_2000_rows[[#This Row],[order date]])</f>
        <v>2024</v>
      </c>
      <c r="M1354" t="str">
        <f>IF(discount_impact_on_profit_2000_rows[[#This Row],[Discount %]]=0,"Zero Discount",IF(discount_impact_on_profit_2000_rows[[#This Row],[Discount %]]&lt;=10,"Low Discount","High Discount"))</f>
        <v>Low Discount</v>
      </c>
      <c r="N1354" t="str">
        <f t="shared" si="21"/>
        <v>0-10%</v>
      </c>
    </row>
    <row r="1355" spans="1:14">
      <c r="A1355" s="1">
        <v>45459</v>
      </c>
      <c r="B1355" t="s">
        <v>1417</v>
      </c>
      <c r="C1355" t="s">
        <v>33</v>
      </c>
      <c r="D1355" t="s">
        <v>273</v>
      </c>
      <c r="E1355">
        <v>9474.2199999999993</v>
      </c>
      <c r="F1355" t="s">
        <v>13</v>
      </c>
      <c r="G1355">
        <v>9489.6</v>
      </c>
      <c r="H1355">
        <v>15.38</v>
      </c>
      <c r="I1355">
        <v>29</v>
      </c>
      <c r="J1355">
        <v>1</v>
      </c>
      <c r="K1355" t="str">
        <f>TEXT(discount_impact_on_profit_2000_rows[[#This Row],[order date]],"mmmm")</f>
        <v>June</v>
      </c>
      <c r="L1355">
        <f>YEAR(discount_impact_on_profit_2000_rows[[#This Row],[order date]])</f>
        <v>2024</v>
      </c>
      <c r="M1355" t="str">
        <f>IF(discount_impact_on_profit_2000_rows[[#This Row],[Discount %]]=0,"Zero Discount",IF(discount_impact_on_profit_2000_rows[[#This Row],[Discount %]]&lt;=10,"Low Discount","High Discount"))</f>
        <v>High Discount</v>
      </c>
      <c r="N1355" t="str">
        <f t="shared" si="21"/>
        <v>20-30%</v>
      </c>
    </row>
    <row r="1356" spans="1:14">
      <c r="A1356" s="1">
        <v>45436</v>
      </c>
      <c r="B1356" t="s">
        <v>1418</v>
      </c>
      <c r="C1356" t="s">
        <v>21</v>
      </c>
      <c r="D1356" t="s">
        <v>57</v>
      </c>
      <c r="E1356">
        <v>31181.32</v>
      </c>
      <c r="F1356" t="s">
        <v>13</v>
      </c>
      <c r="G1356">
        <v>44117.14</v>
      </c>
      <c r="H1356">
        <v>12935.82</v>
      </c>
      <c r="I1356">
        <v>0</v>
      </c>
      <c r="J1356">
        <v>8</v>
      </c>
      <c r="K1356" t="str">
        <f>TEXT(discount_impact_on_profit_2000_rows[[#This Row],[order date]],"mmmm")</f>
        <v>May</v>
      </c>
      <c r="L1356">
        <f>YEAR(discount_impact_on_profit_2000_rows[[#This Row],[order date]])</f>
        <v>2024</v>
      </c>
      <c r="M1356" t="str">
        <f>IF(discount_impact_on_profit_2000_rows[[#This Row],[Discount %]]=0,"Zero Discount",IF(discount_impact_on_profit_2000_rows[[#This Row],[Discount %]]&lt;=10,"Low Discount","High Discount"))</f>
        <v>Zero Discount</v>
      </c>
      <c r="N1356" t="str">
        <f t="shared" si="21"/>
        <v>0-10%</v>
      </c>
    </row>
    <row r="1357" spans="1:14">
      <c r="A1357" s="1">
        <v>44984</v>
      </c>
      <c r="B1357" t="s">
        <v>1419</v>
      </c>
      <c r="C1357" t="s">
        <v>18</v>
      </c>
      <c r="D1357" t="s">
        <v>42</v>
      </c>
      <c r="E1357">
        <v>1224.0899999999999</v>
      </c>
      <c r="F1357" t="s">
        <v>36</v>
      </c>
      <c r="G1357">
        <v>2526.36</v>
      </c>
      <c r="H1357">
        <v>1302.27</v>
      </c>
      <c r="I1357">
        <v>5</v>
      </c>
      <c r="J1357">
        <v>3</v>
      </c>
      <c r="K1357" t="str">
        <f>TEXT(discount_impact_on_profit_2000_rows[[#This Row],[order date]],"mmmm")</f>
        <v>February</v>
      </c>
      <c r="L1357">
        <f>YEAR(discount_impact_on_profit_2000_rows[[#This Row],[order date]])</f>
        <v>2023</v>
      </c>
      <c r="M1357" t="str">
        <f>IF(discount_impact_on_profit_2000_rows[[#This Row],[Discount %]]=0,"Zero Discount",IF(discount_impact_on_profit_2000_rows[[#This Row],[Discount %]]&lt;=10,"Low Discount","High Discount"))</f>
        <v>Low Discount</v>
      </c>
      <c r="N1357" t="str">
        <f t="shared" si="21"/>
        <v>0-10%</v>
      </c>
    </row>
    <row r="1358" spans="1:14">
      <c r="A1358" s="1">
        <v>45740</v>
      </c>
      <c r="B1358" t="s">
        <v>1420</v>
      </c>
      <c r="C1358" t="s">
        <v>21</v>
      </c>
      <c r="D1358" t="s">
        <v>57</v>
      </c>
      <c r="E1358">
        <v>2554.48</v>
      </c>
      <c r="F1358" t="s">
        <v>26</v>
      </c>
      <c r="G1358">
        <v>3552.68</v>
      </c>
      <c r="H1358">
        <v>998.2</v>
      </c>
      <c r="I1358">
        <v>0</v>
      </c>
      <c r="J1358">
        <v>2</v>
      </c>
      <c r="K1358" t="str">
        <f>TEXT(discount_impact_on_profit_2000_rows[[#This Row],[order date]],"mmmm")</f>
        <v>March</v>
      </c>
      <c r="L1358">
        <f>YEAR(discount_impact_on_profit_2000_rows[[#This Row],[order date]])</f>
        <v>2025</v>
      </c>
      <c r="M1358" t="str">
        <f>IF(discount_impact_on_profit_2000_rows[[#This Row],[Discount %]]=0,"Zero Discount",IF(discount_impact_on_profit_2000_rows[[#This Row],[Discount %]]&lt;=10,"Low Discount","High Discount"))</f>
        <v>Zero Discount</v>
      </c>
      <c r="N1358" t="str">
        <f t="shared" si="21"/>
        <v>0-10%</v>
      </c>
    </row>
    <row r="1359" spans="1:14">
      <c r="A1359" s="1">
        <v>45002</v>
      </c>
      <c r="B1359" t="s">
        <v>1421</v>
      </c>
      <c r="C1359" t="s">
        <v>33</v>
      </c>
      <c r="D1359" t="s">
        <v>92</v>
      </c>
      <c r="E1359">
        <v>1413.26</v>
      </c>
      <c r="F1359" t="s">
        <v>36</v>
      </c>
      <c r="G1359">
        <v>2410.79</v>
      </c>
      <c r="H1359">
        <v>997.53</v>
      </c>
      <c r="I1359">
        <v>0</v>
      </c>
      <c r="J1359">
        <v>1</v>
      </c>
      <c r="K1359" t="str">
        <f>TEXT(discount_impact_on_profit_2000_rows[[#This Row],[order date]],"mmmm")</f>
        <v>March</v>
      </c>
      <c r="L1359">
        <f>YEAR(discount_impact_on_profit_2000_rows[[#This Row],[order date]])</f>
        <v>2023</v>
      </c>
      <c r="M1359" t="str">
        <f>IF(discount_impact_on_profit_2000_rows[[#This Row],[Discount %]]=0,"Zero Discount",IF(discount_impact_on_profit_2000_rows[[#This Row],[Discount %]]&lt;=10,"Low Discount","High Discount"))</f>
        <v>Zero Discount</v>
      </c>
      <c r="N1359" t="str">
        <f t="shared" si="21"/>
        <v>0-10%</v>
      </c>
    </row>
    <row r="1360" spans="1:14">
      <c r="A1360" s="1">
        <v>45736</v>
      </c>
      <c r="B1360" t="s">
        <v>1422</v>
      </c>
      <c r="C1360" t="s">
        <v>53</v>
      </c>
      <c r="D1360" t="s">
        <v>113</v>
      </c>
      <c r="E1360">
        <v>3105.56</v>
      </c>
      <c r="F1360" t="s">
        <v>26</v>
      </c>
      <c r="G1360">
        <v>5369.18</v>
      </c>
      <c r="H1360">
        <v>2263.62</v>
      </c>
      <c r="I1360">
        <v>20</v>
      </c>
      <c r="J1360">
        <v>10</v>
      </c>
      <c r="K1360" t="str">
        <f>TEXT(discount_impact_on_profit_2000_rows[[#This Row],[order date]],"mmmm")</f>
        <v>March</v>
      </c>
      <c r="L1360">
        <f>YEAR(discount_impact_on_profit_2000_rows[[#This Row],[order date]])</f>
        <v>2025</v>
      </c>
      <c r="M1360" t="str">
        <f>IF(discount_impact_on_profit_2000_rows[[#This Row],[Discount %]]=0,"Zero Discount",IF(discount_impact_on_profit_2000_rows[[#This Row],[Discount %]]&lt;=10,"Low Discount","High Discount"))</f>
        <v>High Discount</v>
      </c>
      <c r="N1360" t="str">
        <f t="shared" si="21"/>
        <v>10-20%</v>
      </c>
    </row>
    <row r="1361" spans="1:14">
      <c r="A1361" s="1">
        <v>45142</v>
      </c>
      <c r="B1361" t="s">
        <v>1423</v>
      </c>
      <c r="C1361" t="s">
        <v>18</v>
      </c>
      <c r="D1361" t="s">
        <v>19</v>
      </c>
      <c r="E1361">
        <v>1338.32</v>
      </c>
      <c r="F1361" t="s">
        <v>13</v>
      </c>
      <c r="G1361">
        <v>2232.71</v>
      </c>
      <c r="H1361">
        <v>894.39</v>
      </c>
      <c r="I1361">
        <v>5</v>
      </c>
      <c r="J1361">
        <v>3</v>
      </c>
      <c r="K1361" t="str">
        <f>TEXT(discount_impact_on_profit_2000_rows[[#This Row],[order date]],"mmmm")</f>
        <v>August</v>
      </c>
      <c r="L1361">
        <f>YEAR(discount_impact_on_profit_2000_rows[[#This Row],[order date]])</f>
        <v>2023</v>
      </c>
      <c r="M1361" t="str">
        <f>IF(discount_impact_on_profit_2000_rows[[#This Row],[Discount %]]=0,"Zero Discount",IF(discount_impact_on_profit_2000_rows[[#This Row],[Discount %]]&lt;=10,"Low Discount","High Discount"))</f>
        <v>Low Discount</v>
      </c>
      <c r="N1361" t="str">
        <f t="shared" si="21"/>
        <v>0-10%</v>
      </c>
    </row>
    <row r="1362" spans="1:14">
      <c r="A1362" s="1">
        <v>45470</v>
      </c>
      <c r="B1362" t="s">
        <v>1424</v>
      </c>
      <c r="C1362" t="s">
        <v>18</v>
      </c>
      <c r="D1362" t="s">
        <v>50</v>
      </c>
      <c r="E1362">
        <v>2081.2600000000002</v>
      </c>
      <c r="F1362" t="s">
        <v>36</v>
      </c>
      <c r="G1362">
        <v>2264.4499999999998</v>
      </c>
      <c r="H1362">
        <v>183.19</v>
      </c>
      <c r="I1362">
        <v>30</v>
      </c>
      <c r="J1362">
        <v>2</v>
      </c>
      <c r="K1362" t="str">
        <f>TEXT(discount_impact_on_profit_2000_rows[[#This Row],[order date]],"mmmm")</f>
        <v>June</v>
      </c>
      <c r="L1362">
        <f>YEAR(discount_impact_on_profit_2000_rows[[#This Row],[order date]])</f>
        <v>2024</v>
      </c>
      <c r="M1362" t="str">
        <f>IF(discount_impact_on_profit_2000_rows[[#This Row],[Discount %]]=0,"Zero Discount",IF(discount_impact_on_profit_2000_rows[[#This Row],[Discount %]]&lt;=10,"Low Discount","High Discount"))</f>
        <v>High Discount</v>
      </c>
      <c r="N1362" t="str">
        <f t="shared" si="21"/>
        <v>20-30%</v>
      </c>
    </row>
    <row r="1363" spans="1:14">
      <c r="A1363" s="1">
        <v>45514</v>
      </c>
      <c r="B1363" t="s">
        <v>1425</v>
      </c>
      <c r="C1363" t="s">
        <v>33</v>
      </c>
      <c r="D1363" t="s">
        <v>203</v>
      </c>
      <c r="E1363">
        <v>48039.63</v>
      </c>
      <c r="F1363" t="s">
        <v>31</v>
      </c>
      <c r="G1363">
        <v>62916.44</v>
      </c>
      <c r="H1363">
        <v>14876.81</v>
      </c>
      <c r="I1363">
        <v>15</v>
      </c>
      <c r="J1363">
        <v>5</v>
      </c>
      <c r="K1363" t="str">
        <f>TEXT(discount_impact_on_profit_2000_rows[[#This Row],[order date]],"mmmm")</f>
        <v>August</v>
      </c>
      <c r="L1363">
        <f>YEAR(discount_impact_on_profit_2000_rows[[#This Row],[order date]])</f>
        <v>2024</v>
      </c>
      <c r="M1363" t="str">
        <f>IF(discount_impact_on_profit_2000_rows[[#This Row],[Discount %]]=0,"Zero Discount",IF(discount_impact_on_profit_2000_rows[[#This Row],[Discount %]]&lt;=10,"Low Discount","High Discount"))</f>
        <v>High Discount</v>
      </c>
      <c r="N1363" t="str">
        <f t="shared" si="21"/>
        <v>10-20%</v>
      </c>
    </row>
    <row r="1364" spans="1:14">
      <c r="A1364" s="1">
        <v>45282</v>
      </c>
      <c r="B1364" t="s">
        <v>1426</v>
      </c>
      <c r="C1364" t="s">
        <v>18</v>
      </c>
      <c r="D1364" t="s">
        <v>140</v>
      </c>
      <c r="E1364">
        <v>168.77</v>
      </c>
      <c r="F1364" t="s">
        <v>31</v>
      </c>
      <c r="G1364">
        <v>348.81</v>
      </c>
      <c r="H1364">
        <v>180.04</v>
      </c>
      <c r="I1364">
        <v>10</v>
      </c>
      <c r="J1364">
        <v>2</v>
      </c>
      <c r="K1364" t="str">
        <f>TEXT(discount_impact_on_profit_2000_rows[[#This Row],[order date]],"mmmm")</f>
        <v>December</v>
      </c>
      <c r="L1364">
        <f>YEAR(discount_impact_on_profit_2000_rows[[#This Row],[order date]])</f>
        <v>2023</v>
      </c>
      <c r="M1364" t="str">
        <f>IF(discount_impact_on_profit_2000_rows[[#This Row],[Discount %]]=0,"Zero Discount",IF(discount_impact_on_profit_2000_rows[[#This Row],[Discount %]]&lt;=10,"Low Discount","High Discount"))</f>
        <v>Low Discount</v>
      </c>
      <c r="N1364" t="str">
        <f t="shared" si="21"/>
        <v>0-10%</v>
      </c>
    </row>
    <row r="1365" spans="1:14">
      <c r="A1365" s="1">
        <v>46005</v>
      </c>
      <c r="B1365" t="s">
        <v>1427</v>
      </c>
      <c r="C1365" t="s">
        <v>53</v>
      </c>
      <c r="D1365" t="s">
        <v>113</v>
      </c>
      <c r="E1365">
        <v>996.16</v>
      </c>
      <c r="F1365" t="s">
        <v>36</v>
      </c>
      <c r="G1365">
        <v>1515.43</v>
      </c>
      <c r="H1365">
        <v>519.27</v>
      </c>
      <c r="I1365">
        <v>0</v>
      </c>
      <c r="J1365">
        <v>1</v>
      </c>
      <c r="K1365" t="str">
        <f>TEXT(discount_impact_on_profit_2000_rows[[#This Row],[order date]],"mmmm")</f>
        <v>December</v>
      </c>
      <c r="L1365">
        <f>YEAR(discount_impact_on_profit_2000_rows[[#This Row],[order date]])</f>
        <v>2025</v>
      </c>
      <c r="M1365" t="str">
        <f>IF(discount_impact_on_profit_2000_rows[[#This Row],[Discount %]]=0,"Zero Discount",IF(discount_impact_on_profit_2000_rows[[#This Row],[Discount %]]&lt;=10,"Low Discount","High Discount"))</f>
        <v>Zero Discount</v>
      </c>
      <c r="N1365" t="str">
        <f t="shared" si="21"/>
        <v>0-10%</v>
      </c>
    </row>
    <row r="1366" spans="1:14">
      <c r="A1366" s="1">
        <v>45992</v>
      </c>
      <c r="B1366" t="s">
        <v>1428</v>
      </c>
      <c r="C1366" t="s">
        <v>21</v>
      </c>
      <c r="D1366" t="s">
        <v>123</v>
      </c>
      <c r="E1366">
        <v>8906.9699999999993</v>
      </c>
      <c r="F1366" t="s">
        <v>23</v>
      </c>
      <c r="G1366">
        <v>9495.6299999999992</v>
      </c>
      <c r="H1366">
        <v>588.66</v>
      </c>
      <c r="I1366">
        <v>10</v>
      </c>
      <c r="J1366">
        <v>1</v>
      </c>
      <c r="K1366" t="str">
        <f>TEXT(discount_impact_on_profit_2000_rows[[#This Row],[order date]],"mmmm")</f>
        <v>December</v>
      </c>
      <c r="L1366">
        <f>YEAR(discount_impact_on_profit_2000_rows[[#This Row],[order date]])</f>
        <v>2025</v>
      </c>
      <c r="M1366" t="str">
        <f>IF(discount_impact_on_profit_2000_rows[[#This Row],[Discount %]]=0,"Zero Discount",IF(discount_impact_on_profit_2000_rows[[#This Row],[Discount %]]&lt;=10,"Low Discount","High Discount"))</f>
        <v>Low Discount</v>
      </c>
      <c r="N1366" t="str">
        <f t="shared" si="21"/>
        <v>0-10%</v>
      </c>
    </row>
    <row r="1367" spans="1:14">
      <c r="A1367" s="1">
        <v>45501</v>
      </c>
      <c r="B1367" t="s">
        <v>1429</v>
      </c>
      <c r="C1367" t="s">
        <v>11</v>
      </c>
      <c r="D1367" t="s">
        <v>64</v>
      </c>
      <c r="E1367">
        <v>5266.15</v>
      </c>
      <c r="F1367" t="s">
        <v>26</v>
      </c>
      <c r="G1367">
        <v>10013.26</v>
      </c>
      <c r="H1367">
        <v>4747.1099999999997</v>
      </c>
      <c r="I1367">
        <v>5</v>
      </c>
      <c r="J1367">
        <v>6</v>
      </c>
      <c r="K1367" t="str">
        <f>TEXT(discount_impact_on_profit_2000_rows[[#This Row],[order date]],"mmmm")</f>
        <v>July</v>
      </c>
      <c r="L1367">
        <f>YEAR(discount_impact_on_profit_2000_rows[[#This Row],[order date]])</f>
        <v>2024</v>
      </c>
      <c r="M1367" t="str">
        <f>IF(discount_impact_on_profit_2000_rows[[#This Row],[Discount %]]=0,"Zero Discount",IF(discount_impact_on_profit_2000_rows[[#This Row],[Discount %]]&lt;=10,"Low Discount","High Discount"))</f>
        <v>Low Discount</v>
      </c>
      <c r="N1367" t="str">
        <f t="shared" si="21"/>
        <v>0-10%</v>
      </c>
    </row>
    <row r="1368" spans="1:14">
      <c r="A1368" s="1">
        <v>45731</v>
      </c>
      <c r="B1368" t="s">
        <v>1430</v>
      </c>
      <c r="C1368" t="s">
        <v>18</v>
      </c>
      <c r="D1368" t="s">
        <v>188</v>
      </c>
      <c r="E1368">
        <v>224.09</v>
      </c>
      <c r="F1368" t="s">
        <v>26</v>
      </c>
      <c r="G1368">
        <v>321.06</v>
      </c>
      <c r="H1368">
        <v>96.97</v>
      </c>
      <c r="I1368">
        <v>30</v>
      </c>
      <c r="J1368">
        <v>1</v>
      </c>
      <c r="K1368" t="str">
        <f>TEXT(discount_impact_on_profit_2000_rows[[#This Row],[order date]],"mmmm")</f>
        <v>March</v>
      </c>
      <c r="L1368">
        <f>YEAR(discount_impact_on_profit_2000_rows[[#This Row],[order date]])</f>
        <v>2025</v>
      </c>
      <c r="M1368" t="str">
        <f>IF(discount_impact_on_profit_2000_rows[[#This Row],[Discount %]]=0,"Zero Discount",IF(discount_impact_on_profit_2000_rows[[#This Row],[Discount %]]&lt;=10,"Low Discount","High Discount"))</f>
        <v>High Discount</v>
      </c>
      <c r="N1368" t="str">
        <f t="shared" si="21"/>
        <v>20-30%</v>
      </c>
    </row>
    <row r="1369" spans="1:14">
      <c r="A1369" s="1">
        <v>45939</v>
      </c>
      <c r="B1369" t="s">
        <v>1431</v>
      </c>
      <c r="C1369" t="s">
        <v>53</v>
      </c>
      <c r="D1369" t="s">
        <v>78</v>
      </c>
      <c r="E1369">
        <v>2043.01</v>
      </c>
      <c r="F1369" t="s">
        <v>36</v>
      </c>
      <c r="G1369">
        <v>3484.87</v>
      </c>
      <c r="H1369">
        <v>1441.86</v>
      </c>
      <c r="I1369">
        <v>15</v>
      </c>
      <c r="J1369">
        <v>1</v>
      </c>
      <c r="K1369" t="str">
        <f>TEXT(discount_impact_on_profit_2000_rows[[#This Row],[order date]],"mmmm")</f>
        <v>October</v>
      </c>
      <c r="L1369">
        <f>YEAR(discount_impact_on_profit_2000_rows[[#This Row],[order date]])</f>
        <v>2025</v>
      </c>
      <c r="M1369" t="str">
        <f>IF(discount_impact_on_profit_2000_rows[[#This Row],[Discount %]]=0,"Zero Discount",IF(discount_impact_on_profit_2000_rows[[#This Row],[Discount %]]&lt;=10,"Low Discount","High Discount"))</f>
        <v>High Discount</v>
      </c>
      <c r="N1369" t="str">
        <f t="shared" si="21"/>
        <v>10-20%</v>
      </c>
    </row>
    <row r="1370" spans="1:14">
      <c r="A1370" s="1">
        <v>45746</v>
      </c>
      <c r="B1370" t="s">
        <v>1432</v>
      </c>
      <c r="C1370" t="s">
        <v>15</v>
      </c>
      <c r="D1370" t="s">
        <v>86</v>
      </c>
      <c r="E1370">
        <v>8656.6200000000008</v>
      </c>
      <c r="F1370" t="s">
        <v>26</v>
      </c>
      <c r="G1370">
        <v>12399.86</v>
      </c>
      <c r="H1370">
        <v>3743.24</v>
      </c>
      <c r="I1370">
        <v>10</v>
      </c>
      <c r="J1370">
        <v>3</v>
      </c>
      <c r="K1370" t="str">
        <f>TEXT(discount_impact_on_profit_2000_rows[[#This Row],[order date]],"mmmm")</f>
        <v>March</v>
      </c>
      <c r="L1370">
        <f>YEAR(discount_impact_on_profit_2000_rows[[#This Row],[order date]])</f>
        <v>2025</v>
      </c>
      <c r="M1370" t="str">
        <f>IF(discount_impact_on_profit_2000_rows[[#This Row],[Discount %]]=0,"Zero Discount",IF(discount_impact_on_profit_2000_rows[[#This Row],[Discount %]]&lt;=10,"Low Discount","High Discount"))</f>
        <v>Low Discount</v>
      </c>
      <c r="N1370" t="str">
        <f t="shared" si="21"/>
        <v>0-10%</v>
      </c>
    </row>
    <row r="1371" spans="1:14">
      <c r="A1371" s="1">
        <v>45787</v>
      </c>
      <c r="B1371" t="s">
        <v>1433</v>
      </c>
      <c r="C1371" t="s">
        <v>21</v>
      </c>
      <c r="D1371" t="s">
        <v>109</v>
      </c>
      <c r="E1371">
        <v>11718.53</v>
      </c>
      <c r="F1371" t="s">
        <v>23</v>
      </c>
      <c r="G1371">
        <v>12476.08</v>
      </c>
      <c r="H1371">
        <v>757.55</v>
      </c>
      <c r="I1371">
        <v>20</v>
      </c>
      <c r="J1371">
        <v>1</v>
      </c>
      <c r="K1371" t="str">
        <f>TEXT(discount_impact_on_profit_2000_rows[[#This Row],[order date]],"mmmm")</f>
        <v>May</v>
      </c>
      <c r="L1371">
        <f>YEAR(discount_impact_on_profit_2000_rows[[#This Row],[order date]])</f>
        <v>2025</v>
      </c>
      <c r="M1371" t="str">
        <f>IF(discount_impact_on_profit_2000_rows[[#This Row],[Discount %]]=0,"Zero Discount",IF(discount_impact_on_profit_2000_rows[[#This Row],[Discount %]]&lt;=10,"Low Discount","High Discount"))</f>
        <v>High Discount</v>
      </c>
      <c r="N1371" t="str">
        <f t="shared" si="21"/>
        <v>10-20%</v>
      </c>
    </row>
    <row r="1372" spans="1:14">
      <c r="A1372" s="1">
        <v>44948</v>
      </c>
      <c r="B1372" t="s">
        <v>1434</v>
      </c>
      <c r="C1372" t="s">
        <v>21</v>
      </c>
      <c r="D1372" t="s">
        <v>46</v>
      </c>
      <c r="E1372">
        <v>2076.34</v>
      </c>
      <c r="F1372" t="s">
        <v>26</v>
      </c>
      <c r="G1372">
        <v>2674.64</v>
      </c>
      <c r="H1372">
        <v>598.29999999999995</v>
      </c>
      <c r="I1372">
        <v>0</v>
      </c>
      <c r="J1372">
        <v>2</v>
      </c>
      <c r="K1372" t="str">
        <f>TEXT(discount_impact_on_profit_2000_rows[[#This Row],[order date]],"mmmm")</f>
        <v>January</v>
      </c>
      <c r="L1372">
        <f>YEAR(discount_impact_on_profit_2000_rows[[#This Row],[order date]])</f>
        <v>2023</v>
      </c>
      <c r="M1372" t="str">
        <f>IF(discount_impact_on_profit_2000_rows[[#This Row],[Discount %]]=0,"Zero Discount",IF(discount_impact_on_profit_2000_rows[[#This Row],[Discount %]]&lt;=10,"Low Discount","High Discount"))</f>
        <v>Zero Discount</v>
      </c>
      <c r="N1372" t="str">
        <f t="shared" si="21"/>
        <v>0-10%</v>
      </c>
    </row>
    <row r="1373" spans="1:14">
      <c r="A1373" s="1">
        <v>45108</v>
      </c>
      <c r="B1373" t="s">
        <v>1435</v>
      </c>
      <c r="C1373" t="s">
        <v>11</v>
      </c>
      <c r="D1373" t="s">
        <v>80</v>
      </c>
      <c r="E1373">
        <v>733.1</v>
      </c>
      <c r="F1373" t="s">
        <v>36</v>
      </c>
      <c r="G1373">
        <v>1083.75</v>
      </c>
      <c r="H1373">
        <v>350.65</v>
      </c>
      <c r="I1373">
        <v>25</v>
      </c>
      <c r="J1373">
        <v>2</v>
      </c>
      <c r="K1373" t="str">
        <f>TEXT(discount_impact_on_profit_2000_rows[[#This Row],[order date]],"mmmm")</f>
        <v>July</v>
      </c>
      <c r="L1373">
        <f>YEAR(discount_impact_on_profit_2000_rows[[#This Row],[order date]])</f>
        <v>2023</v>
      </c>
      <c r="M1373" t="str">
        <f>IF(discount_impact_on_profit_2000_rows[[#This Row],[Discount %]]=0,"Zero Discount",IF(discount_impact_on_profit_2000_rows[[#This Row],[Discount %]]&lt;=10,"Low Discount","High Discount"))</f>
        <v>High Discount</v>
      </c>
      <c r="N1373" t="str">
        <f t="shared" si="21"/>
        <v>20-30%</v>
      </c>
    </row>
    <row r="1374" spans="1:14">
      <c r="A1374" s="1">
        <v>45244</v>
      </c>
      <c r="B1374" t="s">
        <v>1436</v>
      </c>
      <c r="C1374" t="s">
        <v>11</v>
      </c>
      <c r="D1374" t="s">
        <v>12</v>
      </c>
      <c r="E1374">
        <v>2656.41</v>
      </c>
      <c r="F1374" t="s">
        <v>13</v>
      </c>
      <c r="G1374">
        <v>4290.84</v>
      </c>
      <c r="H1374">
        <v>1634.43</v>
      </c>
      <c r="I1374">
        <v>20</v>
      </c>
      <c r="J1374">
        <v>3</v>
      </c>
      <c r="K1374" t="str">
        <f>TEXT(discount_impact_on_profit_2000_rows[[#This Row],[order date]],"mmmm")</f>
        <v>November</v>
      </c>
      <c r="L1374">
        <f>YEAR(discount_impact_on_profit_2000_rows[[#This Row],[order date]])</f>
        <v>2023</v>
      </c>
      <c r="M1374" t="str">
        <f>IF(discount_impact_on_profit_2000_rows[[#This Row],[Discount %]]=0,"Zero Discount",IF(discount_impact_on_profit_2000_rows[[#This Row],[Discount %]]&lt;=10,"Low Discount","High Discount"))</f>
        <v>High Discount</v>
      </c>
      <c r="N1374" t="str">
        <f t="shared" si="21"/>
        <v>10-20%</v>
      </c>
    </row>
    <row r="1375" spans="1:14">
      <c r="A1375" s="1">
        <v>45263</v>
      </c>
      <c r="B1375" t="s">
        <v>1437</v>
      </c>
      <c r="C1375" t="s">
        <v>11</v>
      </c>
      <c r="D1375" t="s">
        <v>80</v>
      </c>
      <c r="E1375">
        <v>928.46</v>
      </c>
      <c r="F1375" t="s">
        <v>23</v>
      </c>
      <c r="G1375">
        <v>1979.03</v>
      </c>
      <c r="H1375">
        <v>1050.57</v>
      </c>
      <c r="I1375">
        <v>15</v>
      </c>
      <c r="J1375">
        <v>2</v>
      </c>
      <c r="K1375" t="str">
        <f>TEXT(discount_impact_on_profit_2000_rows[[#This Row],[order date]],"mmmm")</f>
        <v>December</v>
      </c>
      <c r="L1375">
        <f>YEAR(discount_impact_on_profit_2000_rows[[#This Row],[order date]])</f>
        <v>2023</v>
      </c>
      <c r="M1375" t="str">
        <f>IF(discount_impact_on_profit_2000_rows[[#This Row],[Discount %]]=0,"Zero Discount",IF(discount_impact_on_profit_2000_rows[[#This Row],[Discount %]]&lt;=10,"Low Discount","High Discount"))</f>
        <v>High Discount</v>
      </c>
      <c r="N1375" t="str">
        <f t="shared" si="21"/>
        <v>10-20%</v>
      </c>
    </row>
    <row r="1376" spans="1:14">
      <c r="A1376" s="1">
        <v>45362</v>
      </c>
      <c r="B1376" t="s">
        <v>1438</v>
      </c>
      <c r="C1376" t="s">
        <v>15</v>
      </c>
      <c r="D1376" t="s">
        <v>99</v>
      </c>
      <c r="E1376">
        <v>12814.07</v>
      </c>
      <c r="F1376" t="s">
        <v>31</v>
      </c>
      <c r="G1376">
        <v>17754.36</v>
      </c>
      <c r="H1376">
        <v>4940.29</v>
      </c>
      <c r="I1376">
        <v>5</v>
      </c>
      <c r="J1376">
        <v>3</v>
      </c>
      <c r="K1376" t="str">
        <f>TEXT(discount_impact_on_profit_2000_rows[[#This Row],[order date]],"mmmm")</f>
        <v>March</v>
      </c>
      <c r="L1376">
        <f>YEAR(discount_impact_on_profit_2000_rows[[#This Row],[order date]])</f>
        <v>2024</v>
      </c>
      <c r="M1376" t="str">
        <f>IF(discount_impact_on_profit_2000_rows[[#This Row],[Discount %]]=0,"Zero Discount",IF(discount_impact_on_profit_2000_rows[[#This Row],[Discount %]]&lt;=10,"Low Discount","High Discount"))</f>
        <v>Low Discount</v>
      </c>
      <c r="N1376" t="str">
        <f t="shared" si="21"/>
        <v>0-10%</v>
      </c>
    </row>
    <row r="1377" spans="1:14">
      <c r="A1377" s="1">
        <v>45727</v>
      </c>
      <c r="B1377" t="s">
        <v>1439</v>
      </c>
      <c r="C1377" t="s">
        <v>21</v>
      </c>
      <c r="D1377" t="s">
        <v>154</v>
      </c>
      <c r="E1377">
        <v>22326.49</v>
      </c>
      <c r="F1377" t="s">
        <v>26</v>
      </c>
      <c r="G1377">
        <v>23109.07</v>
      </c>
      <c r="H1377">
        <v>782.58</v>
      </c>
      <c r="I1377">
        <v>15</v>
      </c>
      <c r="J1377">
        <v>2</v>
      </c>
      <c r="K1377" t="str">
        <f>TEXT(discount_impact_on_profit_2000_rows[[#This Row],[order date]],"mmmm")</f>
        <v>March</v>
      </c>
      <c r="L1377">
        <f>YEAR(discount_impact_on_profit_2000_rows[[#This Row],[order date]])</f>
        <v>2025</v>
      </c>
      <c r="M1377" t="str">
        <f>IF(discount_impact_on_profit_2000_rows[[#This Row],[Discount %]]=0,"Zero Discount",IF(discount_impact_on_profit_2000_rows[[#This Row],[Discount %]]&lt;=10,"Low Discount","High Discount"))</f>
        <v>High Discount</v>
      </c>
      <c r="N1377" t="str">
        <f t="shared" si="21"/>
        <v>10-20%</v>
      </c>
    </row>
    <row r="1378" spans="1:14">
      <c r="A1378" s="1">
        <v>44932</v>
      </c>
      <c r="B1378" t="s">
        <v>1440</v>
      </c>
      <c r="C1378" t="s">
        <v>33</v>
      </c>
      <c r="D1378" t="s">
        <v>203</v>
      </c>
      <c r="E1378">
        <v>18632.89</v>
      </c>
      <c r="F1378" t="s">
        <v>31</v>
      </c>
      <c r="G1378">
        <v>19191.88</v>
      </c>
      <c r="H1378">
        <v>558.99</v>
      </c>
      <c r="I1378">
        <v>30</v>
      </c>
      <c r="J1378">
        <v>1</v>
      </c>
      <c r="K1378" t="str">
        <f>TEXT(discount_impact_on_profit_2000_rows[[#This Row],[order date]],"mmmm")</f>
        <v>January</v>
      </c>
      <c r="L1378">
        <f>YEAR(discount_impact_on_profit_2000_rows[[#This Row],[order date]])</f>
        <v>2023</v>
      </c>
      <c r="M1378" t="str">
        <f>IF(discount_impact_on_profit_2000_rows[[#This Row],[Discount %]]=0,"Zero Discount",IF(discount_impact_on_profit_2000_rows[[#This Row],[Discount %]]&lt;=10,"Low Discount","High Discount"))</f>
        <v>High Discount</v>
      </c>
      <c r="N1378" t="str">
        <f t="shared" si="21"/>
        <v>20-30%</v>
      </c>
    </row>
    <row r="1379" spans="1:14">
      <c r="A1379" s="1">
        <v>45029</v>
      </c>
      <c r="B1379" t="s">
        <v>1441</v>
      </c>
      <c r="C1379" t="s">
        <v>15</v>
      </c>
      <c r="D1379" t="s">
        <v>76</v>
      </c>
      <c r="E1379">
        <v>1240.6400000000001</v>
      </c>
      <c r="F1379" t="s">
        <v>31</v>
      </c>
      <c r="G1379">
        <v>1417.04</v>
      </c>
      <c r="H1379">
        <v>176.4</v>
      </c>
      <c r="I1379">
        <v>10</v>
      </c>
      <c r="J1379">
        <v>1</v>
      </c>
      <c r="K1379" t="str">
        <f>TEXT(discount_impact_on_profit_2000_rows[[#This Row],[order date]],"mmmm")</f>
        <v>April</v>
      </c>
      <c r="L1379">
        <f>YEAR(discount_impact_on_profit_2000_rows[[#This Row],[order date]])</f>
        <v>2023</v>
      </c>
      <c r="M1379" t="str">
        <f>IF(discount_impact_on_profit_2000_rows[[#This Row],[Discount %]]=0,"Zero Discount",IF(discount_impact_on_profit_2000_rows[[#This Row],[Discount %]]&lt;=10,"Low Discount","High Discount"))</f>
        <v>Low Discount</v>
      </c>
      <c r="N1379" t="str">
        <f t="shared" si="21"/>
        <v>0-10%</v>
      </c>
    </row>
    <row r="1380" spans="1:14">
      <c r="A1380" s="1">
        <v>45169</v>
      </c>
      <c r="B1380" t="s">
        <v>1442</v>
      </c>
      <c r="C1380" t="s">
        <v>21</v>
      </c>
      <c r="D1380" t="s">
        <v>82</v>
      </c>
      <c r="E1380">
        <v>8766.02</v>
      </c>
      <c r="F1380" t="s">
        <v>31</v>
      </c>
      <c r="G1380">
        <v>9464.7199999999993</v>
      </c>
      <c r="H1380">
        <v>698.7</v>
      </c>
      <c r="I1380">
        <v>10</v>
      </c>
      <c r="J1380">
        <v>5</v>
      </c>
      <c r="K1380" t="str">
        <f>TEXT(discount_impact_on_profit_2000_rows[[#This Row],[order date]],"mmmm")</f>
        <v>August</v>
      </c>
      <c r="L1380">
        <f>YEAR(discount_impact_on_profit_2000_rows[[#This Row],[order date]])</f>
        <v>2023</v>
      </c>
      <c r="M1380" t="str">
        <f>IF(discount_impact_on_profit_2000_rows[[#This Row],[Discount %]]=0,"Zero Discount",IF(discount_impact_on_profit_2000_rows[[#This Row],[Discount %]]&lt;=10,"Low Discount","High Discount"))</f>
        <v>Low Discount</v>
      </c>
      <c r="N1380" t="str">
        <f t="shared" si="21"/>
        <v>0-10%</v>
      </c>
    </row>
    <row r="1381" spans="1:14">
      <c r="A1381" s="1">
        <v>45634</v>
      </c>
      <c r="B1381" t="s">
        <v>1443</v>
      </c>
      <c r="C1381" t="s">
        <v>53</v>
      </c>
      <c r="D1381" t="s">
        <v>70</v>
      </c>
      <c r="E1381">
        <v>4483.8999999999996</v>
      </c>
      <c r="F1381" t="s">
        <v>26</v>
      </c>
      <c r="G1381">
        <v>6006</v>
      </c>
      <c r="H1381">
        <v>1522.1</v>
      </c>
      <c r="I1381">
        <v>10</v>
      </c>
      <c r="J1381">
        <v>2</v>
      </c>
      <c r="K1381" t="str">
        <f>TEXT(discount_impact_on_profit_2000_rows[[#This Row],[order date]],"mmmm")</f>
        <v>December</v>
      </c>
      <c r="L1381">
        <f>YEAR(discount_impact_on_profit_2000_rows[[#This Row],[order date]])</f>
        <v>2024</v>
      </c>
      <c r="M1381" t="str">
        <f>IF(discount_impact_on_profit_2000_rows[[#This Row],[Discount %]]=0,"Zero Discount",IF(discount_impact_on_profit_2000_rows[[#This Row],[Discount %]]&lt;=10,"Low Discount","High Discount"))</f>
        <v>Low Discount</v>
      </c>
      <c r="N1381" t="str">
        <f t="shared" si="21"/>
        <v>0-10%</v>
      </c>
    </row>
    <row r="1382" spans="1:14">
      <c r="A1382" s="1">
        <v>45877</v>
      </c>
      <c r="B1382" t="s">
        <v>1444</v>
      </c>
      <c r="C1382" t="s">
        <v>53</v>
      </c>
      <c r="D1382" t="s">
        <v>95</v>
      </c>
      <c r="E1382">
        <v>5852.82</v>
      </c>
      <c r="F1382" t="s">
        <v>13</v>
      </c>
      <c r="G1382">
        <v>9239</v>
      </c>
      <c r="H1382">
        <v>3386.18</v>
      </c>
      <c r="I1382">
        <v>15</v>
      </c>
      <c r="J1382">
        <v>2</v>
      </c>
      <c r="K1382" t="str">
        <f>TEXT(discount_impact_on_profit_2000_rows[[#This Row],[order date]],"mmmm")</f>
        <v>August</v>
      </c>
      <c r="L1382">
        <f>YEAR(discount_impact_on_profit_2000_rows[[#This Row],[order date]])</f>
        <v>2025</v>
      </c>
      <c r="M1382" t="str">
        <f>IF(discount_impact_on_profit_2000_rows[[#This Row],[Discount %]]=0,"Zero Discount",IF(discount_impact_on_profit_2000_rows[[#This Row],[Discount %]]&lt;=10,"Low Discount","High Discount"))</f>
        <v>High Discount</v>
      </c>
      <c r="N1382" t="str">
        <f t="shared" si="21"/>
        <v>10-20%</v>
      </c>
    </row>
    <row r="1383" spans="1:14">
      <c r="A1383" s="1">
        <v>44937</v>
      </c>
      <c r="B1383" t="s">
        <v>1445</v>
      </c>
      <c r="C1383" t="s">
        <v>21</v>
      </c>
      <c r="D1383" t="s">
        <v>57</v>
      </c>
      <c r="E1383">
        <v>7032.96</v>
      </c>
      <c r="F1383" t="s">
        <v>36</v>
      </c>
      <c r="G1383">
        <v>8693.09</v>
      </c>
      <c r="H1383">
        <v>1660.13</v>
      </c>
      <c r="I1383">
        <v>0</v>
      </c>
      <c r="J1383">
        <v>5</v>
      </c>
      <c r="K1383" t="str">
        <f>TEXT(discount_impact_on_profit_2000_rows[[#This Row],[order date]],"mmmm")</f>
        <v>January</v>
      </c>
      <c r="L1383">
        <f>YEAR(discount_impact_on_profit_2000_rows[[#This Row],[order date]])</f>
        <v>2023</v>
      </c>
      <c r="M1383" t="str">
        <f>IF(discount_impact_on_profit_2000_rows[[#This Row],[Discount %]]=0,"Zero Discount",IF(discount_impact_on_profit_2000_rows[[#This Row],[Discount %]]&lt;=10,"Low Discount","High Discount"))</f>
        <v>Zero Discount</v>
      </c>
      <c r="N1383" t="str">
        <f t="shared" si="21"/>
        <v>0-10%</v>
      </c>
    </row>
    <row r="1384" spans="1:14">
      <c r="A1384" s="1">
        <v>45657</v>
      </c>
      <c r="B1384" t="s">
        <v>1446</v>
      </c>
      <c r="C1384" t="s">
        <v>33</v>
      </c>
      <c r="D1384" t="s">
        <v>197</v>
      </c>
      <c r="E1384">
        <v>15748.29</v>
      </c>
      <c r="F1384" t="s">
        <v>23</v>
      </c>
      <c r="G1384">
        <v>22792.43</v>
      </c>
      <c r="H1384">
        <v>7044.14</v>
      </c>
      <c r="I1384">
        <v>0</v>
      </c>
      <c r="J1384">
        <v>4</v>
      </c>
      <c r="K1384" t="str">
        <f>TEXT(discount_impact_on_profit_2000_rows[[#This Row],[order date]],"mmmm")</f>
        <v>December</v>
      </c>
      <c r="L1384">
        <f>YEAR(discount_impact_on_profit_2000_rows[[#This Row],[order date]])</f>
        <v>2024</v>
      </c>
      <c r="M1384" t="str">
        <f>IF(discount_impact_on_profit_2000_rows[[#This Row],[Discount %]]=0,"Zero Discount",IF(discount_impact_on_profit_2000_rows[[#This Row],[Discount %]]&lt;=10,"Low Discount","High Discount"))</f>
        <v>Zero Discount</v>
      </c>
      <c r="N1384" t="str">
        <f t="shared" si="21"/>
        <v>0-10%</v>
      </c>
    </row>
    <row r="1385" spans="1:14">
      <c r="A1385" s="1">
        <v>44962</v>
      </c>
      <c r="B1385" t="s">
        <v>1447</v>
      </c>
      <c r="C1385" t="s">
        <v>33</v>
      </c>
      <c r="D1385" t="s">
        <v>102</v>
      </c>
      <c r="E1385">
        <v>52480.03</v>
      </c>
      <c r="F1385" t="s">
        <v>31</v>
      </c>
      <c r="G1385">
        <v>86518.74</v>
      </c>
      <c r="H1385">
        <v>34038.71</v>
      </c>
      <c r="I1385">
        <v>0</v>
      </c>
      <c r="J1385">
        <v>6</v>
      </c>
      <c r="K1385" t="str">
        <f>TEXT(discount_impact_on_profit_2000_rows[[#This Row],[order date]],"mmmm")</f>
        <v>February</v>
      </c>
      <c r="L1385">
        <f>YEAR(discount_impact_on_profit_2000_rows[[#This Row],[order date]])</f>
        <v>2023</v>
      </c>
      <c r="M1385" t="str">
        <f>IF(discount_impact_on_profit_2000_rows[[#This Row],[Discount %]]=0,"Zero Discount",IF(discount_impact_on_profit_2000_rows[[#This Row],[Discount %]]&lt;=10,"Low Discount","High Discount"))</f>
        <v>Zero Discount</v>
      </c>
      <c r="N1385" t="str">
        <f t="shared" si="21"/>
        <v>0-10%</v>
      </c>
    </row>
    <row r="1386" spans="1:14">
      <c r="A1386" s="1">
        <v>45361</v>
      </c>
      <c r="B1386" t="s">
        <v>1448</v>
      </c>
      <c r="C1386" t="s">
        <v>15</v>
      </c>
      <c r="D1386" t="s">
        <v>16</v>
      </c>
      <c r="E1386">
        <v>2821.85</v>
      </c>
      <c r="F1386" t="s">
        <v>31</v>
      </c>
      <c r="G1386">
        <v>3802.43</v>
      </c>
      <c r="H1386">
        <v>980.58</v>
      </c>
      <c r="I1386">
        <v>15</v>
      </c>
      <c r="J1386">
        <v>2</v>
      </c>
      <c r="K1386" t="str">
        <f>TEXT(discount_impact_on_profit_2000_rows[[#This Row],[order date]],"mmmm")</f>
        <v>March</v>
      </c>
      <c r="L1386">
        <f>YEAR(discount_impact_on_profit_2000_rows[[#This Row],[order date]])</f>
        <v>2024</v>
      </c>
      <c r="M1386" t="str">
        <f>IF(discount_impact_on_profit_2000_rows[[#This Row],[Discount %]]=0,"Zero Discount",IF(discount_impact_on_profit_2000_rows[[#This Row],[Discount %]]&lt;=10,"Low Discount","High Discount"))</f>
        <v>High Discount</v>
      </c>
      <c r="N1386" t="str">
        <f t="shared" si="21"/>
        <v>10-20%</v>
      </c>
    </row>
    <row r="1387" spans="1:14">
      <c r="A1387" s="1">
        <v>45342</v>
      </c>
      <c r="B1387" t="s">
        <v>1449</v>
      </c>
      <c r="C1387" t="s">
        <v>53</v>
      </c>
      <c r="D1387" t="s">
        <v>95</v>
      </c>
      <c r="E1387">
        <v>489.41</v>
      </c>
      <c r="F1387" t="s">
        <v>36</v>
      </c>
      <c r="G1387">
        <v>894.1</v>
      </c>
      <c r="H1387">
        <v>404.69</v>
      </c>
      <c r="I1387">
        <v>10</v>
      </c>
      <c r="J1387">
        <v>1</v>
      </c>
      <c r="K1387" t="str">
        <f>TEXT(discount_impact_on_profit_2000_rows[[#This Row],[order date]],"mmmm")</f>
        <v>February</v>
      </c>
      <c r="L1387">
        <f>YEAR(discount_impact_on_profit_2000_rows[[#This Row],[order date]])</f>
        <v>2024</v>
      </c>
      <c r="M1387" t="str">
        <f>IF(discount_impact_on_profit_2000_rows[[#This Row],[Discount %]]=0,"Zero Discount",IF(discount_impact_on_profit_2000_rows[[#This Row],[Discount %]]&lt;=10,"Low Discount","High Discount"))</f>
        <v>Low Discount</v>
      </c>
      <c r="N1387" t="str">
        <f t="shared" si="21"/>
        <v>0-10%</v>
      </c>
    </row>
    <row r="1388" spans="1:14">
      <c r="A1388" s="1">
        <v>45419</v>
      </c>
      <c r="B1388" t="s">
        <v>1450</v>
      </c>
      <c r="C1388" t="s">
        <v>53</v>
      </c>
      <c r="D1388" t="s">
        <v>78</v>
      </c>
      <c r="E1388">
        <v>4168.82</v>
      </c>
      <c r="F1388" t="s">
        <v>13</v>
      </c>
      <c r="G1388">
        <v>7740.28</v>
      </c>
      <c r="H1388">
        <v>3571.46</v>
      </c>
      <c r="I1388">
        <v>25</v>
      </c>
      <c r="J1388">
        <v>2</v>
      </c>
      <c r="K1388" t="str">
        <f>TEXT(discount_impact_on_profit_2000_rows[[#This Row],[order date]],"mmmm")</f>
        <v>May</v>
      </c>
      <c r="L1388">
        <f>YEAR(discount_impact_on_profit_2000_rows[[#This Row],[order date]])</f>
        <v>2024</v>
      </c>
      <c r="M1388" t="str">
        <f>IF(discount_impact_on_profit_2000_rows[[#This Row],[Discount %]]=0,"Zero Discount",IF(discount_impact_on_profit_2000_rows[[#This Row],[Discount %]]&lt;=10,"Low Discount","High Discount"))</f>
        <v>High Discount</v>
      </c>
      <c r="N1388" t="str">
        <f t="shared" si="21"/>
        <v>20-30%</v>
      </c>
    </row>
    <row r="1389" spans="1:14">
      <c r="A1389" s="1">
        <v>45032</v>
      </c>
      <c r="B1389" t="s">
        <v>1451</v>
      </c>
      <c r="C1389" t="s">
        <v>15</v>
      </c>
      <c r="D1389" t="s">
        <v>84</v>
      </c>
      <c r="E1389">
        <v>45177.98</v>
      </c>
      <c r="F1389" t="s">
        <v>13</v>
      </c>
      <c r="G1389">
        <v>55038.07</v>
      </c>
      <c r="H1389">
        <v>9860.09</v>
      </c>
      <c r="I1389">
        <v>10</v>
      </c>
      <c r="J1389">
        <v>5</v>
      </c>
      <c r="K1389" t="str">
        <f>TEXT(discount_impact_on_profit_2000_rows[[#This Row],[order date]],"mmmm")</f>
        <v>April</v>
      </c>
      <c r="L1389">
        <f>YEAR(discount_impact_on_profit_2000_rows[[#This Row],[order date]])</f>
        <v>2023</v>
      </c>
      <c r="M1389" t="str">
        <f>IF(discount_impact_on_profit_2000_rows[[#This Row],[Discount %]]=0,"Zero Discount",IF(discount_impact_on_profit_2000_rows[[#This Row],[Discount %]]&lt;=10,"Low Discount","High Discount"))</f>
        <v>Low Discount</v>
      </c>
      <c r="N1389" t="str">
        <f t="shared" si="21"/>
        <v>0-10%</v>
      </c>
    </row>
    <row r="1390" spans="1:14">
      <c r="A1390" s="1">
        <v>45866</v>
      </c>
      <c r="B1390" t="s">
        <v>1452</v>
      </c>
      <c r="C1390" t="s">
        <v>21</v>
      </c>
      <c r="D1390" t="s">
        <v>109</v>
      </c>
      <c r="E1390">
        <v>9177.15</v>
      </c>
      <c r="F1390" t="s">
        <v>31</v>
      </c>
      <c r="G1390">
        <v>9286.26</v>
      </c>
      <c r="H1390">
        <v>109.11</v>
      </c>
      <c r="I1390">
        <v>30</v>
      </c>
      <c r="J1390">
        <v>3</v>
      </c>
      <c r="K1390" t="str">
        <f>TEXT(discount_impact_on_profit_2000_rows[[#This Row],[order date]],"mmmm")</f>
        <v>July</v>
      </c>
      <c r="L1390">
        <f>YEAR(discount_impact_on_profit_2000_rows[[#This Row],[order date]])</f>
        <v>2025</v>
      </c>
      <c r="M1390" t="str">
        <f>IF(discount_impact_on_profit_2000_rows[[#This Row],[Discount %]]=0,"Zero Discount",IF(discount_impact_on_profit_2000_rows[[#This Row],[Discount %]]&lt;=10,"Low Discount","High Discount"))</f>
        <v>High Discount</v>
      </c>
      <c r="N1390" t="str">
        <f t="shared" si="21"/>
        <v>20-30%</v>
      </c>
    </row>
    <row r="1391" spans="1:14">
      <c r="A1391" s="1">
        <v>45405</v>
      </c>
      <c r="B1391" t="s">
        <v>1453</v>
      </c>
      <c r="C1391" t="s">
        <v>18</v>
      </c>
      <c r="D1391" t="s">
        <v>104</v>
      </c>
      <c r="E1391">
        <v>422.49</v>
      </c>
      <c r="F1391" t="s">
        <v>31</v>
      </c>
      <c r="G1391">
        <v>817.22</v>
      </c>
      <c r="H1391">
        <v>394.73</v>
      </c>
      <c r="I1391">
        <v>0</v>
      </c>
      <c r="J1391">
        <v>3</v>
      </c>
      <c r="K1391" t="str">
        <f>TEXT(discount_impact_on_profit_2000_rows[[#This Row],[order date]],"mmmm")</f>
        <v>April</v>
      </c>
      <c r="L1391">
        <f>YEAR(discount_impact_on_profit_2000_rows[[#This Row],[order date]])</f>
        <v>2024</v>
      </c>
      <c r="M1391" t="str">
        <f>IF(discount_impact_on_profit_2000_rows[[#This Row],[Discount %]]=0,"Zero Discount",IF(discount_impact_on_profit_2000_rows[[#This Row],[Discount %]]&lt;=10,"Low Discount","High Discount"))</f>
        <v>Zero Discount</v>
      </c>
      <c r="N1391" t="str">
        <f t="shared" si="21"/>
        <v>0-10%</v>
      </c>
    </row>
    <row r="1392" spans="1:14">
      <c r="A1392" s="1">
        <v>45888</v>
      </c>
      <c r="B1392" t="s">
        <v>1454</v>
      </c>
      <c r="C1392" t="s">
        <v>21</v>
      </c>
      <c r="D1392" t="s">
        <v>82</v>
      </c>
      <c r="E1392">
        <v>3973.63</v>
      </c>
      <c r="F1392" t="s">
        <v>36</v>
      </c>
      <c r="G1392">
        <v>4771.09</v>
      </c>
      <c r="H1392">
        <v>797.46</v>
      </c>
      <c r="I1392">
        <v>0</v>
      </c>
      <c r="J1392">
        <v>2</v>
      </c>
      <c r="K1392" t="str">
        <f>TEXT(discount_impact_on_profit_2000_rows[[#This Row],[order date]],"mmmm")</f>
        <v>August</v>
      </c>
      <c r="L1392">
        <f>YEAR(discount_impact_on_profit_2000_rows[[#This Row],[order date]])</f>
        <v>2025</v>
      </c>
      <c r="M1392" t="str">
        <f>IF(discount_impact_on_profit_2000_rows[[#This Row],[Discount %]]=0,"Zero Discount",IF(discount_impact_on_profit_2000_rows[[#This Row],[Discount %]]&lt;=10,"Low Discount","High Discount"))</f>
        <v>Zero Discount</v>
      </c>
      <c r="N1392" t="str">
        <f t="shared" si="21"/>
        <v>0-10%</v>
      </c>
    </row>
    <row r="1393" spans="1:14">
      <c r="A1393" s="1">
        <v>45120</v>
      </c>
      <c r="B1393" t="s">
        <v>1455</v>
      </c>
      <c r="C1393" t="s">
        <v>53</v>
      </c>
      <c r="D1393" t="s">
        <v>59</v>
      </c>
      <c r="E1393">
        <v>3873.01</v>
      </c>
      <c r="F1393" t="s">
        <v>13</v>
      </c>
      <c r="G1393">
        <v>4975.63</v>
      </c>
      <c r="H1393">
        <v>1102.6199999999999</v>
      </c>
      <c r="I1393">
        <v>15</v>
      </c>
      <c r="J1393">
        <v>1</v>
      </c>
      <c r="K1393" t="str">
        <f>TEXT(discount_impact_on_profit_2000_rows[[#This Row],[order date]],"mmmm")</f>
        <v>July</v>
      </c>
      <c r="L1393">
        <f>YEAR(discount_impact_on_profit_2000_rows[[#This Row],[order date]])</f>
        <v>2023</v>
      </c>
      <c r="M1393" t="str">
        <f>IF(discount_impact_on_profit_2000_rows[[#This Row],[Discount %]]=0,"Zero Discount",IF(discount_impact_on_profit_2000_rows[[#This Row],[Discount %]]&lt;=10,"Low Discount","High Discount"))</f>
        <v>High Discount</v>
      </c>
      <c r="N1393" t="str">
        <f t="shared" si="21"/>
        <v>10-20%</v>
      </c>
    </row>
    <row r="1394" spans="1:14">
      <c r="A1394" s="1">
        <v>45067</v>
      </c>
      <c r="B1394" t="s">
        <v>1456</v>
      </c>
      <c r="C1394" t="s">
        <v>53</v>
      </c>
      <c r="D1394" t="s">
        <v>54</v>
      </c>
      <c r="E1394">
        <v>3469.88</v>
      </c>
      <c r="F1394" t="s">
        <v>26</v>
      </c>
      <c r="G1394">
        <v>5619.39</v>
      </c>
      <c r="H1394">
        <v>2149.5100000000002</v>
      </c>
      <c r="I1394">
        <v>5</v>
      </c>
      <c r="J1394">
        <v>8</v>
      </c>
      <c r="K1394" t="str">
        <f>TEXT(discount_impact_on_profit_2000_rows[[#This Row],[order date]],"mmmm")</f>
        <v>May</v>
      </c>
      <c r="L1394">
        <f>YEAR(discount_impact_on_profit_2000_rows[[#This Row],[order date]])</f>
        <v>2023</v>
      </c>
      <c r="M1394" t="str">
        <f>IF(discount_impact_on_profit_2000_rows[[#This Row],[Discount %]]=0,"Zero Discount",IF(discount_impact_on_profit_2000_rows[[#This Row],[Discount %]]&lt;=10,"Low Discount","High Discount"))</f>
        <v>Low Discount</v>
      </c>
      <c r="N1394" t="str">
        <f t="shared" si="21"/>
        <v>0-10%</v>
      </c>
    </row>
    <row r="1395" spans="1:14">
      <c r="A1395" s="1">
        <v>46005</v>
      </c>
      <c r="B1395" t="s">
        <v>1457</v>
      </c>
      <c r="C1395" t="s">
        <v>11</v>
      </c>
      <c r="D1395" t="s">
        <v>30</v>
      </c>
      <c r="E1395">
        <v>139.38</v>
      </c>
      <c r="F1395" t="s">
        <v>23</v>
      </c>
      <c r="G1395">
        <v>306.08</v>
      </c>
      <c r="H1395">
        <v>166.7</v>
      </c>
      <c r="I1395">
        <v>10</v>
      </c>
      <c r="J1395">
        <v>1</v>
      </c>
      <c r="K1395" t="str">
        <f>TEXT(discount_impact_on_profit_2000_rows[[#This Row],[order date]],"mmmm")</f>
        <v>December</v>
      </c>
      <c r="L1395">
        <f>YEAR(discount_impact_on_profit_2000_rows[[#This Row],[order date]])</f>
        <v>2025</v>
      </c>
      <c r="M1395" t="str">
        <f>IF(discount_impact_on_profit_2000_rows[[#This Row],[Discount %]]=0,"Zero Discount",IF(discount_impact_on_profit_2000_rows[[#This Row],[Discount %]]&lt;=10,"Low Discount","High Discount"))</f>
        <v>Low Discount</v>
      </c>
      <c r="N1395" t="str">
        <f t="shared" si="21"/>
        <v>0-10%</v>
      </c>
    </row>
    <row r="1396" spans="1:14">
      <c r="A1396" s="1">
        <v>45985</v>
      </c>
      <c r="B1396" t="s">
        <v>1458</v>
      </c>
      <c r="C1396" t="s">
        <v>18</v>
      </c>
      <c r="D1396" t="s">
        <v>188</v>
      </c>
      <c r="E1396">
        <v>7496.51</v>
      </c>
      <c r="F1396" t="s">
        <v>36</v>
      </c>
      <c r="G1396">
        <v>10953.64</v>
      </c>
      <c r="H1396">
        <v>3457.13</v>
      </c>
      <c r="I1396">
        <v>0</v>
      </c>
      <c r="J1396">
        <v>10</v>
      </c>
      <c r="K1396" t="str">
        <f>TEXT(discount_impact_on_profit_2000_rows[[#This Row],[order date]],"mmmm")</f>
        <v>November</v>
      </c>
      <c r="L1396">
        <f>YEAR(discount_impact_on_profit_2000_rows[[#This Row],[order date]])</f>
        <v>2025</v>
      </c>
      <c r="M1396" t="str">
        <f>IF(discount_impact_on_profit_2000_rows[[#This Row],[Discount %]]=0,"Zero Discount",IF(discount_impact_on_profit_2000_rows[[#This Row],[Discount %]]&lt;=10,"Low Discount","High Discount"))</f>
        <v>Zero Discount</v>
      </c>
      <c r="N1396" t="str">
        <f t="shared" si="21"/>
        <v>0-10%</v>
      </c>
    </row>
    <row r="1397" spans="1:14">
      <c r="A1397" s="1">
        <v>45002</v>
      </c>
      <c r="B1397" t="s">
        <v>1459</v>
      </c>
      <c r="C1397" t="s">
        <v>15</v>
      </c>
      <c r="D1397" t="s">
        <v>86</v>
      </c>
      <c r="E1397">
        <v>24364.959999999999</v>
      </c>
      <c r="F1397" t="s">
        <v>26</v>
      </c>
      <c r="G1397">
        <v>33658.26</v>
      </c>
      <c r="H1397">
        <v>9293.2999999999993</v>
      </c>
      <c r="I1397">
        <v>15</v>
      </c>
      <c r="J1397">
        <v>3</v>
      </c>
      <c r="K1397" t="str">
        <f>TEXT(discount_impact_on_profit_2000_rows[[#This Row],[order date]],"mmmm")</f>
        <v>March</v>
      </c>
      <c r="L1397">
        <f>YEAR(discount_impact_on_profit_2000_rows[[#This Row],[order date]])</f>
        <v>2023</v>
      </c>
      <c r="M1397" t="str">
        <f>IF(discount_impact_on_profit_2000_rows[[#This Row],[Discount %]]=0,"Zero Discount",IF(discount_impact_on_profit_2000_rows[[#This Row],[Discount %]]&lt;=10,"Low Discount","High Discount"))</f>
        <v>High Discount</v>
      </c>
      <c r="N1397" t="str">
        <f t="shared" si="21"/>
        <v>10-20%</v>
      </c>
    </row>
    <row r="1398" spans="1:14">
      <c r="A1398" s="1">
        <v>45818</v>
      </c>
      <c r="B1398" t="s">
        <v>1460</v>
      </c>
      <c r="C1398" t="s">
        <v>53</v>
      </c>
      <c r="D1398" t="s">
        <v>54</v>
      </c>
      <c r="E1398">
        <v>467.85</v>
      </c>
      <c r="F1398" t="s">
        <v>31</v>
      </c>
      <c r="G1398">
        <v>812.25</v>
      </c>
      <c r="H1398">
        <v>344.4</v>
      </c>
      <c r="I1398">
        <v>15</v>
      </c>
      <c r="J1398">
        <v>2</v>
      </c>
      <c r="K1398" t="str">
        <f>TEXT(discount_impact_on_profit_2000_rows[[#This Row],[order date]],"mmmm")</f>
        <v>June</v>
      </c>
      <c r="L1398">
        <f>YEAR(discount_impact_on_profit_2000_rows[[#This Row],[order date]])</f>
        <v>2025</v>
      </c>
      <c r="M1398" t="str">
        <f>IF(discount_impact_on_profit_2000_rows[[#This Row],[Discount %]]=0,"Zero Discount",IF(discount_impact_on_profit_2000_rows[[#This Row],[Discount %]]&lt;=10,"Low Discount","High Discount"))</f>
        <v>High Discount</v>
      </c>
      <c r="N1398" t="str">
        <f t="shared" si="21"/>
        <v>10-20%</v>
      </c>
    </row>
    <row r="1399" spans="1:14">
      <c r="A1399" s="1">
        <v>45857</v>
      </c>
      <c r="B1399" t="s">
        <v>1461</v>
      </c>
      <c r="C1399" t="s">
        <v>15</v>
      </c>
      <c r="D1399" t="s">
        <v>16</v>
      </c>
      <c r="E1399">
        <v>1320.61</v>
      </c>
      <c r="F1399" t="s">
        <v>23</v>
      </c>
      <c r="G1399">
        <v>1479.21</v>
      </c>
      <c r="H1399">
        <v>158.6</v>
      </c>
      <c r="I1399">
        <v>20</v>
      </c>
      <c r="J1399">
        <v>1</v>
      </c>
      <c r="K1399" t="str">
        <f>TEXT(discount_impact_on_profit_2000_rows[[#This Row],[order date]],"mmmm")</f>
        <v>July</v>
      </c>
      <c r="L1399">
        <f>YEAR(discount_impact_on_profit_2000_rows[[#This Row],[order date]])</f>
        <v>2025</v>
      </c>
      <c r="M1399" t="str">
        <f>IF(discount_impact_on_profit_2000_rows[[#This Row],[Discount %]]=0,"Zero Discount",IF(discount_impact_on_profit_2000_rows[[#This Row],[Discount %]]&lt;=10,"Low Discount","High Discount"))</f>
        <v>High Discount</v>
      </c>
      <c r="N1399" t="str">
        <f t="shared" si="21"/>
        <v>10-20%</v>
      </c>
    </row>
    <row r="1400" spans="1:14">
      <c r="A1400" s="1">
        <v>45484</v>
      </c>
      <c r="B1400" t="s">
        <v>1462</v>
      </c>
      <c r="C1400" t="s">
        <v>21</v>
      </c>
      <c r="D1400" t="s">
        <v>97</v>
      </c>
      <c r="E1400">
        <v>8227.48</v>
      </c>
      <c r="F1400" t="s">
        <v>36</v>
      </c>
      <c r="G1400">
        <v>10142.82</v>
      </c>
      <c r="H1400">
        <v>1915.34</v>
      </c>
      <c r="I1400">
        <v>5</v>
      </c>
      <c r="J1400">
        <v>5</v>
      </c>
      <c r="K1400" t="str">
        <f>TEXT(discount_impact_on_profit_2000_rows[[#This Row],[order date]],"mmmm")</f>
        <v>July</v>
      </c>
      <c r="L1400">
        <f>YEAR(discount_impact_on_profit_2000_rows[[#This Row],[order date]])</f>
        <v>2024</v>
      </c>
      <c r="M1400" t="str">
        <f>IF(discount_impact_on_profit_2000_rows[[#This Row],[Discount %]]=0,"Zero Discount",IF(discount_impact_on_profit_2000_rows[[#This Row],[Discount %]]&lt;=10,"Low Discount","High Discount"))</f>
        <v>Low Discount</v>
      </c>
      <c r="N1400" t="str">
        <f t="shared" si="21"/>
        <v>0-10%</v>
      </c>
    </row>
    <row r="1401" spans="1:14">
      <c r="A1401" s="1">
        <v>45305</v>
      </c>
      <c r="B1401" t="s">
        <v>1463</v>
      </c>
      <c r="C1401" t="s">
        <v>21</v>
      </c>
      <c r="D1401" t="s">
        <v>82</v>
      </c>
      <c r="E1401">
        <v>9198.74</v>
      </c>
      <c r="F1401" t="s">
        <v>31</v>
      </c>
      <c r="G1401">
        <v>10182.65</v>
      </c>
      <c r="H1401">
        <v>983.91</v>
      </c>
      <c r="I1401">
        <v>10</v>
      </c>
      <c r="J1401">
        <v>2</v>
      </c>
      <c r="K1401" t="str">
        <f>TEXT(discount_impact_on_profit_2000_rows[[#This Row],[order date]],"mmmm")</f>
        <v>January</v>
      </c>
      <c r="L1401">
        <f>YEAR(discount_impact_on_profit_2000_rows[[#This Row],[order date]])</f>
        <v>2024</v>
      </c>
      <c r="M1401" t="str">
        <f>IF(discount_impact_on_profit_2000_rows[[#This Row],[Discount %]]=0,"Zero Discount",IF(discount_impact_on_profit_2000_rows[[#This Row],[Discount %]]&lt;=10,"Low Discount","High Discount"))</f>
        <v>Low Discount</v>
      </c>
      <c r="N1401" t="str">
        <f t="shared" si="21"/>
        <v>0-10%</v>
      </c>
    </row>
    <row r="1402" spans="1:14">
      <c r="A1402" s="1">
        <v>45521</v>
      </c>
      <c r="B1402" t="s">
        <v>1464</v>
      </c>
      <c r="C1402" t="s">
        <v>18</v>
      </c>
      <c r="D1402" t="s">
        <v>140</v>
      </c>
      <c r="E1402">
        <v>182.76</v>
      </c>
      <c r="F1402" t="s">
        <v>26</v>
      </c>
      <c r="G1402">
        <v>220.42</v>
      </c>
      <c r="H1402">
        <v>37.659999999999997</v>
      </c>
      <c r="I1402">
        <v>20</v>
      </c>
      <c r="J1402">
        <v>3</v>
      </c>
      <c r="K1402" t="str">
        <f>TEXT(discount_impact_on_profit_2000_rows[[#This Row],[order date]],"mmmm")</f>
        <v>August</v>
      </c>
      <c r="L1402">
        <f>YEAR(discount_impact_on_profit_2000_rows[[#This Row],[order date]])</f>
        <v>2024</v>
      </c>
      <c r="M1402" t="str">
        <f>IF(discount_impact_on_profit_2000_rows[[#This Row],[Discount %]]=0,"Zero Discount",IF(discount_impact_on_profit_2000_rows[[#This Row],[Discount %]]&lt;=10,"Low Discount","High Discount"))</f>
        <v>High Discount</v>
      </c>
      <c r="N1402" t="str">
        <f t="shared" si="21"/>
        <v>10-20%</v>
      </c>
    </row>
    <row r="1403" spans="1:14">
      <c r="A1403" s="1">
        <v>45906</v>
      </c>
      <c r="B1403" t="s">
        <v>1465</v>
      </c>
      <c r="C1403" t="s">
        <v>21</v>
      </c>
      <c r="D1403" t="s">
        <v>123</v>
      </c>
      <c r="E1403">
        <v>55835.33</v>
      </c>
      <c r="F1403" t="s">
        <v>36</v>
      </c>
      <c r="G1403">
        <v>55866.85</v>
      </c>
      <c r="H1403">
        <v>31.52</v>
      </c>
      <c r="I1403">
        <v>18</v>
      </c>
      <c r="J1403">
        <v>4</v>
      </c>
      <c r="K1403" t="str">
        <f>TEXT(discount_impact_on_profit_2000_rows[[#This Row],[order date]],"mmmm")</f>
        <v>September</v>
      </c>
      <c r="L1403">
        <f>YEAR(discount_impact_on_profit_2000_rows[[#This Row],[order date]])</f>
        <v>2025</v>
      </c>
      <c r="M1403" t="str">
        <f>IF(discount_impact_on_profit_2000_rows[[#This Row],[Discount %]]=0,"Zero Discount",IF(discount_impact_on_profit_2000_rows[[#This Row],[Discount %]]&lt;=10,"Low Discount","High Discount"))</f>
        <v>High Discount</v>
      </c>
      <c r="N1403" t="str">
        <f t="shared" si="21"/>
        <v>10-20%</v>
      </c>
    </row>
    <row r="1404" spans="1:14">
      <c r="A1404" s="1">
        <v>45925</v>
      </c>
      <c r="B1404" t="s">
        <v>1466</v>
      </c>
      <c r="C1404" t="s">
        <v>15</v>
      </c>
      <c r="D1404" t="s">
        <v>40</v>
      </c>
      <c r="E1404">
        <v>4682.58</v>
      </c>
      <c r="F1404" t="s">
        <v>36</v>
      </c>
      <c r="G1404">
        <v>6233.7</v>
      </c>
      <c r="H1404">
        <v>1551.12</v>
      </c>
      <c r="I1404">
        <v>5</v>
      </c>
      <c r="J1404">
        <v>1</v>
      </c>
      <c r="K1404" t="str">
        <f>TEXT(discount_impact_on_profit_2000_rows[[#This Row],[order date]],"mmmm")</f>
        <v>September</v>
      </c>
      <c r="L1404">
        <f>YEAR(discount_impact_on_profit_2000_rows[[#This Row],[order date]])</f>
        <v>2025</v>
      </c>
      <c r="M1404" t="str">
        <f>IF(discount_impact_on_profit_2000_rows[[#This Row],[Discount %]]=0,"Zero Discount",IF(discount_impact_on_profit_2000_rows[[#This Row],[Discount %]]&lt;=10,"Low Discount","High Discount"))</f>
        <v>Low Discount</v>
      </c>
      <c r="N1404" t="str">
        <f t="shared" si="21"/>
        <v>0-10%</v>
      </c>
    </row>
    <row r="1405" spans="1:14">
      <c r="A1405" s="1">
        <v>45025</v>
      </c>
      <c r="B1405" t="s">
        <v>1467</v>
      </c>
      <c r="C1405" t="s">
        <v>15</v>
      </c>
      <c r="D1405" t="s">
        <v>28</v>
      </c>
      <c r="E1405">
        <v>1259.47</v>
      </c>
      <c r="F1405" t="s">
        <v>26</v>
      </c>
      <c r="G1405">
        <v>1502.96</v>
      </c>
      <c r="H1405">
        <v>243.49</v>
      </c>
      <c r="I1405">
        <v>15</v>
      </c>
      <c r="J1405">
        <v>1</v>
      </c>
      <c r="K1405" t="str">
        <f>TEXT(discount_impact_on_profit_2000_rows[[#This Row],[order date]],"mmmm")</f>
        <v>April</v>
      </c>
      <c r="L1405">
        <f>YEAR(discount_impact_on_profit_2000_rows[[#This Row],[order date]])</f>
        <v>2023</v>
      </c>
      <c r="M1405" t="str">
        <f>IF(discount_impact_on_profit_2000_rows[[#This Row],[Discount %]]=0,"Zero Discount",IF(discount_impact_on_profit_2000_rows[[#This Row],[Discount %]]&lt;=10,"Low Discount","High Discount"))</f>
        <v>High Discount</v>
      </c>
      <c r="N1405" t="str">
        <f t="shared" si="21"/>
        <v>10-20%</v>
      </c>
    </row>
    <row r="1406" spans="1:14">
      <c r="A1406" s="1">
        <v>45021</v>
      </c>
      <c r="B1406" t="s">
        <v>1468</v>
      </c>
      <c r="C1406" t="s">
        <v>53</v>
      </c>
      <c r="D1406" t="s">
        <v>95</v>
      </c>
      <c r="E1406">
        <v>4818.66</v>
      </c>
      <c r="F1406" t="s">
        <v>31</v>
      </c>
      <c r="G1406">
        <v>7628.76</v>
      </c>
      <c r="H1406">
        <v>2810.1</v>
      </c>
      <c r="I1406">
        <v>15</v>
      </c>
      <c r="J1406">
        <v>2</v>
      </c>
      <c r="K1406" t="str">
        <f>TEXT(discount_impact_on_profit_2000_rows[[#This Row],[order date]],"mmmm")</f>
        <v>April</v>
      </c>
      <c r="L1406">
        <f>YEAR(discount_impact_on_profit_2000_rows[[#This Row],[order date]])</f>
        <v>2023</v>
      </c>
      <c r="M1406" t="str">
        <f>IF(discount_impact_on_profit_2000_rows[[#This Row],[Discount %]]=0,"Zero Discount",IF(discount_impact_on_profit_2000_rows[[#This Row],[Discount %]]&lt;=10,"Low Discount","High Discount"))</f>
        <v>High Discount</v>
      </c>
      <c r="N1406" t="str">
        <f t="shared" si="21"/>
        <v>10-20%</v>
      </c>
    </row>
    <row r="1407" spans="1:14">
      <c r="A1407" s="1">
        <v>45465</v>
      </c>
      <c r="B1407" t="s">
        <v>1469</v>
      </c>
      <c r="C1407" t="s">
        <v>21</v>
      </c>
      <c r="D1407" t="s">
        <v>22</v>
      </c>
      <c r="E1407">
        <v>4361.49</v>
      </c>
      <c r="F1407" t="s">
        <v>23</v>
      </c>
      <c r="G1407">
        <v>5669.21</v>
      </c>
      <c r="H1407">
        <v>1307.72</v>
      </c>
      <c r="I1407">
        <v>10</v>
      </c>
      <c r="J1407">
        <v>3</v>
      </c>
      <c r="K1407" t="str">
        <f>TEXT(discount_impact_on_profit_2000_rows[[#This Row],[order date]],"mmmm")</f>
        <v>June</v>
      </c>
      <c r="L1407">
        <f>YEAR(discount_impact_on_profit_2000_rows[[#This Row],[order date]])</f>
        <v>2024</v>
      </c>
      <c r="M1407" t="str">
        <f>IF(discount_impact_on_profit_2000_rows[[#This Row],[Discount %]]=0,"Zero Discount",IF(discount_impact_on_profit_2000_rows[[#This Row],[Discount %]]&lt;=10,"Low Discount","High Discount"))</f>
        <v>Low Discount</v>
      </c>
      <c r="N1407" t="str">
        <f t="shared" si="21"/>
        <v>0-10%</v>
      </c>
    </row>
    <row r="1408" spans="1:14">
      <c r="A1408" s="1">
        <v>44936</v>
      </c>
      <c r="B1408" t="s">
        <v>1470</v>
      </c>
      <c r="C1408" t="s">
        <v>11</v>
      </c>
      <c r="D1408" t="s">
        <v>38</v>
      </c>
      <c r="E1408">
        <v>3828.51</v>
      </c>
      <c r="F1408" t="s">
        <v>36</v>
      </c>
      <c r="G1408">
        <v>7387.68</v>
      </c>
      <c r="H1408">
        <v>3559.17</v>
      </c>
      <c r="I1408">
        <v>0</v>
      </c>
      <c r="J1408">
        <v>8</v>
      </c>
      <c r="K1408" t="str">
        <f>TEXT(discount_impact_on_profit_2000_rows[[#This Row],[order date]],"mmmm")</f>
        <v>January</v>
      </c>
      <c r="L1408">
        <f>YEAR(discount_impact_on_profit_2000_rows[[#This Row],[order date]])</f>
        <v>2023</v>
      </c>
      <c r="M1408" t="str">
        <f>IF(discount_impact_on_profit_2000_rows[[#This Row],[Discount %]]=0,"Zero Discount",IF(discount_impact_on_profit_2000_rows[[#This Row],[Discount %]]&lt;=10,"Low Discount","High Discount"))</f>
        <v>Zero Discount</v>
      </c>
      <c r="N1408" t="str">
        <f t="shared" si="21"/>
        <v>0-10%</v>
      </c>
    </row>
    <row r="1409" spans="1:14">
      <c r="A1409" s="1">
        <v>45996</v>
      </c>
      <c r="B1409" t="s">
        <v>1471</v>
      </c>
      <c r="C1409" t="s">
        <v>33</v>
      </c>
      <c r="D1409" t="s">
        <v>197</v>
      </c>
      <c r="E1409">
        <v>14117.86</v>
      </c>
      <c r="F1409" t="s">
        <v>26</v>
      </c>
      <c r="G1409">
        <v>21856.92</v>
      </c>
      <c r="H1409">
        <v>7739.06</v>
      </c>
      <c r="I1409">
        <v>10</v>
      </c>
      <c r="J1409">
        <v>6</v>
      </c>
      <c r="K1409" t="str">
        <f>TEXT(discount_impact_on_profit_2000_rows[[#This Row],[order date]],"mmmm")</f>
        <v>December</v>
      </c>
      <c r="L1409">
        <f>YEAR(discount_impact_on_profit_2000_rows[[#This Row],[order date]])</f>
        <v>2025</v>
      </c>
      <c r="M1409" t="str">
        <f>IF(discount_impact_on_profit_2000_rows[[#This Row],[Discount %]]=0,"Zero Discount",IF(discount_impact_on_profit_2000_rows[[#This Row],[Discount %]]&lt;=10,"Low Discount","High Discount"))</f>
        <v>Low Discount</v>
      </c>
      <c r="N1409" t="str">
        <f t="shared" si="21"/>
        <v>0-10%</v>
      </c>
    </row>
    <row r="1410" spans="1:14">
      <c r="A1410" s="1">
        <v>45009</v>
      </c>
      <c r="B1410" t="s">
        <v>1472</v>
      </c>
      <c r="C1410" t="s">
        <v>21</v>
      </c>
      <c r="D1410" t="s">
        <v>109</v>
      </c>
      <c r="E1410">
        <v>4389.9399999999996</v>
      </c>
      <c r="F1410" t="s">
        <v>23</v>
      </c>
      <c r="G1410">
        <v>4695.1899999999996</v>
      </c>
      <c r="H1410">
        <v>305.25</v>
      </c>
      <c r="I1410">
        <v>15</v>
      </c>
      <c r="J1410">
        <v>3</v>
      </c>
      <c r="K1410" t="str">
        <f>TEXT(discount_impact_on_profit_2000_rows[[#This Row],[order date]],"mmmm")</f>
        <v>March</v>
      </c>
      <c r="L1410">
        <f>YEAR(discount_impact_on_profit_2000_rows[[#This Row],[order date]])</f>
        <v>2023</v>
      </c>
      <c r="M1410" t="str">
        <f>IF(discount_impact_on_profit_2000_rows[[#This Row],[Discount %]]=0,"Zero Discount",IF(discount_impact_on_profit_2000_rows[[#This Row],[Discount %]]&lt;=10,"Low Discount","High Discount"))</f>
        <v>High Discount</v>
      </c>
      <c r="N1410" t="str">
        <f t="shared" ref="N1410:N1473" si="22">IF(I1410&lt;=10,"0-10%",IF(I1410&lt;=20,"10-20%",IF(I1410&lt;=30,"20-30%","30%+")))</f>
        <v>10-20%</v>
      </c>
    </row>
    <row r="1411" spans="1:14">
      <c r="A1411" s="1">
        <v>45923</v>
      </c>
      <c r="B1411" t="s">
        <v>1473</v>
      </c>
      <c r="C1411" t="s">
        <v>21</v>
      </c>
      <c r="D1411" t="s">
        <v>97</v>
      </c>
      <c r="E1411">
        <v>7635.11</v>
      </c>
      <c r="F1411" t="s">
        <v>36</v>
      </c>
      <c r="G1411">
        <v>7864.16</v>
      </c>
      <c r="H1411">
        <v>229.05</v>
      </c>
      <c r="I1411">
        <v>24</v>
      </c>
      <c r="J1411">
        <v>2</v>
      </c>
      <c r="K1411" t="str">
        <f>TEXT(discount_impact_on_profit_2000_rows[[#This Row],[order date]],"mmmm")</f>
        <v>September</v>
      </c>
      <c r="L1411">
        <f>YEAR(discount_impact_on_profit_2000_rows[[#This Row],[order date]])</f>
        <v>2025</v>
      </c>
      <c r="M1411" t="str">
        <f>IF(discount_impact_on_profit_2000_rows[[#This Row],[Discount %]]=0,"Zero Discount",IF(discount_impact_on_profit_2000_rows[[#This Row],[Discount %]]&lt;=10,"Low Discount","High Discount"))</f>
        <v>High Discount</v>
      </c>
      <c r="N1411" t="str">
        <f t="shared" si="22"/>
        <v>20-30%</v>
      </c>
    </row>
    <row r="1412" spans="1:14">
      <c r="A1412" s="1">
        <v>46003</v>
      </c>
      <c r="B1412" t="s">
        <v>1474</v>
      </c>
      <c r="C1412" t="s">
        <v>18</v>
      </c>
      <c r="D1412" t="s">
        <v>104</v>
      </c>
      <c r="E1412">
        <v>275.33</v>
      </c>
      <c r="F1412" t="s">
        <v>36</v>
      </c>
      <c r="G1412">
        <v>363.53</v>
      </c>
      <c r="H1412">
        <v>88.2</v>
      </c>
      <c r="I1412">
        <v>15</v>
      </c>
      <c r="J1412">
        <v>2</v>
      </c>
      <c r="K1412" t="str">
        <f>TEXT(discount_impact_on_profit_2000_rows[[#This Row],[order date]],"mmmm")</f>
        <v>December</v>
      </c>
      <c r="L1412">
        <f>YEAR(discount_impact_on_profit_2000_rows[[#This Row],[order date]])</f>
        <v>2025</v>
      </c>
      <c r="M1412" t="str">
        <f>IF(discount_impact_on_profit_2000_rows[[#This Row],[Discount %]]=0,"Zero Discount",IF(discount_impact_on_profit_2000_rows[[#This Row],[Discount %]]&lt;=10,"Low Discount","High Discount"))</f>
        <v>High Discount</v>
      </c>
      <c r="N1412" t="str">
        <f t="shared" si="22"/>
        <v>10-20%</v>
      </c>
    </row>
    <row r="1413" spans="1:14">
      <c r="A1413" s="1">
        <v>45493</v>
      </c>
      <c r="B1413" t="s">
        <v>1475</v>
      </c>
      <c r="C1413" t="s">
        <v>21</v>
      </c>
      <c r="D1413" t="s">
        <v>57</v>
      </c>
      <c r="E1413">
        <v>3207.69</v>
      </c>
      <c r="F1413" t="s">
        <v>26</v>
      </c>
      <c r="G1413">
        <v>4723.93</v>
      </c>
      <c r="H1413">
        <v>1516.24</v>
      </c>
      <c r="I1413">
        <v>0</v>
      </c>
      <c r="J1413">
        <v>5</v>
      </c>
      <c r="K1413" t="str">
        <f>TEXT(discount_impact_on_profit_2000_rows[[#This Row],[order date]],"mmmm")</f>
        <v>July</v>
      </c>
      <c r="L1413">
        <f>YEAR(discount_impact_on_profit_2000_rows[[#This Row],[order date]])</f>
        <v>2024</v>
      </c>
      <c r="M1413" t="str">
        <f>IF(discount_impact_on_profit_2000_rows[[#This Row],[Discount %]]=0,"Zero Discount",IF(discount_impact_on_profit_2000_rows[[#This Row],[Discount %]]&lt;=10,"Low Discount","High Discount"))</f>
        <v>Zero Discount</v>
      </c>
      <c r="N1413" t="str">
        <f t="shared" si="22"/>
        <v>0-10%</v>
      </c>
    </row>
    <row r="1414" spans="1:14">
      <c r="A1414" s="1">
        <v>45464</v>
      </c>
      <c r="B1414" t="s">
        <v>1476</v>
      </c>
      <c r="C1414" t="s">
        <v>21</v>
      </c>
      <c r="D1414" t="s">
        <v>57</v>
      </c>
      <c r="E1414">
        <v>20515.349999999999</v>
      </c>
      <c r="F1414" t="s">
        <v>13</v>
      </c>
      <c r="G1414">
        <v>22766.84</v>
      </c>
      <c r="H1414">
        <v>2251.4899999999998</v>
      </c>
      <c r="I1414">
        <v>5</v>
      </c>
      <c r="J1414">
        <v>5</v>
      </c>
      <c r="K1414" t="str">
        <f>TEXT(discount_impact_on_profit_2000_rows[[#This Row],[order date]],"mmmm")</f>
        <v>June</v>
      </c>
      <c r="L1414">
        <f>YEAR(discount_impact_on_profit_2000_rows[[#This Row],[order date]])</f>
        <v>2024</v>
      </c>
      <c r="M1414" t="str">
        <f>IF(discount_impact_on_profit_2000_rows[[#This Row],[Discount %]]=0,"Zero Discount",IF(discount_impact_on_profit_2000_rows[[#This Row],[Discount %]]&lt;=10,"Low Discount","High Discount"))</f>
        <v>Low Discount</v>
      </c>
      <c r="N1414" t="str">
        <f t="shared" si="22"/>
        <v>0-10%</v>
      </c>
    </row>
    <row r="1415" spans="1:14">
      <c r="A1415" s="1">
        <v>45966</v>
      </c>
      <c r="B1415" t="s">
        <v>1477</v>
      </c>
      <c r="C1415" t="s">
        <v>33</v>
      </c>
      <c r="D1415" t="s">
        <v>44</v>
      </c>
      <c r="E1415">
        <v>2816.01</v>
      </c>
      <c r="F1415" t="s">
        <v>36</v>
      </c>
      <c r="G1415">
        <v>4120.51</v>
      </c>
      <c r="H1415">
        <v>1304.5</v>
      </c>
      <c r="I1415">
        <v>10</v>
      </c>
      <c r="J1415">
        <v>2</v>
      </c>
      <c r="K1415" t="str">
        <f>TEXT(discount_impact_on_profit_2000_rows[[#This Row],[order date]],"mmmm")</f>
        <v>November</v>
      </c>
      <c r="L1415">
        <f>YEAR(discount_impact_on_profit_2000_rows[[#This Row],[order date]])</f>
        <v>2025</v>
      </c>
      <c r="M1415" t="str">
        <f>IF(discount_impact_on_profit_2000_rows[[#This Row],[Discount %]]=0,"Zero Discount",IF(discount_impact_on_profit_2000_rows[[#This Row],[Discount %]]&lt;=10,"Low Discount","High Discount"))</f>
        <v>Low Discount</v>
      </c>
      <c r="N1415" t="str">
        <f t="shared" si="22"/>
        <v>0-10%</v>
      </c>
    </row>
    <row r="1416" spans="1:14">
      <c r="A1416" s="1">
        <v>44935</v>
      </c>
      <c r="B1416" t="s">
        <v>1478</v>
      </c>
      <c r="C1416" t="s">
        <v>15</v>
      </c>
      <c r="D1416" t="s">
        <v>76</v>
      </c>
      <c r="E1416">
        <v>8686.84</v>
      </c>
      <c r="F1416" t="s">
        <v>13</v>
      </c>
      <c r="G1416">
        <v>10985.17</v>
      </c>
      <c r="H1416">
        <v>2298.33</v>
      </c>
      <c r="I1416">
        <v>0</v>
      </c>
      <c r="J1416">
        <v>2</v>
      </c>
      <c r="K1416" t="str">
        <f>TEXT(discount_impact_on_profit_2000_rows[[#This Row],[order date]],"mmmm")</f>
        <v>January</v>
      </c>
      <c r="L1416">
        <f>YEAR(discount_impact_on_profit_2000_rows[[#This Row],[order date]])</f>
        <v>2023</v>
      </c>
      <c r="M1416" t="str">
        <f>IF(discount_impact_on_profit_2000_rows[[#This Row],[Discount %]]=0,"Zero Discount",IF(discount_impact_on_profit_2000_rows[[#This Row],[Discount %]]&lt;=10,"Low Discount","High Discount"))</f>
        <v>Zero Discount</v>
      </c>
      <c r="N1416" t="str">
        <f t="shared" si="22"/>
        <v>0-10%</v>
      </c>
    </row>
    <row r="1417" spans="1:14">
      <c r="A1417" s="1">
        <v>45307</v>
      </c>
      <c r="B1417" t="s">
        <v>1479</v>
      </c>
      <c r="C1417" t="s">
        <v>21</v>
      </c>
      <c r="D1417" t="s">
        <v>97</v>
      </c>
      <c r="E1417">
        <v>1923.52</v>
      </c>
      <c r="F1417" t="s">
        <v>13</v>
      </c>
      <c r="G1417">
        <v>2586.7600000000002</v>
      </c>
      <c r="H1417">
        <v>663.24</v>
      </c>
      <c r="I1417">
        <v>0</v>
      </c>
      <c r="J1417">
        <v>2</v>
      </c>
      <c r="K1417" t="str">
        <f>TEXT(discount_impact_on_profit_2000_rows[[#This Row],[order date]],"mmmm")</f>
        <v>January</v>
      </c>
      <c r="L1417">
        <f>YEAR(discount_impact_on_profit_2000_rows[[#This Row],[order date]])</f>
        <v>2024</v>
      </c>
      <c r="M1417" t="str">
        <f>IF(discount_impact_on_profit_2000_rows[[#This Row],[Discount %]]=0,"Zero Discount",IF(discount_impact_on_profit_2000_rows[[#This Row],[Discount %]]&lt;=10,"Low Discount","High Discount"))</f>
        <v>Zero Discount</v>
      </c>
      <c r="N1417" t="str">
        <f t="shared" si="22"/>
        <v>0-10%</v>
      </c>
    </row>
    <row r="1418" spans="1:14">
      <c r="A1418" s="1">
        <v>45608</v>
      </c>
      <c r="B1418" t="s">
        <v>1480</v>
      </c>
      <c r="C1418" t="s">
        <v>33</v>
      </c>
      <c r="D1418" t="s">
        <v>44</v>
      </c>
      <c r="E1418">
        <v>31802.54</v>
      </c>
      <c r="F1418" t="s">
        <v>31</v>
      </c>
      <c r="G1418">
        <v>37679.83</v>
      </c>
      <c r="H1418">
        <v>5877.29</v>
      </c>
      <c r="I1418">
        <v>15</v>
      </c>
      <c r="J1418">
        <v>3</v>
      </c>
      <c r="K1418" t="str">
        <f>TEXT(discount_impact_on_profit_2000_rows[[#This Row],[order date]],"mmmm")</f>
        <v>November</v>
      </c>
      <c r="L1418">
        <f>YEAR(discount_impact_on_profit_2000_rows[[#This Row],[order date]])</f>
        <v>2024</v>
      </c>
      <c r="M1418" t="str">
        <f>IF(discount_impact_on_profit_2000_rows[[#This Row],[Discount %]]=0,"Zero Discount",IF(discount_impact_on_profit_2000_rows[[#This Row],[Discount %]]&lt;=10,"Low Discount","High Discount"))</f>
        <v>High Discount</v>
      </c>
      <c r="N1418" t="str">
        <f t="shared" si="22"/>
        <v>10-20%</v>
      </c>
    </row>
    <row r="1419" spans="1:14">
      <c r="A1419" s="1">
        <v>46021</v>
      </c>
      <c r="B1419" t="s">
        <v>1481</v>
      </c>
      <c r="C1419" t="s">
        <v>53</v>
      </c>
      <c r="D1419" t="s">
        <v>59</v>
      </c>
      <c r="E1419">
        <v>12696.8</v>
      </c>
      <c r="F1419" t="s">
        <v>26</v>
      </c>
      <c r="G1419">
        <v>26213.7</v>
      </c>
      <c r="H1419">
        <v>13516.9</v>
      </c>
      <c r="I1419">
        <v>10</v>
      </c>
      <c r="J1419">
        <v>6</v>
      </c>
      <c r="K1419" t="str">
        <f>TEXT(discount_impact_on_profit_2000_rows[[#This Row],[order date]],"mmmm")</f>
        <v>December</v>
      </c>
      <c r="L1419">
        <f>YEAR(discount_impact_on_profit_2000_rows[[#This Row],[order date]])</f>
        <v>2025</v>
      </c>
      <c r="M1419" t="str">
        <f>IF(discount_impact_on_profit_2000_rows[[#This Row],[Discount %]]=0,"Zero Discount",IF(discount_impact_on_profit_2000_rows[[#This Row],[Discount %]]&lt;=10,"Low Discount","High Discount"))</f>
        <v>Low Discount</v>
      </c>
      <c r="N1419" t="str">
        <f t="shared" si="22"/>
        <v>0-10%</v>
      </c>
    </row>
    <row r="1420" spans="1:14">
      <c r="A1420" s="1">
        <v>45315</v>
      </c>
      <c r="B1420" t="s">
        <v>1482</v>
      </c>
      <c r="C1420" t="s">
        <v>33</v>
      </c>
      <c r="D1420" t="s">
        <v>34</v>
      </c>
      <c r="E1420">
        <v>29205.96</v>
      </c>
      <c r="F1420" t="s">
        <v>26</v>
      </c>
      <c r="G1420">
        <v>40790.65</v>
      </c>
      <c r="H1420">
        <v>11584.69</v>
      </c>
      <c r="I1420">
        <v>5</v>
      </c>
      <c r="J1420">
        <v>8</v>
      </c>
      <c r="K1420" t="str">
        <f>TEXT(discount_impact_on_profit_2000_rows[[#This Row],[order date]],"mmmm")</f>
        <v>January</v>
      </c>
      <c r="L1420">
        <f>YEAR(discount_impact_on_profit_2000_rows[[#This Row],[order date]])</f>
        <v>2024</v>
      </c>
      <c r="M1420" t="str">
        <f>IF(discount_impact_on_profit_2000_rows[[#This Row],[Discount %]]=0,"Zero Discount",IF(discount_impact_on_profit_2000_rows[[#This Row],[Discount %]]&lt;=10,"Low Discount","High Discount"))</f>
        <v>Low Discount</v>
      </c>
      <c r="N1420" t="str">
        <f t="shared" si="22"/>
        <v>0-10%</v>
      </c>
    </row>
    <row r="1421" spans="1:14">
      <c r="A1421" s="1">
        <v>45134</v>
      </c>
      <c r="B1421" t="s">
        <v>1483</v>
      </c>
      <c r="C1421" t="s">
        <v>18</v>
      </c>
      <c r="D1421" t="s">
        <v>104</v>
      </c>
      <c r="E1421">
        <v>158.53</v>
      </c>
      <c r="F1421" t="s">
        <v>13</v>
      </c>
      <c r="G1421">
        <v>237.61</v>
      </c>
      <c r="H1421">
        <v>79.08</v>
      </c>
      <c r="I1421">
        <v>20</v>
      </c>
      <c r="J1421">
        <v>1</v>
      </c>
      <c r="K1421" t="str">
        <f>TEXT(discount_impact_on_profit_2000_rows[[#This Row],[order date]],"mmmm")</f>
        <v>July</v>
      </c>
      <c r="L1421">
        <f>YEAR(discount_impact_on_profit_2000_rows[[#This Row],[order date]])</f>
        <v>2023</v>
      </c>
      <c r="M1421" t="str">
        <f>IF(discount_impact_on_profit_2000_rows[[#This Row],[Discount %]]=0,"Zero Discount",IF(discount_impact_on_profit_2000_rows[[#This Row],[Discount %]]&lt;=10,"Low Discount","High Discount"))</f>
        <v>High Discount</v>
      </c>
      <c r="N1421" t="str">
        <f t="shared" si="22"/>
        <v>10-20%</v>
      </c>
    </row>
    <row r="1422" spans="1:14">
      <c r="A1422" s="1">
        <v>45186</v>
      </c>
      <c r="B1422" t="s">
        <v>1484</v>
      </c>
      <c r="C1422" t="s">
        <v>18</v>
      </c>
      <c r="D1422" t="s">
        <v>88</v>
      </c>
      <c r="E1422">
        <v>3220.43</v>
      </c>
      <c r="F1422" t="s">
        <v>13</v>
      </c>
      <c r="G1422">
        <v>6518.13</v>
      </c>
      <c r="H1422">
        <v>3297.7</v>
      </c>
      <c r="I1422">
        <v>0</v>
      </c>
      <c r="J1422">
        <v>4</v>
      </c>
      <c r="K1422" t="str">
        <f>TEXT(discount_impact_on_profit_2000_rows[[#This Row],[order date]],"mmmm")</f>
        <v>September</v>
      </c>
      <c r="L1422">
        <f>YEAR(discount_impact_on_profit_2000_rows[[#This Row],[order date]])</f>
        <v>2023</v>
      </c>
      <c r="M1422" t="str">
        <f>IF(discount_impact_on_profit_2000_rows[[#This Row],[Discount %]]=0,"Zero Discount",IF(discount_impact_on_profit_2000_rows[[#This Row],[Discount %]]&lt;=10,"Low Discount","High Discount"))</f>
        <v>Zero Discount</v>
      </c>
      <c r="N1422" t="str">
        <f t="shared" si="22"/>
        <v>0-10%</v>
      </c>
    </row>
    <row r="1423" spans="1:14">
      <c r="A1423" s="1">
        <v>45503</v>
      </c>
      <c r="B1423" t="s">
        <v>1485</v>
      </c>
      <c r="C1423" t="s">
        <v>11</v>
      </c>
      <c r="D1423" t="s">
        <v>25</v>
      </c>
      <c r="E1423">
        <v>1620.8</v>
      </c>
      <c r="F1423" t="s">
        <v>23</v>
      </c>
      <c r="G1423">
        <v>1902.64</v>
      </c>
      <c r="H1423">
        <v>281.83999999999997</v>
      </c>
      <c r="I1423">
        <v>25</v>
      </c>
      <c r="J1423">
        <v>1</v>
      </c>
      <c r="K1423" t="str">
        <f>TEXT(discount_impact_on_profit_2000_rows[[#This Row],[order date]],"mmmm")</f>
        <v>July</v>
      </c>
      <c r="L1423">
        <f>YEAR(discount_impact_on_profit_2000_rows[[#This Row],[order date]])</f>
        <v>2024</v>
      </c>
      <c r="M1423" t="str">
        <f>IF(discount_impact_on_profit_2000_rows[[#This Row],[Discount %]]=0,"Zero Discount",IF(discount_impact_on_profit_2000_rows[[#This Row],[Discount %]]&lt;=10,"Low Discount","High Discount"))</f>
        <v>High Discount</v>
      </c>
      <c r="N1423" t="str">
        <f t="shared" si="22"/>
        <v>20-30%</v>
      </c>
    </row>
    <row r="1424" spans="1:14">
      <c r="A1424" s="1">
        <v>45376</v>
      </c>
      <c r="B1424" t="s">
        <v>1486</v>
      </c>
      <c r="C1424" t="s">
        <v>18</v>
      </c>
      <c r="D1424" t="s">
        <v>19</v>
      </c>
      <c r="E1424">
        <v>587.36</v>
      </c>
      <c r="F1424" t="s">
        <v>36</v>
      </c>
      <c r="G1424">
        <v>881.2</v>
      </c>
      <c r="H1424">
        <v>293.83999999999997</v>
      </c>
      <c r="I1424">
        <v>5</v>
      </c>
      <c r="J1424">
        <v>3</v>
      </c>
      <c r="K1424" t="str">
        <f>TEXT(discount_impact_on_profit_2000_rows[[#This Row],[order date]],"mmmm")</f>
        <v>March</v>
      </c>
      <c r="L1424">
        <f>YEAR(discount_impact_on_profit_2000_rows[[#This Row],[order date]])</f>
        <v>2024</v>
      </c>
      <c r="M1424" t="str">
        <f>IF(discount_impact_on_profit_2000_rows[[#This Row],[Discount %]]=0,"Zero Discount",IF(discount_impact_on_profit_2000_rows[[#This Row],[Discount %]]&lt;=10,"Low Discount","High Discount"))</f>
        <v>Low Discount</v>
      </c>
      <c r="N1424" t="str">
        <f t="shared" si="22"/>
        <v>0-10%</v>
      </c>
    </row>
    <row r="1425" spans="1:14">
      <c r="A1425" s="1">
        <v>45741</v>
      </c>
      <c r="B1425" t="s">
        <v>1487</v>
      </c>
      <c r="C1425" t="s">
        <v>33</v>
      </c>
      <c r="D1425" t="s">
        <v>203</v>
      </c>
      <c r="E1425">
        <v>6066.05</v>
      </c>
      <c r="F1425" t="s">
        <v>26</v>
      </c>
      <c r="G1425">
        <v>9138.41</v>
      </c>
      <c r="H1425">
        <v>3072.36</v>
      </c>
      <c r="I1425">
        <v>0</v>
      </c>
      <c r="J1425">
        <v>3</v>
      </c>
      <c r="K1425" t="str">
        <f>TEXT(discount_impact_on_profit_2000_rows[[#This Row],[order date]],"mmmm")</f>
        <v>March</v>
      </c>
      <c r="L1425">
        <f>YEAR(discount_impact_on_profit_2000_rows[[#This Row],[order date]])</f>
        <v>2025</v>
      </c>
      <c r="M1425" t="str">
        <f>IF(discount_impact_on_profit_2000_rows[[#This Row],[Discount %]]=0,"Zero Discount",IF(discount_impact_on_profit_2000_rows[[#This Row],[Discount %]]&lt;=10,"Low Discount","High Discount"))</f>
        <v>Zero Discount</v>
      </c>
      <c r="N1425" t="str">
        <f t="shared" si="22"/>
        <v>0-10%</v>
      </c>
    </row>
    <row r="1426" spans="1:14">
      <c r="A1426" s="1">
        <v>46021</v>
      </c>
      <c r="B1426" t="s">
        <v>1488</v>
      </c>
      <c r="C1426" t="s">
        <v>11</v>
      </c>
      <c r="D1426" t="s">
        <v>80</v>
      </c>
      <c r="E1426">
        <v>1076.24</v>
      </c>
      <c r="F1426" t="s">
        <v>26</v>
      </c>
      <c r="G1426">
        <v>1699.71</v>
      </c>
      <c r="H1426">
        <v>623.47</v>
      </c>
      <c r="I1426">
        <v>15</v>
      </c>
      <c r="J1426">
        <v>3</v>
      </c>
      <c r="K1426" t="str">
        <f>TEXT(discount_impact_on_profit_2000_rows[[#This Row],[order date]],"mmmm")</f>
        <v>December</v>
      </c>
      <c r="L1426">
        <f>YEAR(discount_impact_on_profit_2000_rows[[#This Row],[order date]])</f>
        <v>2025</v>
      </c>
      <c r="M1426" t="str">
        <f>IF(discount_impact_on_profit_2000_rows[[#This Row],[Discount %]]=0,"Zero Discount",IF(discount_impact_on_profit_2000_rows[[#This Row],[Discount %]]&lt;=10,"Low Discount","High Discount"))</f>
        <v>High Discount</v>
      </c>
      <c r="N1426" t="str">
        <f t="shared" si="22"/>
        <v>10-20%</v>
      </c>
    </row>
    <row r="1427" spans="1:14">
      <c r="A1427" s="1">
        <v>45819</v>
      </c>
      <c r="B1427" t="s">
        <v>1489</v>
      </c>
      <c r="C1427" t="s">
        <v>18</v>
      </c>
      <c r="D1427" t="s">
        <v>188</v>
      </c>
      <c r="E1427">
        <v>246.94</v>
      </c>
      <c r="F1427" t="s">
        <v>36</v>
      </c>
      <c r="G1427">
        <v>317.92</v>
      </c>
      <c r="H1427">
        <v>70.98</v>
      </c>
      <c r="I1427">
        <v>10</v>
      </c>
      <c r="J1427">
        <v>4</v>
      </c>
      <c r="K1427" t="str">
        <f>TEXT(discount_impact_on_profit_2000_rows[[#This Row],[order date]],"mmmm")</f>
        <v>June</v>
      </c>
      <c r="L1427">
        <f>YEAR(discount_impact_on_profit_2000_rows[[#This Row],[order date]])</f>
        <v>2025</v>
      </c>
      <c r="M1427" t="str">
        <f>IF(discount_impact_on_profit_2000_rows[[#This Row],[Discount %]]=0,"Zero Discount",IF(discount_impact_on_profit_2000_rows[[#This Row],[Discount %]]&lt;=10,"Low Discount","High Discount"))</f>
        <v>Low Discount</v>
      </c>
      <c r="N1427" t="str">
        <f t="shared" si="22"/>
        <v>0-10%</v>
      </c>
    </row>
    <row r="1428" spans="1:14">
      <c r="A1428" s="1">
        <v>45835</v>
      </c>
      <c r="B1428" t="s">
        <v>1490</v>
      </c>
      <c r="C1428" t="s">
        <v>33</v>
      </c>
      <c r="D1428" t="s">
        <v>34</v>
      </c>
      <c r="E1428">
        <v>2207.54</v>
      </c>
      <c r="F1428" t="s">
        <v>13</v>
      </c>
      <c r="G1428">
        <v>3571.9</v>
      </c>
      <c r="H1428">
        <v>1364.36</v>
      </c>
      <c r="I1428">
        <v>5</v>
      </c>
      <c r="J1428">
        <v>2</v>
      </c>
      <c r="K1428" t="str">
        <f>TEXT(discount_impact_on_profit_2000_rows[[#This Row],[order date]],"mmmm")</f>
        <v>June</v>
      </c>
      <c r="L1428">
        <f>YEAR(discount_impact_on_profit_2000_rows[[#This Row],[order date]])</f>
        <v>2025</v>
      </c>
      <c r="M1428" t="str">
        <f>IF(discount_impact_on_profit_2000_rows[[#This Row],[Discount %]]=0,"Zero Discount",IF(discount_impact_on_profit_2000_rows[[#This Row],[Discount %]]&lt;=10,"Low Discount","High Discount"))</f>
        <v>Low Discount</v>
      </c>
      <c r="N1428" t="str">
        <f t="shared" si="22"/>
        <v>0-10%</v>
      </c>
    </row>
    <row r="1429" spans="1:14">
      <c r="A1429" s="1">
        <v>45230</v>
      </c>
      <c r="B1429" t="s">
        <v>1491</v>
      </c>
      <c r="C1429" t="s">
        <v>15</v>
      </c>
      <c r="D1429" t="s">
        <v>28</v>
      </c>
      <c r="E1429">
        <v>8976.5400000000009</v>
      </c>
      <c r="F1429" t="s">
        <v>23</v>
      </c>
      <c r="G1429">
        <v>11164.64</v>
      </c>
      <c r="H1429">
        <v>2188.1</v>
      </c>
      <c r="I1429">
        <v>20</v>
      </c>
      <c r="J1429">
        <v>1</v>
      </c>
      <c r="K1429" t="str">
        <f>TEXT(discount_impact_on_profit_2000_rows[[#This Row],[order date]],"mmmm")</f>
        <v>October</v>
      </c>
      <c r="L1429">
        <f>YEAR(discount_impact_on_profit_2000_rows[[#This Row],[order date]])</f>
        <v>2023</v>
      </c>
      <c r="M1429" t="str">
        <f>IF(discount_impact_on_profit_2000_rows[[#This Row],[Discount %]]=0,"Zero Discount",IF(discount_impact_on_profit_2000_rows[[#This Row],[Discount %]]&lt;=10,"Low Discount","High Discount"))</f>
        <v>High Discount</v>
      </c>
      <c r="N1429" t="str">
        <f t="shared" si="22"/>
        <v>10-20%</v>
      </c>
    </row>
    <row r="1430" spans="1:14">
      <c r="A1430" s="1">
        <v>45801</v>
      </c>
      <c r="B1430" t="s">
        <v>1492</v>
      </c>
      <c r="C1430" t="s">
        <v>11</v>
      </c>
      <c r="D1430" t="s">
        <v>64</v>
      </c>
      <c r="E1430">
        <v>1299.26</v>
      </c>
      <c r="F1430" t="s">
        <v>23</v>
      </c>
      <c r="G1430">
        <v>2699.24</v>
      </c>
      <c r="H1430">
        <v>1399.98</v>
      </c>
      <c r="I1430">
        <v>20</v>
      </c>
      <c r="J1430">
        <v>6</v>
      </c>
      <c r="K1430" t="str">
        <f>TEXT(discount_impact_on_profit_2000_rows[[#This Row],[order date]],"mmmm")</f>
        <v>May</v>
      </c>
      <c r="L1430">
        <f>YEAR(discount_impact_on_profit_2000_rows[[#This Row],[order date]])</f>
        <v>2025</v>
      </c>
      <c r="M1430" t="str">
        <f>IF(discount_impact_on_profit_2000_rows[[#This Row],[Discount %]]=0,"Zero Discount",IF(discount_impact_on_profit_2000_rows[[#This Row],[Discount %]]&lt;=10,"Low Discount","High Discount"))</f>
        <v>High Discount</v>
      </c>
      <c r="N1430" t="str">
        <f t="shared" si="22"/>
        <v>10-20%</v>
      </c>
    </row>
    <row r="1431" spans="1:14">
      <c r="A1431" s="1">
        <v>45551</v>
      </c>
      <c r="B1431" t="s">
        <v>1493</v>
      </c>
      <c r="C1431" t="s">
        <v>18</v>
      </c>
      <c r="D1431" t="s">
        <v>140</v>
      </c>
      <c r="E1431">
        <v>223.66</v>
      </c>
      <c r="F1431" t="s">
        <v>23</v>
      </c>
      <c r="G1431">
        <v>446.38</v>
      </c>
      <c r="H1431">
        <v>222.72</v>
      </c>
      <c r="I1431">
        <v>0</v>
      </c>
      <c r="J1431">
        <v>4</v>
      </c>
      <c r="K1431" t="str">
        <f>TEXT(discount_impact_on_profit_2000_rows[[#This Row],[order date]],"mmmm")</f>
        <v>September</v>
      </c>
      <c r="L1431">
        <f>YEAR(discount_impact_on_profit_2000_rows[[#This Row],[order date]])</f>
        <v>2024</v>
      </c>
      <c r="M1431" t="str">
        <f>IF(discount_impact_on_profit_2000_rows[[#This Row],[Discount %]]=0,"Zero Discount",IF(discount_impact_on_profit_2000_rows[[#This Row],[Discount %]]&lt;=10,"Low Discount","High Discount"))</f>
        <v>Zero Discount</v>
      </c>
      <c r="N1431" t="str">
        <f t="shared" si="22"/>
        <v>0-10%</v>
      </c>
    </row>
    <row r="1432" spans="1:14">
      <c r="A1432" s="1">
        <v>45779</v>
      </c>
      <c r="B1432" t="s">
        <v>1494</v>
      </c>
      <c r="C1432" t="s">
        <v>53</v>
      </c>
      <c r="D1432" t="s">
        <v>152</v>
      </c>
      <c r="E1432">
        <v>1351.24</v>
      </c>
      <c r="F1432" t="s">
        <v>26</v>
      </c>
      <c r="G1432">
        <v>1998.05</v>
      </c>
      <c r="H1432">
        <v>646.80999999999995</v>
      </c>
      <c r="I1432">
        <v>0</v>
      </c>
      <c r="J1432">
        <v>2</v>
      </c>
      <c r="K1432" t="str">
        <f>TEXT(discount_impact_on_profit_2000_rows[[#This Row],[order date]],"mmmm")</f>
        <v>May</v>
      </c>
      <c r="L1432">
        <f>YEAR(discount_impact_on_profit_2000_rows[[#This Row],[order date]])</f>
        <v>2025</v>
      </c>
      <c r="M1432" t="str">
        <f>IF(discount_impact_on_profit_2000_rows[[#This Row],[Discount %]]=0,"Zero Discount",IF(discount_impact_on_profit_2000_rows[[#This Row],[Discount %]]&lt;=10,"Low Discount","High Discount"))</f>
        <v>Zero Discount</v>
      </c>
      <c r="N1432" t="str">
        <f t="shared" si="22"/>
        <v>0-10%</v>
      </c>
    </row>
    <row r="1433" spans="1:14">
      <c r="A1433" s="1">
        <v>45294</v>
      </c>
      <c r="B1433" t="s">
        <v>1495</v>
      </c>
      <c r="C1433" t="s">
        <v>11</v>
      </c>
      <c r="D1433" t="s">
        <v>25</v>
      </c>
      <c r="E1433">
        <v>413.05</v>
      </c>
      <c r="F1433" t="s">
        <v>31</v>
      </c>
      <c r="G1433">
        <v>497.24</v>
      </c>
      <c r="H1433">
        <v>84.19</v>
      </c>
      <c r="I1433">
        <v>25</v>
      </c>
      <c r="J1433">
        <v>1</v>
      </c>
      <c r="K1433" t="str">
        <f>TEXT(discount_impact_on_profit_2000_rows[[#This Row],[order date]],"mmmm")</f>
        <v>January</v>
      </c>
      <c r="L1433">
        <f>YEAR(discount_impact_on_profit_2000_rows[[#This Row],[order date]])</f>
        <v>2024</v>
      </c>
      <c r="M1433" t="str">
        <f>IF(discount_impact_on_profit_2000_rows[[#This Row],[Discount %]]=0,"Zero Discount",IF(discount_impact_on_profit_2000_rows[[#This Row],[Discount %]]&lt;=10,"Low Discount","High Discount"))</f>
        <v>High Discount</v>
      </c>
      <c r="N1433" t="str">
        <f t="shared" si="22"/>
        <v>20-30%</v>
      </c>
    </row>
    <row r="1434" spans="1:14">
      <c r="A1434" s="1">
        <v>45459</v>
      </c>
      <c r="B1434" t="s">
        <v>1496</v>
      </c>
      <c r="C1434" t="s">
        <v>21</v>
      </c>
      <c r="D1434" t="s">
        <v>109</v>
      </c>
      <c r="E1434">
        <v>19572.509999999998</v>
      </c>
      <c r="F1434" t="s">
        <v>36</v>
      </c>
      <c r="G1434">
        <v>26665.73</v>
      </c>
      <c r="H1434">
        <v>7093.22</v>
      </c>
      <c r="I1434">
        <v>5</v>
      </c>
      <c r="J1434">
        <v>3</v>
      </c>
      <c r="K1434" t="str">
        <f>TEXT(discount_impact_on_profit_2000_rows[[#This Row],[order date]],"mmmm")</f>
        <v>June</v>
      </c>
      <c r="L1434">
        <f>YEAR(discount_impact_on_profit_2000_rows[[#This Row],[order date]])</f>
        <v>2024</v>
      </c>
      <c r="M1434" t="str">
        <f>IF(discount_impact_on_profit_2000_rows[[#This Row],[Discount %]]=0,"Zero Discount",IF(discount_impact_on_profit_2000_rows[[#This Row],[Discount %]]&lt;=10,"Low Discount","High Discount"))</f>
        <v>Low Discount</v>
      </c>
      <c r="N1434" t="str">
        <f t="shared" si="22"/>
        <v>0-10%</v>
      </c>
    </row>
    <row r="1435" spans="1:14">
      <c r="A1435" s="1">
        <v>45083</v>
      </c>
      <c r="B1435" t="s">
        <v>1497</v>
      </c>
      <c r="C1435" t="s">
        <v>21</v>
      </c>
      <c r="D1435" t="s">
        <v>123</v>
      </c>
      <c r="E1435">
        <v>1639.44</v>
      </c>
      <c r="F1435" t="s">
        <v>26</v>
      </c>
      <c r="G1435">
        <v>1893.56</v>
      </c>
      <c r="H1435">
        <v>254.12</v>
      </c>
      <c r="I1435">
        <v>15</v>
      </c>
      <c r="J1435">
        <v>2</v>
      </c>
      <c r="K1435" t="str">
        <f>TEXT(discount_impact_on_profit_2000_rows[[#This Row],[order date]],"mmmm")</f>
        <v>June</v>
      </c>
      <c r="L1435">
        <f>YEAR(discount_impact_on_profit_2000_rows[[#This Row],[order date]])</f>
        <v>2023</v>
      </c>
      <c r="M1435" t="str">
        <f>IF(discount_impact_on_profit_2000_rows[[#This Row],[Discount %]]=0,"Zero Discount",IF(discount_impact_on_profit_2000_rows[[#This Row],[Discount %]]&lt;=10,"Low Discount","High Discount"))</f>
        <v>High Discount</v>
      </c>
      <c r="N1435" t="str">
        <f t="shared" si="22"/>
        <v>10-20%</v>
      </c>
    </row>
    <row r="1436" spans="1:14">
      <c r="A1436" s="1">
        <v>45178</v>
      </c>
      <c r="B1436" t="s">
        <v>1498</v>
      </c>
      <c r="C1436" t="s">
        <v>18</v>
      </c>
      <c r="D1436" t="s">
        <v>42</v>
      </c>
      <c r="E1436">
        <v>209.19</v>
      </c>
      <c r="F1436" t="s">
        <v>13</v>
      </c>
      <c r="G1436">
        <v>279.42</v>
      </c>
      <c r="H1436">
        <v>70.23</v>
      </c>
      <c r="I1436">
        <v>20</v>
      </c>
      <c r="J1436">
        <v>2</v>
      </c>
      <c r="K1436" t="str">
        <f>TEXT(discount_impact_on_profit_2000_rows[[#This Row],[order date]],"mmmm")</f>
        <v>September</v>
      </c>
      <c r="L1436">
        <f>YEAR(discount_impact_on_profit_2000_rows[[#This Row],[order date]])</f>
        <v>2023</v>
      </c>
      <c r="M1436" t="str">
        <f>IF(discount_impact_on_profit_2000_rows[[#This Row],[Discount %]]=0,"Zero Discount",IF(discount_impact_on_profit_2000_rows[[#This Row],[Discount %]]&lt;=10,"Low Discount","High Discount"))</f>
        <v>High Discount</v>
      </c>
      <c r="N1436" t="str">
        <f t="shared" si="22"/>
        <v>10-20%</v>
      </c>
    </row>
    <row r="1437" spans="1:14">
      <c r="A1437" s="1">
        <v>45538</v>
      </c>
      <c r="B1437" t="s">
        <v>1499</v>
      </c>
      <c r="C1437" t="s">
        <v>53</v>
      </c>
      <c r="D1437" t="s">
        <v>70</v>
      </c>
      <c r="E1437">
        <v>1997.83</v>
      </c>
      <c r="F1437" t="s">
        <v>13</v>
      </c>
      <c r="G1437">
        <v>2071.2600000000002</v>
      </c>
      <c r="H1437">
        <v>73.430000000000007</v>
      </c>
      <c r="I1437">
        <v>30</v>
      </c>
      <c r="J1437">
        <v>1</v>
      </c>
      <c r="K1437" t="str">
        <f>TEXT(discount_impact_on_profit_2000_rows[[#This Row],[order date]],"mmmm")</f>
        <v>September</v>
      </c>
      <c r="L1437">
        <f>YEAR(discount_impact_on_profit_2000_rows[[#This Row],[order date]])</f>
        <v>2024</v>
      </c>
      <c r="M1437" t="str">
        <f>IF(discount_impact_on_profit_2000_rows[[#This Row],[Discount %]]=0,"Zero Discount",IF(discount_impact_on_profit_2000_rows[[#This Row],[Discount %]]&lt;=10,"Low Discount","High Discount"))</f>
        <v>High Discount</v>
      </c>
      <c r="N1437" t="str">
        <f t="shared" si="22"/>
        <v>20-30%</v>
      </c>
    </row>
    <row r="1438" spans="1:14">
      <c r="A1438" s="1">
        <v>45991</v>
      </c>
      <c r="B1438" t="s">
        <v>1500</v>
      </c>
      <c r="C1438" t="s">
        <v>18</v>
      </c>
      <c r="D1438" t="s">
        <v>42</v>
      </c>
      <c r="E1438">
        <v>243.4</v>
      </c>
      <c r="F1438" t="s">
        <v>13</v>
      </c>
      <c r="G1438">
        <v>527.49</v>
      </c>
      <c r="H1438">
        <v>284.08999999999997</v>
      </c>
      <c r="I1438">
        <v>0</v>
      </c>
      <c r="J1438">
        <v>5</v>
      </c>
      <c r="K1438" t="str">
        <f>TEXT(discount_impact_on_profit_2000_rows[[#This Row],[order date]],"mmmm")</f>
        <v>November</v>
      </c>
      <c r="L1438">
        <f>YEAR(discount_impact_on_profit_2000_rows[[#This Row],[order date]])</f>
        <v>2025</v>
      </c>
      <c r="M1438" t="str">
        <f>IF(discount_impact_on_profit_2000_rows[[#This Row],[Discount %]]=0,"Zero Discount",IF(discount_impact_on_profit_2000_rows[[#This Row],[Discount %]]&lt;=10,"Low Discount","High Discount"))</f>
        <v>Zero Discount</v>
      </c>
      <c r="N1438" t="str">
        <f t="shared" si="22"/>
        <v>0-10%</v>
      </c>
    </row>
    <row r="1439" spans="1:14">
      <c r="A1439" s="1">
        <v>45584</v>
      </c>
      <c r="B1439" t="s">
        <v>1501</v>
      </c>
      <c r="C1439" t="s">
        <v>53</v>
      </c>
      <c r="D1439" t="s">
        <v>78</v>
      </c>
      <c r="E1439">
        <v>740.41</v>
      </c>
      <c r="F1439" t="s">
        <v>36</v>
      </c>
      <c r="G1439">
        <v>1485.87</v>
      </c>
      <c r="H1439">
        <v>745.46</v>
      </c>
      <c r="I1439">
        <v>15</v>
      </c>
      <c r="J1439">
        <v>2</v>
      </c>
      <c r="K1439" t="str">
        <f>TEXT(discount_impact_on_profit_2000_rows[[#This Row],[order date]],"mmmm")</f>
        <v>October</v>
      </c>
      <c r="L1439">
        <f>YEAR(discount_impact_on_profit_2000_rows[[#This Row],[order date]])</f>
        <v>2024</v>
      </c>
      <c r="M1439" t="str">
        <f>IF(discount_impact_on_profit_2000_rows[[#This Row],[Discount %]]=0,"Zero Discount",IF(discount_impact_on_profit_2000_rows[[#This Row],[Discount %]]&lt;=10,"Low Discount","High Discount"))</f>
        <v>High Discount</v>
      </c>
      <c r="N1439" t="str">
        <f t="shared" si="22"/>
        <v>10-20%</v>
      </c>
    </row>
    <row r="1440" spans="1:14">
      <c r="A1440" s="1">
        <v>45285</v>
      </c>
      <c r="B1440" t="s">
        <v>1502</v>
      </c>
      <c r="C1440" t="s">
        <v>33</v>
      </c>
      <c r="D1440" t="s">
        <v>203</v>
      </c>
      <c r="E1440">
        <v>8176.08</v>
      </c>
      <c r="F1440" t="s">
        <v>26</v>
      </c>
      <c r="G1440">
        <v>10268.879999999999</v>
      </c>
      <c r="H1440">
        <v>2092.8000000000002</v>
      </c>
      <c r="I1440">
        <v>20</v>
      </c>
      <c r="J1440">
        <v>3</v>
      </c>
      <c r="K1440" t="str">
        <f>TEXT(discount_impact_on_profit_2000_rows[[#This Row],[order date]],"mmmm")</f>
        <v>December</v>
      </c>
      <c r="L1440">
        <f>YEAR(discount_impact_on_profit_2000_rows[[#This Row],[order date]])</f>
        <v>2023</v>
      </c>
      <c r="M1440" t="str">
        <f>IF(discount_impact_on_profit_2000_rows[[#This Row],[Discount %]]=0,"Zero Discount",IF(discount_impact_on_profit_2000_rows[[#This Row],[Discount %]]&lt;=10,"Low Discount","High Discount"))</f>
        <v>High Discount</v>
      </c>
      <c r="N1440" t="str">
        <f t="shared" si="22"/>
        <v>10-20%</v>
      </c>
    </row>
    <row r="1441" spans="1:14">
      <c r="A1441" s="1">
        <v>45923</v>
      </c>
      <c r="B1441" t="s">
        <v>1503</v>
      </c>
      <c r="C1441" t="s">
        <v>15</v>
      </c>
      <c r="D1441" t="s">
        <v>86</v>
      </c>
      <c r="E1441">
        <v>4970.63</v>
      </c>
      <c r="F1441" t="s">
        <v>26</v>
      </c>
      <c r="G1441">
        <v>6001.54</v>
      </c>
      <c r="H1441">
        <v>1030.9100000000001</v>
      </c>
      <c r="I1441">
        <v>25</v>
      </c>
      <c r="J1441">
        <v>2</v>
      </c>
      <c r="K1441" t="str">
        <f>TEXT(discount_impact_on_profit_2000_rows[[#This Row],[order date]],"mmmm")</f>
        <v>September</v>
      </c>
      <c r="L1441">
        <f>YEAR(discount_impact_on_profit_2000_rows[[#This Row],[order date]])</f>
        <v>2025</v>
      </c>
      <c r="M1441" t="str">
        <f>IF(discount_impact_on_profit_2000_rows[[#This Row],[Discount %]]=0,"Zero Discount",IF(discount_impact_on_profit_2000_rows[[#This Row],[Discount %]]&lt;=10,"Low Discount","High Discount"))</f>
        <v>High Discount</v>
      </c>
      <c r="N1441" t="str">
        <f t="shared" si="22"/>
        <v>20-30%</v>
      </c>
    </row>
    <row r="1442" spans="1:14">
      <c r="A1442" s="1">
        <v>45021</v>
      </c>
      <c r="B1442" t="s">
        <v>1504</v>
      </c>
      <c r="C1442" t="s">
        <v>18</v>
      </c>
      <c r="D1442" t="s">
        <v>50</v>
      </c>
      <c r="E1442">
        <v>929.42</v>
      </c>
      <c r="F1442" t="s">
        <v>31</v>
      </c>
      <c r="G1442">
        <v>1444.58</v>
      </c>
      <c r="H1442">
        <v>515.16</v>
      </c>
      <c r="I1442">
        <v>10</v>
      </c>
      <c r="J1442">
        <v>1</v>
      </c>
      <c r="K1442" t="str">
        <f>TEXT(discount_impact_on_profit_2000_rows[[#This Row],[order date]],"mmmm")</f>
        <v>April</v>
      </c>
      <c r="L1442">
        <f>YEAR(discount_impact_on_profit_2000_rows[[#This Row],[order date]])</f>
        <v>2023</v>
      </c>
      <c r="M1442" t="str">
        <f>IF(discount_impact_on_profit_2000_rows[[#This Row],[Discount %]]=0,"Zero Discount",IF(discount_impact_on_profit_2000_rows[[#This Row],[Discount %]]&lt;=10,"Low Discount","High Discount"))</f>
        <v>Low Discount</v>
      </c>
      <c r="N1442" t="str">
        <f t="shared" si="22"/>
        <v>0-10%</v>
      </c>
    </row>
    <row r="1443" spans="1:14">
      <c r="A1443" s="1">
        <v>45163</v>
      </c>
      <c r="B1443" t="s">
        <v>1505</v>
      </c>
      <c r="C1443" t="s">
        <v>21</v>
      </c>
      <c r="D1443" t="s">
        <v>97</v>
      </c>
      <c r="E1443">
        <v>17527.98</v>
      </c>
      <c r="F1443" t="s">
        <v>26</v>
      </c>
      <c r="G1443">
        <v>18292.59</v>
      </c>
      <c r="H1443">
        <v>764.61</v>
      </c>
      <c r="I1443">
        <v>15</v>
      </c>
      <c r="J1443">
        <v>2</v>
      </c>
      <c r="K1443" t="str">
        <f>TEXT(discount_impact_on_profit_2000_rows[[#This Row],[order date]],"mmmm")</f>
        <v>August</v>
      </c>
      <c r="L1443">
        <f>YEAR(discount_impact_on_profit_2000_rows[[#This Row],[order date]])</f>
        <v>2023</v>
      </c>
      <c r="M1443" t="str">
        <f>IF(discount_impact_on_profit_2000_rows[[#This Row],[Discount %]]=0,"Zero Discount",IF(discount_impact_on_profit_2000_rows[[#This Row],[Discount %]]&lt;=10,"Low Discount","High Discount"))</f>
        <v>High Discount</v>
      </c>
      <c r="N1443" t="str">
        <f t="shared" si="22"/>
        <v>10-20%</v>
      </c>
    </row>
    <row r="1444" spans="1:14">
      <c r="A1444" s="1">
        <v>45718</v>
      </c>
      <c r="B1444" t="s">
        <v>1506</v>
      </c>
      <c r="C1444" t="s">
        <v>53</v>
      </c>
      <c r="D1444" t="s">
        <v>54</v>
      </c>
      <c r="E1444">
        <v>625.09</v>
      </c>
      <c r="F1444" t="s">
        <v>23</v>
      </c>
      <c r="G1444">
        <v>883.38</v>
      </c>
      <c r="H1444">
        <v>258.29000000000002</v>
      </c>
      <c r="I1444">
        <v>15</v>
      </c>
      <c r="J1444">
        <v>1</v>
      </c>
      <c r="K1444" t="str">
        <f>TEXT(discount_impact_on_profit_2000_rows[[#This Row],[order date]],"mmmm")</f>
        <v>March</v>
      </c>
      <c r="L1444">
        <f>YEAR(discount_impact_on_profit_2000_rows[[#This Row],[order date]])</f>
        <v>2025</v>
      </c>
      <c r="M1444" t="str">
        <f>IF(discount_impact_on_profit_2000_rows[[#This Row],[Discount %]]=0,"Zero Discount",IF(discount_impact_on_profit_2000_rows[[#This Row],[Discount %]]&lt;=10,"Low Discount","High Discount"))</f>
        <v>High Discount</v>
      </c>
      <c r="N1444" t="str">
        <f t="shared" si="22"/>
        <v>10-20%</v>
      </c>
    </row>
    <row r="1445" spans="1:14">
      <c r="A1445" s="1">
        <v>45899</v>
      </c>
      <c r="B1445" t="s">
        <v>1507</v>
      </c>
      <c r="C1445" t="s">
        <v>15</v>
      </c>
      <c r="D1445" t="s">
        <v>86</v>
      </c>
      <c r="E1445">
        <v>1974.1</v>
      </c>
      <c r="F1445" t="s">
        <v>26</v>
      </c>
      <c r="G1445">
        <v>2599.4299999999998</v>
      </c>
      <c r="H1445">
        <v>625.33000000000004</v>
      </c>
      <c r="I1445">
        <v>10</v>
      </c>
      <c r="J1445">
        <v>1</v>
      </c>
      <c r="K1445" t="str">
        <f>TEXT(discount_impact_on_profit_2000_rows[[#This Row],[order date]],"mmmm")</f>
        <v>August</v>
      </c>
      <c r="L1445">
        <f>YEAR(discount_impact_on_profit_2000_rows[[#This Row],[order date]])</f>
        <v>2025</v>
      </c>
      <c r="M1445" t="str">
        <f>IF(discount_impact_on_profit_2000_rows[[#This Row],[Discount %]]=0,"Zero Discount",IF(discount_impact_on_profit_2000_rows[[#This Row],[Discount %]]&lt;=10,"Low Discount","High Discount"))</f>
        <v>Low Discount</v>
      </c>
      <c r="N1445" t="str">
        <f t="shared" si="22"/>
        <v>0-10%</v>
      </c>
    </row>
    <row r="1446" spans="1:14">
      <c r="A1446" s="1">
        <v>45465</v>
      </c>
      <c r="B1446" t="s">
        <v>1508</v>
      </c>
      <c r="C1446" t="s">
        <v>18</v>
      </c>
      <c r="D1446" t="s">
        <v>104</v>
      </c>
      <c r="E1446">
        <v>528.45000000000005</v>
      </c>
      <c r="F1446" t="s">
        <v>23</v>
      </c>
      <c r="G1446">
        <v>783.55</v>
      </c>
      <c r="H1446">
        <v>255.1</v>
      </c>
      <c r="I1446">
        <v>25</v>
      </c>
      <c r="J1446">
        <v>4</v>
      </c>
      <c r="K1446" t="str">
        <f>TEXT(discount_impact_on_profit_2000_rows[[#This Row],[order date]],"mmmm")</f>
        <v>June</v>
      </c>
      <c r="L1446">
        <f>YEAR(discount_impact_on_profit_2000_rows[[#This Row],[order date]])</f>
        <v>2024</v>
      </c>
      <c r="M1446" t="str">
        <f>IF(discount_impact_on_profit_2000_rows[[#This Row],[Discount %]]=0,"Zero Discount",IF(discount_impact_on_profit_2000_rows[[#This Row],[Discount %]]&lt;=10,"Low Discount","High Discount"))</f>
        <v>High Discount</v>
      </c>
      <c r="N1446" t="str">
        <f t="shared" si="22"/>
        <v>20-30%</v>
      </c>
    </row>
    <row r="1447" spans="1:14">
      <c r="A1447" s="1">
        <v>45702</v>
      </c>
      <c r="B1447" t="s">
        <v>1509</v>
      </c>
      <c r="C1447" t="s">
        <v>11</v>
      </c>
      <c r="D1447" t="s">
        <v>38</v>
      </c>
      <c r="E1447">
        <v>359.67</v>
      </c>
      <c r="F1447" t="s">
        <v>26</v>
      </c>
      <c r="G1447">
        <v>633.25</v>
      </c>
      <c r="H1447">
        <v>273.58</v>
      </c>
      <c r="I1447">
        <v>10</v>
      </c>
      <c r="J1447">
        <v>1</v>
      </c>
      <c r="K1447" t="str">
        <f>TEXT(discount_impact_on_profit_2000_rows[[#This Row],[order date]],"mmmm")</f>
        <v>February</v>
      </c>
      <c r="L1447">
        <f>YEAR(discount_impact_on_profit_2000_rows[[#This Row],[order date]])</f>
        <v>2025</v>
      </c>
      <c r="M1447" t="str">
        <f>IF(discount_impact_on_profit_2000_rows[[#This Row],[Discount %]]=0,"Zero Discount",IF(discount_impact_on_profit_2000_rows[[#This Row],[Discount %]]&lt;=10,"Low Discount","High Discount"))</f>
        <v>Low Discount</v>
      </c>
      <c r="N1447" t="str">
        <f t="shared" si="22"/>
        <v>0-10%</v>
      </c>
    </row>
    <row r="1448" spans="1:14">
      <c r="A1448" s="1">
        <v>45995</v>
      </c>
      <c r="B1448" t="s">
        <v>1510</v>
      </c>
      <c r="C1448" t="s">
        <v>21</v>
      </c>
      <c r="D1448" t="s">
        <v>82</v>
      </c>
      <c r="E1448">
        <v>9703.32</v>
      </c>
      <c r="F1448" t="s">
        <v>13</v>
      </c>
      <c r="G1448">
        <v>11282.53</v>
      </c>
      <c r="H1448">
        <v>1579.21</v>
      </c>
      <c r="I1448">
        <v>10</v>
      </c>
      <c r="J1448">
        <v>1</v>
      </c>
      <c r="K1448" t="str">
        <f>TEXT(discount_impact_on_profit_2000_rows[[#This Row],[order date]],"mmmm")</f>
        <v>December</v>
      </c>
      <c r="L1448">
        <f>YEAR(discount_impact_on_profit_2000_rows[[#This Row],[order date]])</f>
        <v>2025</v>
      </c>
      <c r="M1448" t="str">
        <f>IF(discount_impact_on_profit_2000_rows[[#This Row],[Discount %]]=0,"Zero Discount",IF(discount_impact_on_profit_2000_rows[[#This Row],[Discount %]]&lt;=10,"Low Discount","High Discount"))</f>
        <v>Low Discount</v>
      </c>
      <c r="N1448" t="str">
        <f t="shared" si="22"/>
        <v>0-10%</v>
      </c>
    </row>
    <row r="1449" spans="1:14">
      <c r="A1449" s="1">
        <v>44962</v>
      </c>
      <c r="B1449" t="s">
        <v>1511</v>
      </c>
      <c r="C1449" t="s">
        <v>11</v>
      </c>
      <c r="D1449" t="s">
        <v>12</v>
      </c>
      <c r="E1449">
        <v>201.18</v>
      </c>
      <c r="F1449" t="s">
        <v>13</v>
      </c>
      <c r="G1449">
        <v>316.64</v>
      </c>
      <c r="H1449">
        <v>115.46</v>
      </c>
      <c r="I1449">
        <v>15</v>
      </c>
      <c r="J1449">
        <v>1</v>
      </c>
      <c r="K1449" t="str">
        <f>TEXT(discount_impact_on_profit_2000_rows[[#This Row],[order date]],"mmmm")</f>
        <v>February</v>
      </c>
      <c r="L1449">
        <f>YEAR(discount_impact_on_profit_2000_rows[[#This Row],[order date]])</f>
        <v>2023</v>
      </c>
      <c r="M1449" t="str">
        <f>IF(discount_impact_on_profit_2000_rows[[#This Row],[Discount %]]=0,"Zero Discount",IF(discount_impact_on_profit_2000_rows[[#This Row],[Discount %]]&lt;=10,"Low Discount","High Discount"))</f>
        <v>High Discount</v>
      </c>
      <c r="N1449" t="str">
        <f t="shared" si="22"/>
        <v>10-20%</v>
      </c>
    </row>
    <row r="1450" spans="1:14">
      <c r="A1450" s="1">
        <v>45675</v>
      </c>
      <c r="B1450" t="s">
        <v>1512</v>
      </c>
      <c r="C1450" t="s">
        <v>18</v>
      </c>
      <c r="D1450" t="s">
        <v>50</v>
      </c>
      <c r="E1450">
        <v>1213.26</v>
      </c>
      <c r="F1450" t="s">
        <v>36</v>
      </c>
      <c r="G1450">
        <v>2005.67</v>
      </c>
      <c r="H1450">
        <v>792.41</v>
      </c>
      <c r="I1450">
        <v>25</v>
      </c>
      <c r="J1450">
        <v>5</v>
      </c>
      <c r="K1450" t="str">
        <f>TEXT(discount_impact_on_profit_2000_rows[[#This Row],[order date]],"mmmm")</f>
        <v>January</v>
      </c>
      <c r="L1450">
        <f>YEAR(discount_impact_on_profit_2000_rows[[#This Row],[order date]])</f>
        <v>2025</v>
      </c>
      <c r="M1450" t="str">
        <f>IF(discount_impact_on_profit_2000_rows[[#This Row],[Discount %]]=0,"Zero Discount",IF(discount_impact_on_profit_2000_rows[[#This Row],[Discount %]]&lt;=10,"Low Discount","High Discount"))</f>
        <v>High Discount</v>
      </c>
      <c r="N1450" t="str">
        <f t="shared" si="22"/>
        <v>20-30%</v>
      </c>
    </row>
    <row r="1451" spans="1:14">
      <c r="A1451" s="1">
        <v>44997</v>
      </c>
      <c r="B1451" t="s">
        <v>1513</v>
      </c>
      <c r="C1451" t="s">
        <v>18</v>
      </c>
      <c r="D1451" t="s">
        <v>19</v>
      </c>
      <c r="E1451">
        <v>80.22</v>
      </c>
      <c r="F1451" t="s">
        <v>31</v>
      </c>
      <c r="G1451">
        <v>118.94</v>
      </c>
      <c r="H1451">
        <v>38.72</v>
      </c>
      <c r="I1451">
        <v>5</v>
      </c>
      <c r="J1451">
        <v>1</v>
      </c>
      <c r="K1451" t="str">
        <f>TEXT(discount_impact_on_profit_2000_rows[[#This Row],[order date]],"mmmm")</f>
        <v>March</v>
      </c>
      <c r="L1451">
        <f>YEAR(discount_impact_on_profit_2000_rows[[#This Row],[order date]])</f>
        <v>2023</v>
      </c>
      <c r="M1451" t="str">
        <f>IF(discount_impact_on_profit_2000_rows[[#This Row],[Discount %]]=0,"Zero Discount",IF(discount_impact_on_profit_2000_rows[[#This Row],[Discount %]]&lt;=10,"Low Discount","High Discount"))</f>
        <v>Low Discount</v>
      </c>
      <c r="N1451" t="str">
        <f t="shared" si="22"/>
        <v>0-10%</v>
      </c>
    </row>
    <row r="1452" spans="1:14">
      <c r="A1452" s="1">
        <v>45045</v>
      </c>
      <c r="B1452" t="s">
        <v>1514</v>
      </c>
      <c r="C1452" t="s">
        <v>18</v>
      </c>
      <c r="D1452" t="s">
        <v>88</v>
      </c>
      <c r="E1452">
        <v>177.19</v>
      </c>
      <c r="F1452" t="s">
        <v>23</v>
      </c>
      <c r="G1452">
        <v>303.31</v>
      </c>
      <c r="H1452">
        <v>126.12</v>
      </c>
      <c r="I1452">
        <v>20</v>
      </c>
      <c r="J1452">
        <v>3</v>
      </c>
      <c r="K1452" t="str">
        <f>TEXT(discount_impact_on_profit_2000_rows[[#This Row],[order date]],"mmmm")</f>
        <v>April</v>
      </c>
      <c r="L1452">
        <f>YEAR(discount_impact_on_profit_2000_rows[[#This Row],[order date]])</f>
        <v>2023</v>
      </c>
      <c r="M1452" t="str">
        <f>IF(discount_impact_on_profit_2000_rows[[#This Row],[Discount %]]=0,"Zero Discount",IF(discount_impact_on_profit_2000_rows[[#This Row],[Discount %]]&lt;=10,"Low Discount","High Discount"))</f>
        <v>High Discount</v>
      </c>
      <c r="N1452" t="str">
        <f t="shared" si="22"/>
        <v>10-20%</v>
      </c>
    </row>
    <row r="1453" spans="1:14">
      <c r="A1453" s="1">
        <v>45266</v>
      </c>
      <c r="B1453" t="s">
        <v>1515</v>
      </c>
      <c r="C1453" t="s">
        <v>18</v>
      </c>
      <c r="D1453" t="s">
        <v>42</v>
      </c>
      <c r="E1453">
        <v>2304.98</v>
      </c>
      <c r="F1453" t="s">
        <v>36</v>
      </c>
      <c r="G1453">
        <v>2939.32</v>
      </c>
      <c r="H1453">
        <v>634.34</v>
      </c>
      <c r="I1453">
        <v>30</v>
      </c>
      <c r="J1453">
        <v>3</v>
      </c>
      <c r="K1453" t="str">
        <f>TEXT(discount_impact_on_profit_2000_rows[[#This Row],[order date]],"mmmm")</f>
        <v>December</v>
      </c>
      <c r="L1453">
        <f>YEAR(discount_impact_on_profit_2000_rows[[#This Row],[order date]])</f>
        <v>2023</v>
      </c>
      <c r="M1453" t="str">
        <f>IF(discount_impact_on_profit_2000_rows[[#This Row],[Discount %]]=0,"Zero Discount",IF(discount_impact_on_profit_2000_rows[[#This Row],[Discount %]]&lt;=10,"Low Discount","High Discount"))</f>
        <v>High Discount</v>
      </c>
      <c r="N1453" t="str">
        <f t="shared" si="22"/>
        <v>20-30%</v>
      </c>
    </row>
    <row r="1454" spans="1:14">
      <c r="A1454" s="1">
        <v>44985</v>
      </c>
      <c r="B1454" t="s">
        <v>1516</v>
      </c>
      <c r="C1454" t="s">
        <v>21</v>
      </c>
      <c r="D1454" t="s">
        <v>109</v>
      </c>
      <c r="E1454">
        <v>12647.52</v>
      </c>
      <c r="F1454" t="s">
        <v>26</v>
      </c>
      <c r="G1454">
        <v>16774.93</v>
      </c>
      <c r="H1454">
        <v>4127.41</v>
      </c>
      <c r="I1454">
        <v>5</v>
      </c>
      <c r="J1454">
        <v>5</v>
      </c>
      <c r="K1454" t="str">
        <f>TEXT(discount_impact_on_profit_2000_rows[[#This Row],[order date]],"mmmm")</f>
        <v>February</v>
      </c>
      <c r="L1454">
        <f>YEAR(discount_impact_on_profit_2000_rows[[#This Row],[order date]])</f>
        <v>2023</v>
      </c>
      <c r="M1454" t="str">
        <f>IF(discount_impact_on_profit_2000_rows[[#This Row],[Discount %]]=0,"Zero Discount",IF(discount_impact_on_profit_2000_rows[[#This Row],[Discount %]]&lt;=10,"Low Discount","High Discount"))</f>
        <v>Low Discount</v>
      </c>
      <c r="N1454" t="str">
        <f t="shared" si="22"/>
        <v>0-10%</v>
      </c>
    </row>
    <row r="1455" spans="1:14">
      <c r="A1455" s="1">
        <v>44983</v>
      </c>
      <c r="B1455" t="s">
        <v>1517</v>
      </c>
      <c r="C1455" t="s">
        <v>21</v>
      </c>
      <c r="D1455" t="s">
        <v>97</v>
      </c>
      <c r="E1455">
        <v>10949.3</v>
      </c>
      <c r="F1455" t="s">
        <v>36</v>
      </c>
      <c r="G1455">
        <v>11592.55</v>
      </c>
      <c r="H1455">
        <v>643.25</v>
      </c>
      <c r="I1455">
        <v>20</v>
      </c>
      <c r="J1455">
        <v>6</v>
      </c>
      <c r="K1455" t="str">
        <f>TEXT(discount_impact_on_profit_2000_rows[[#This Row],[order date]],"mmmm")</f>
        <v>February</v>
      </c>
      <c r="L1455">
        <f>YEAR(discount_impact_on_profit_2000_rows[[#This Row],[order date]])</f>
        <v>2023</v>
      </c>
      <c r="M1455" t="str">
        <f>IF(discount_impact_on_profit_2000_rows[[#This Row],[Discount %]]=0,"Zero Discount",IF(discount_impact_on_profit_2000_rows[[#This Row],[Discount %]]&lt;=10,"Low Discount","High Discount"))</f>
        <v>High Discount</v>
      </c>
      <c r="N1455" t="str">
        <f t="shared" si="22"/>
        <v>10-20%</v>
      </c>
    </row>
    <row r="1456" spans="1:14">
      <c r="A1456" s="1">
        <v>45627</v>
      </c>
      <c r="B1456" t="s">
        <v>1518</v>
      </c>
      <c r="C1456" t="s">
        <v>11</v>
      </c>
      <c r="D1456" t="s">
        <v>25</v>
      </c>
      <c r="E1456">
        <v>8073.61</v>
      </c>
      <c r="F1456" t="s">
        <v>31</v>
      </c>
      <c r="G1456">
        <v>12848.11</v>
      </c>
      <c r="H1456">
        <v>4774.5</v>
      </c>
      <c r="I1456">
        <v>20</v>
      </c>
      <c r="J1456">
        <v>4</v>
      </c>
      <c r="K1456" t="str">
        <f>TEXT(discount_impact_on_profit_2000_rows[[#This Row],[order date]],"mmmm")</f>
        <v>December</v>
      </c>
      <c r="L1456">
        <f>YEAR(discount_impact_on_profit_2000_rows[[#This Row],[order date]])</f>
        <v>2024</v>
      </c>
      <c r="M1456" t="str">
        <f>IF(discount_impact_on_profit_2000_rows[[#This Row],[Discount %]]=0,"Zero Discount",IF(discount_impact_on_profit_2000_rows[[#This Row],[Discount %]]&lt;=10,"Low Discount","High Discount"))</f>
        <v>High Discount</v>
      </c>
      <c r="N1456" t="str">
        <f t="shared" si="22"/>
        <v>10-20%</v>
      </c>
    </row>
    <row r="1457" spans="1:14">
      <c r="A1457" s="1">
        <v>44949</v>
      </c>
      <c r="B1457" t="s">
        <v>1519</v>
      </c>
      <c r="C1457" t="s">
        <v>53</v>
      </c>
      <c r="D1457" t="s">
        <v>70</v>
      </c>
      <c r="E1457">
        <v>7704.42</v>
      </c>
      <c r="F1457" t="s">
        <v>26</v>
      </c>
      <c r="G1457">
        <v>8664.69</v>
      </c>
      <c r="H1457">
        <v>960.27</v>
      </c>
      <c r="I1457">
        <v>30</v>
      </c>
      <c r="J1457">
        <v>2</v>
      </c>
      <c r="K1457" t="str">
        <f>TEXT(discount_impact_on_profit_2000_rows[[#This Row],[order date]],"mmmm")</f>
        <v>January</v>
      </c>
      <c r="L1457">
        <f>YEAR(discount_impact_on_profit_2000_rows[[#This Row],[order date]])</f>
        <v>2023</v>
      </c>
      <c r="M1457" t="str">
        <f>IF(discount_impact_on_profit_2000_rows[[#This Row],[Discount %]]=0,"Zero Discount",IF(discount_impact_on_profit_2000_rows[[#This Row],[Discount %]]&lt;=10,"Low Discount","High Discount"))</f>
        <v>High Discount</v>
      </c>
      <c r="N1457" t="str">
        <f t="shared" si="22"/>
        <v>20-30%</v>
      </c>
    </row>
    <row r="1458" spans="1:14">
      <c r="A1458" s="1">
        <v>45392</v>
      </c>
      <c r="B1458" t="s">
        <v>1520</v>
      </c>
      <c r="C1458" t="s">
        <v>21</v>
      </c>
      <c r="D1458" t="s">
        <v>82</v>
      </c>
      <c r="E1458">
        <v>3022.1</v>
      </c>
      <c r="F1458" t="s">
        <v>13</v>
      </c>
      <c r="G1458">
        <v>3533.25</v>
      </c>
      <c r="H1458">
        <v>511.15</v>
      </c>
      <c r="I1458">
        <v>0</v>
      </c>
      <c r="J1458">
        <v>1</v>
      </c>
      <c r="K1458" t="str">
        <f>TEXT(discount_impact_on_profit_2000_rows[[#This Row],[order date]],"mmmm")</f>
        <v>April</v>
      </c>
      <c r="L1458">
        <f>YEAR(discount_impact_on_profit_2000_rows[[#This Row],[order date]])</f>
        <v>2024</v>
      </c>
      <c r="M1458" t="str">
        <f>IF(discount_impact_on_profit_2000_rows[[#This Row],[Discount %]]=0,"Zero Discount",IF(discount_impact_on_profit_2000_rows[[#This Row],[Discount %]]&lt;=10,"Low Discount","High Discount"))</f>
        <v>Zero Discount</v>
      </c>
      <c r="N1458" t="str">
        <f t="shared" si="22"/>
        <v>0-10%</v>
      </c>
    </row>
    <row r="1459" spans="1:14">
      <c r="A1459" s="1">
        <v>45337</v>
      </c>
      <c r="B1459" t="s">
        <v>1521</v>
      </c>
      <c r="C1459" t="s">
        <v>15</v>
      </c>
      <c r="D1459" t="s">
        <v>16</v>
      </c>
      <c r="E1459">
        <v>12554.06</v>
      </c>
      <c r="F1459" t="s">
        <v>31</v>
      </c>
      <c r="G1459">
        <v>14408.7</v>
      </c>
      <c r="H1459">
        <v>1854.64</v>
      </c>
      <c r="I1459">
        <v>10</v>
      </c>
      <c r="J1459">
        <v>1</v>
      </c>
      <c r="K1459" t="str">
        <f>TEXT(discount_impact_on_profit_2000_rows[[#This Row],[order date]],"mmmm")</f>
        <v>February</v>
      </c>
      <c r="L1459">
        <f>YEAR(discount_impact_on_profit_2000_rows[[#This Row],[order date]])</f>
        <v>2024</v>
      </c>
      <c r="M1459" t="str">
        <f>IF(discount_impact_on_profit_2000_rows[[#This Row],[Discount %]]=0,"Zero Discount",IF(discount_impact_on_profit_2000_rows[[#This Row],[Discount %]]&lt;=10,"Low Discount","High Discount"))</f>
        <v>Low Discount</v>
      </c>
      <c r="N1459" t="str">
        <f t="shared" si="22"/>
        <v>0-10%</v>
      </c>
    </row>
    <row r="1460" spans="1:14">
      <c r="A1460" s="1">
        <v>45032</v>
      </c>
      <c r="B1460" t="s">
        <v>1522</v>
      </c>
      <c r="C1460" t="s">
        <v>11</v>
      </c>
      <c r="D1460" t="s">
        <v>80</v>
      </c>
      <c r="E1460">
        <v>1328.98</v>
      </c>
      <c r="F1460" t="s">
        <v>36</v>
      </c>
      <c r="G1460">
        <v>1960.94</v>
      </c>
      <c r="H1460">
        <v>631.96</v>
      </c>
      <c r="I1460">
        <v>30</v>
      </c>
      <c r="J1460">
        <v>1</v>
      </c>
      <c r="K1460" t="str">
        <f>TEXT(discount_impact_on_profit_2000_rows[[#This Row],[order date]],"mmmm")</f>
        <v>April</v>
      </c>
      <c r="L1460">
        <f>YEAR(discount_impact_on_profit_2000_rows[[#This Row],[order date]])</f>
        <v>2023</v>
      </c>
      <c r="M1460" t="str">
        <f>IF(discount_impact_on_profit_2000_rows[[#This Row],[Discount %]]=0,"Zero Discount",IF(discount_impact_on_profit_2000_rows[[#This Row],[Discount %]]&lt;=10,"Low Discount","High Discount"))</f>
        <v>High Discount</v>
      </c>
      <c r="N1460" t="str">
        <f t="shared" si="22"/>
        <v>20-30%</v>
      </c>
    </row>
    <row r="1461" spans="1:14">
      <c r="A1461" s="1">
        <v>44977</v>
      </c>
      <c r="B1461" t="s">
        <v>1523</v>
      </c>
      <c r="C1461" t="s">
        <v>18</v>
      </c>
      <c r="D1461" t="s">
        <v>188</v>
      </c>
      <c r="E1461">
        <v>647.37</v>
      </c>
      <c r="F1461" t="s">
        <v>31</v>
      </c>
      <c r="G1461">
        <v>822.58</v>
      </c>
      <c r="H1461">
        <v>175.21</v>
      </c>
      <c r="I1461">
        <v>20</v>
      </c>
      <c r="J1461">
        <v>1</v>
      </c>
      <c r="K1461" t="str">
        <f>TEXT(discount_impact_on_profit_2000_rows[[#This Row],[order date]],"mmmm")</f>
        <v>February</v>
      </c>
      <c r="L1461">
        <f>YEAR(discount_impact_on_profit_2000_rows[[#This Row],[order date]])</f>
        <v>2023</v>
      </c>
      <c r="M1461" t="str">
        <f>IF(discount_impact_on_profit_2000_rows[[#This Row],[Discount %]]=0,"Zero Discount",IF(discount_impact_on_profit_2000_rows[[#This Row],[Discount %]]&lt;=10,"Low Discount","High Discount"))</f>
        <v>High Discount</v>
      </c>
      <c r="N1461" t="str">
        <f t="shared" si="22"/>
        <v>10-20%</v>
      </c>
    </row>
    <row r="1462" spans="1:14">
      <c r="A1462" s="1">
        <v>45195</v>
      </c>
      <c r="B1462" t="s">
        <v>1524</v>
      </c>
      <c r="C1462" t="s">
        <v>21</v>
      </c>
      <c r="D1462" t="s">
        <v>82</v>
      </c>
      <c r="E1462">
        <v>67503.33</v>
      </c>
      <c r="F1462" t="s">
        <v>23</v>
      </c>
      <c r="G1462">
        <v>75140.14</v>
      </c>
      <c r="H1462">
        <v>7636.81</v>
      </c>
      <c r="I1462">
        <v>10</v>
      </c>
      <c r="J1462">
        <v>4</v>
      </c>
      <c r="K1462" t="str">
        <f>TEXT(discount_impact_on_profit_2000_rows[[#This Row],[order date]],"mmmm")</f>
        <v>September</v>
      </c>
      <c r="L1462">
        <f>YEAR(discount_impact_on_profit_2000_rows[[#This Row],[order date]])</f>
        <v>2023</v>
      </c>
      <c r="M1462" t="str">
        <f>IF(discount_impact_on_profit_2000_rows[[#This Row],[Discount %]]=0,"Zero Discount",IF(discount_impact_on_profit_2000_rows[[#This Row],[Discount %]]&lt;=10,"Low Discount","High Discount"))</f>
        <v>Low Discount</v>
      </c>
      <c r="N1462" t="str">
        <f t="shared" si="22"/>
        <v>0-10%</v>
      </c>
    </row>
    <row r="1463" spans="1:14">
      <c r="A1463" s="1">
        <v>45192</v>
      </c>
      <c r="B1463" t="s">
        <v>1525</v>
      </c>
      <c r="C1463" t="s">
        <v>18</v>
      </c>
      <c r="D1463" t="s">
        <v>140</v>
      </c>
      <c r="E1463">
        <v>220.16</v>
      </c>
      <c r="F1463" t="s">
        <v>23</v>
      </c>
      <c r="G1463">
        <v>456.3</v>
      </c>
      <c r="H1463">
        <v>236.14</v>
      </c>
      <c r="I1463">
        <v>10</v>
      </c>
      <c r="J1463">
        <v>1</v>
      </c>
      <c r="K1463" t="str">
        <f>TEXT(discount_impact_on_profit_2000_rows[[#This Row],[order date]],"mmmm")</f>
        <v>September</v>
      </c>
      <c r="L1463">
        <f>YEAR(discount_impact_on_profit_2000_rows[[#This Row],[order date]])</f>
        <v>2023</v>
      </c>
      <c r="M1463" t="str">
        <f>IF(discount_impact_on_profit_2000_rows[[#This Row],[Discount %]]=0,"Zero Discount",IF(discount_impact_on_profit_2000_rows[[#This Row],[Discount %]]&lt;=10,"Low Discount","High Discount"))</f>
        <v>Low Discount</v>
      </c>
      <c r="N1463" t="str">
        <f t="shared" si="22"/>
        <v>0-10%</v>
      </c>
    </row>
    <row r="1464" spans="1:14">
      <c r="A1464" s="1">
        <v>45206</v>
      </c>
      <c r="B1464" t="s">
        <v>1526</v>
      </c>
      <c r="C1464" t="s">
        <v>53</v>
      </c>
      <c r="D1464" t="s">
        <v>113</v>
      </c>
      <c r="E1464">
        <v>4028.93</v>
      </c>
      <c r="F1464" t="s">
        <v>26</v>
      </c>
      <c r="G1464">
        <v>9888.73</v>
      </c>
      <c r="H1464">
        <v>5859.8</v>
      </c>
      <c r="I1464">
        <v>0</v>
      </c>
      <c r="J1464">
        <v>5</v>
      </c>
      <c r="K1464" t="str">
        <f>TEXT(discount_impact_on_profit_2000_rows[[#This Row],[order date]],"mmmm")</f>
        <v>October</v>
      </c>
      <c r="L1464">
        <f>YEAR(discount_impact_on_profit_2000_rows[[#This Row],[order date]])</f>
        <v>2023</v>
      </c>
      <c r="M1464" t="str">
        <f>IF(discount_impact_on_profit_2000_rows[[#This Row],[Discount %]]=0,"Zero Discount",IF(discount_impact_on_profit_2000_rows[[#This Row],[Discount %]]&lt;=10,"Low Discount","High Discount"))</f>
        <v>Zero Discount</v>
      </c>
      <c r="N1464" t="str">
        <f t="shared" si="22"/>
        <v>0-10%</v>
      </c>
    </row>
    <row r="1465" spans="1:14">
      <c r="A1465" s="1">
        <v>45584</v>
      </c>
      <c r="B1465" t="s">
        <v>1527</v>
      </c>
      <c r="C1465" t="s">
        <v>33</v>
      </c>
      <c r="D1465" t="s">
        <v>102</v>
      </c>
      <c r="E1465">
        <v>13826.48</v>
      </c>
      <c r="F1465" t="s">
        <v>26</v>
      </c>
      <c r="G1465">
        <v>16769.27</v>
      </c>
      <c r="H1465">
        <v>2942.79</v>
      </c>
      <c r="I1465">
        <v>15</v>
      </c>
      <c r="J1465">
        <v>1</v>
      </c>
      <c r="K1465" t="str">
        <f>TEXT(discount_impact_on_profit_2000_rows[[#This Row],[order date]],"mmmm")</f>
        <v>October</v>
      </c>
      <c r="L1465">
        <f>YEAR(discount_impact_on_profit_2000_rows[[#This Row],[order date]])</f>
        <v>2024</v>
      </c>
      <c r="M1465" t="str">
        <f>IF(discount_impact_on_profit_2000_rows[[#This Row],[Discount %]]=0,"Zero Discount",IF(discount_impact_on_profit_2000_rows[[#This Row],[Discount %]]&lt;=10,"Low Discount","High Discount"))</f>
        <v>High Discount</v>
      </c>
      <c r="N1465" t="str">
        <f t="shared" si="22"/>
        <v>10-20%</v>
      </c>
    </row>
    <row r="1466" spans="1:14">
      <c r="A1466" s="1">
        <v>45300</v>
      </c>
      <c r="B1466" t="s">
        <v>1528</v>
      </c>
      <c r="C1466" t="s">
        <v>11</v>
      </c>
      <c r="D1466" t="s">
        <v>25</v>
      </c>
      <c r="E1466">
        <v>938.92</v>
      </c>
      <c r="F1466" t="s">
        <v>26</v>
      </c>
      <c r="G1466">
        <v>1176.46</v>
      </c>
      <c r="H1466">
        <v>237.54</v>
      </c>
      <c r="I1466">
        <v>30</v>
      </c>
      <c r="J1466">
        <v>1</v>
      </c>
      <c r="K1466" t="str">
        <f>TEXT(discount_impact_on_profit_2000_rows[[#This Row],[order date]],"mmmm")</f>
        <v>January</v>
      </c>
      <c r="L1466">
        <f>YEAR(discount_impact_on_profit_2000_rows[[#This Row],[order date]])</f>
        <v>2024</v>
      </c>
      <c r="M1466" t="str">
        <f>IF(discount_impact_on_profit_2000_rows[[#This Row],[Discount %]]=0,"Zero Discount",IF(discount_impact_on_profit_2000_rows[[#This Row],[Discount %]]&lt;=10,"Low Discount","High Discount"))</f>
        <v>High Discount</v>
      </c>
      <c r="N1466" t="str">
        <f t="shared" si="22"/>
        <v>20-30%</v>
      </c>
    </row>
    <row r="1467" spans="1:14">
      <c r="A1467" s="1">
        <v>45773</v>
      </c>
      <c r="B1467" t="s">
        <v>1529</v>
      </c>
      <c r="C1467" t="s">
        <v>18</v>
      </c>
      <c r="D1467" t="s">
        <v>50</v>
      </c>
      <c r="E1467">
        <v>166.99</v>
      </c>
      <c r="F1467" t="s">
        <v>36</v>
      </c>
      <c r="G1467">
        <v>259.75</v>
      </c>
      <c r="H1467">
        <v>92.76</v>
      </c>
      <c r="I1467">
        <v>20</v>
      </c>
      <c r="J1467">
        <v>3</v>
      </c>
      <c r="K1467" t="str">
        <f>TEXT(discount_impact_on_profit_2000_rows[[#This Row],[order date]],"mmmm")</f>
        <v>April</v>
      </c>
      <c r="L1467">
        <f>YEAR(discount_impact_on_profit_2000_rows[[#This Row],[order date]])</f>
        <v>2025</v>
      </c>
      <c r="M1467" t="str">
        <f>IF(discount_impact_on_profit_2000_rows[[#This Row],[Discount %]]=0,"Zero Discount",IF(discount_impact_on_profit_2000_rows[[#This Row],[Discount %]]&lt;=10,"Low Discount","High Discount"))</f>
        <v>High Discount</v>
      </c>
      <c r="N1467" t="str">
        <f t="shared" si="22"/>
        <v>10-20%</v>
      </c>
    </row>
    <row r="1468" spans="1:14">
      <c r="A1468" s="1">
        <v>45065</v>
      </c>
      <c r="B1468" t="s">
        <v>1530</v>
      </c>
      <c r="C1468" t="s">
        <v>11</v>
      </c>
      <c r="D1468" t="s">
        <v>38</v>
      </c>
      <c r="E1468">
        <v>381.81</v>
      </c>
      <c r="F1468" t="s">
        <v>36</v>
      </c>
      <c r="G1468">
        <v>656.29</v>
      </c>
      <c r="H1468">
        <v>274.48</v>
      </c>
      <c r="I1468">
        <v>20</v>
      </c>
      <c r="J1468">
        <v>1</v>
      </c>
      <c r="K1468" t="str">
        <f>TEXT(discount_impact_on_profit_2000_rows[[#This Row],[order date]],"mmmm")</f>
        <v>May</v>
      </c>
      <c r="L1468">
        <f>YEAR(discount_impact_on_profit_2000_rows[[#This Row],[order date]])</f>
        <v>2023</v>
      </c>
      <c r="M1468" t="str">
        <f>IF(discount_impact_on_profit_2000_rows[[#This Row],[Discount %]]=0,"Zero Discount",IF(discount_impact_on_profit_2000_rows[[#This Row],[Discount %]]&lt;=10,"Low Discount","High Discount"))</f>
        <v>High Discount</v>
      </c>
      <c r="N1468" t="str">
        <f t="shared" si="22"/>
        <v>10-20%</v>
      </c>
    </row>
    <row r="1469" spans="1:14">
      <c r="A1469" s="1">
        <v>44965</v>
      </c>
      <c r="B1469" t="s">
        <v>1531</v>
      </c>
      <c r="C1469" t="s">
        <v>33</v>
      </c>
      <c r="D1469" t="s">
        <v>203</v>
      </c>
      <c r="E1469">
        <v>30436.51</v>
      </c>
      <c r="F1469" t="s">
        <v>36</v>
      </c>
      <c r="G1469">
        <v>37421.43</v>
      </c>
      <c r="H1469">
        <v>6984.92</v>
      </c>
      <c r="I1469">
        <v>10</v>
      </c>
      <c r="J1469">
        <v>2</v>
      </c>
      <c r="K1469" t="str">
        <f>TEXT(discount_impact_on_profit_2000_rows[[#This Row],[order date]],"mmmm")</f>
        <v>February</v>
      </c>
      <c r="L1469">
        <f>YEAR(discount_impact_on_profit_2000_rows[[#This Row],[order date]])</f>
        <v>2023</v>
      </c>
      <c r="M1469" t="str">
        <f>IF(discount_impact_on_profit_2000_rows[[#This Row],[Discount %]]=0,"Zero Discount",IF(discount_impact_on_profit_2000_rows[[#This Row],[Discount %]]&lt;=10,"Low Discount","High Discount"))</f>
        <v>Low Discount</v>
      </c>
      <c r="N1469" t="str">
        <f t="shared" si="22"/>
        <v>0-10%</v>
      </c>
    </row>
    <row r="1470" spans="1:14">
      <c r="A1470" s="1">
        <v>45488</v>
      </c>
      <c r="B1470" t="s">
        <v>1532</v>
      </c>
      <c r="C1470" t="s">
        <v>15</v>
      </c>
      <c r="D1470" t="s">
        <v>40</v>
      </c>
      <c r="E1470">
        <v>19335.46</v>
      </c>
      <c r="F1470" t="s">
        <v>36</v>
      </c>
      <c r="G1470">
        <v>24868.28</v>
      </c>
      <c r="H1470">
        <v>5532.82</v>
      </c>
      <c r="I1470">
        <v>5</v>
      </c>
      <c r="J1470">
        <v>3</v>
      </c>
      <c r="K1470" t="str">
        <f>TEXT(discount_impact_on_profit_2000_rows[[#This Row],[order date]],"mmmm")</f>
        <v>July</v>
      </c>
      <c r="L1470">
        <f>YEAR(discount_impact_on_profit_2000_rows[[#This Row],[order date]])</f>
        <v>2024</v>
      </c>
      <c r="M1470" t="str">
        <f>IF(discount_impact_on_profit_2000_rows[[#This Row],[Discount %]]=0,"Zero Discount",IF(discount_impact_on_profit_2000_rows[[#This Row],[Discount %]]&lt;=10,"Low Discount","High Discount"))</f>
        <v>Low Discount</v>
      </c>
      <c r="N1470" t="str">
        <f t="shared" si="22"/>
        <v>0-10%</v>
      </c>
    </row>
    <row r="1471" spans="1:14">
      <c r="A1471" s="1">
        <v>45073</v>
      </c>
      <c r="B1471" t="s">
        <v>1533</v>
      </c>
      <c r="C1471" t="s">
        <v>15</v>
      </c>
      <c r="D1471" t="s">
        <v>99</v>
      </c>
      <c r="E1471">
        <v>7310.97</v>
      </c>
      <c r="F1471" t="s">
        <v>36</v>
      </c>
      <c r="G1471">
        <v>8061.93</v>
      </c>
      <c r="H1471">
        <v>750.96</v>
      </c>
      <c r="I1471">
        <v>25</v>
      </c>
      <c r="J1471">
        <v>2</v>
      </c>
      <c r="K1471" t="str">
        <f>TEXT(discount_impact_on_profit_2000_rows[[#This Row],[order date]],"mmmm")</f>
        <v>May</v>
      </c>
      <c r="L1471">
        <f>YEAR(discount_impact_on_profit_2000_rows[[#This Row],[order date]])</f>
        <v>2023</v>
      </c>
      <c r="M1471" t="str">
        <f>IF(discount_impact_on_profit_2000_rows[[#This Row],[Discount %]]=0,"Zero Discount",IF(discount_impact_on_profit_2000_rows[[#This Row],[Discount %]]&lt;=10,"Low Discount","High Discount"))</f>
        <v>High Discount</v>
      </c>
      <c r="N1471" t="str">
        <f t="shared" si="22"/>
        <v>20-30%</v>
      </c>
    </row>
    <row r="1472" spans="1:14">
      <c r="A1472" s="1">
        <v>45566</v>
      </c>
      <c r="B1472" t="s">
        <v>1534</v>
      </c>
      <c r="C1472" t="s">
        <v>21</v>
      </c>
      <c r="D1472" t="s">
        <v>97</v>
      </c>
      <c r="E1472">
        <v>21925.97</v>
      </c>
      <c r="F1472" t="s">
        <v>26</v>
      </c>
      <c r="G1472">
        <v>29486.959999999999</v>
      </c>
      <c r="H1472">
        <v>7560.99</v>
      </c>
      <c r="I1472">
        <v>5</v>
      </c>
      <c r="J1472">
        <v>2</v>
      </c>
      <c r="K1472" t="str">
        <f>TEXT(discount_impact_on_profit_2000_rows[[#This Row],[order date]],"mmmm")</f>
        <v>October</v>
      </c>
      <c r="L1472">
        <f>YEAR(discount_impact_on_profit_2000_rows[[#This Row],[order date]])</f>
        <v>2024</v>
      </c>
      <c r="M1472" t="str">
        <f>IF(discount_impact_on_profit_2000_rows[[#This Row],[Discount %]]=0,"Zero Discount",IF(discount_impact_on_profit_2000_rows[[#This Row],[Discount %]]&lt;=10,"Low Discount","High Discount"))</f>
        <v>Low Discount</v>
      </c>
      <c r="N1472" t="str">
        <f t="shared" si="22"/>
        <v>0-10%</v>
      </c>
    </row>
    <row r="1473" spans="1:14">
      <c r="A1473" s="1">
        <v>45095</v>
      </c>
      <c r="B1473" t="s">
        <v>1535</v>
      </c>
      <c r="C1473" t="s">
        <v>53</v>
      </c>
      <c r="D1473" t="s">
        <v>95</v>
      </c>
      <c r="E1473">
        <v>15678.11</v>
      </c>
      <c r="F1473" t="s">
        <v>26</v>
      </c>
      <c r="G1473">
        <v>22534.48</v>
      </c>
      <c r="H1473">
        <v>6856.37</v>
      </c>
      <c r="I1473">
        <v>20</v>
      </c>
      <c r="J1473">
        <v>8</v>
      </c>
      <c r="K1473" t="str">
        <f>TEXT(discount_impact_on_profit_2000_rows[[#This Row],[order date]],"mmmm")</f>
        <v>June</v>
      </c>
      <c r="L1473">
        <f>YEAR(discount_impact_on_profit_2000_rows[[#This Row],[order date]])</f>
        <v>2023</v>
      </c>
      <c r="M1473" t="str">
        <f>IF(discount_impact_on_profit_2000_rows[[#This Row],[Discount %]]=0,"Zero Discount",IF(discount_impact_on_profit_2000_rows[[#This Row],[Discount %]]&lt;=10,"Low Discount","High Discount"))</f>
        <v>High Discount</v>
      </c>
      <c r="N1473" t="str">
        <f t="shared" si="22"/>
        <v>10-20%</v>
      </c>
    </row>
    <row r="1474" spans="1:14">
      <c r="A1474" s="1">
        <v>45127</v>
      </c>
      <c r="B1474" t="s">
        <v>1536</v>
      </c>
      <c r="C1474" t="s">
        <v>53</v>
      </c>
      <c r="D1474" t="s">
        <v>78</v>
      </c>
      <c r="E1474">
        <v>5699.33</v>
      </c>
      <c r="F1474" t="s">
        <v>26</v>
      </c>
      <c r="G1474">
        <v>8467.85</v>
      </c>
      <c r="H1474">
        <v>2768.52</v>
      </c>
      <c r="I1474">
        <v>0</v>
      </c>
      <c r="J1474">
        <v>4</v>
      </c>
      <c r="K1474" t="str">
        <f>TEXT(discount_impact_on_profit_2000_rows[[#This Row],[order date]],"mmmm")</f>
        <v>July</v>
      </c>
      <c r="L1474">
        <f>YEAR(discount_impact_on_profit_2000_rows[[#This Row],[order date]])</f>
        <v>2023</v>
      </c>
      <c r="M1474" t="str">
        <f>IF(discount_impact_on_profit_2000_rows[[#This Row],[Discount %]]=0,"Zero Discount",IF(discount_impact_on_profit_2000_rows[[#This Row],[Discount %]]&lt;=10,"Low Discount","High Discount"))</f>
        <v>Zero Discount</v>
      </c>
      <c r="N1474" t="str">
        <f t="shared" ref="N1474:N1537" si="23">IF(I1474&lt;=10,"0-10%",IF(I1474&lt;=20,"10-20%",IF(I1474&lt;=30,"20-30%","30%+")))</f>
        <v>0-10%</v>
      </c>
    </row>
    <row r="1475" spans="1:14">
      <c r="A1475" s="1">
        <v>45300</v>
      </c>
      <c r="B1475" t="s">
        <v>1537</v>
      </c>
      <c r="C1475" t="s">
        <v>15</v>
      </c>
      <c r="D1475" t="s">
        <v>40</v>
      </c>
      <c r="E1475">
        <v>1628.33</v>
      </c>
      <c r="F1475" t="s">
        <v>26</v>
      </c>
      <c r="G1475">
        <v>2355.06</v>
      </c>
      <c r="H1475">
        <v>726.73</v>
      </c>
      <c r="I1475">
        <v>10</v>
      </c>
      <c r="J1475">
        <v>1</v>
      </c>
      <c r="K1475" t="str">
        <f>TEXT(discount_impact_on_profit_2000_rows[[#This Row],[order date]],"mmmm")</f>
        <v>January</v>
      </c>
      <c r="L1475">
        <f>YEAR(discount_impact_on_profit_2000_rows[[#This Row],[order date]])</f>
        <v>2024</v>
      </c>
      <c r="M1475" t="str">
        <f>IF(discount_impact_on_profit_2000_rows[[#This Row],[Discount %]]=0,"Zero Discount",IF(discount_impact_on_profit_2000_rows[[#This Row],[Discount %]]&lt;=10,"Low Discount","High Discount"))</f>
        <v>Low Discount</v>
      </c>
      <c r="N1475" t="str">
        <f t="shared" si="23"/>
        <v>0-10%</v>
      </c>
    </row>
    <row r="1476" spans="1:14">
      <c r="A1476" s="1">
        <v>44990</v>
      </c>
      <c r="B1476" t="s">
        <v>1538</v>
      </c>
      <c r="C1476" t="s">
        <v>21</v>
      </c>
      <c r="D1476" t="s">
        <v>82</v>
      </c>
      <c r="E1476">
        <v>1176.4000000000001</v>
      </c>
      <c r="F1476" t="s">
        <v>36</v>
      </c>
      <c r="G1476">
        <v>1237.57</v>
      </c>
      <c r="H1476">
        <v>61.17</v>
      </c>
      <c r="I1476">
        <v>20</v>
      </c>
      <c r="J1476">
        <v>1</v>
      </c>
      <c r="K1476" t="str">
        <f>TEXT(discount_impact_on_profit_2000_rows[[#This Row],[order date]],"mmmm")</f>
        <v>March</v>
      </c>
      <c r="L1476">
        <f>YEAR(discount_impact_on_profit_2000_rows[[#This Row],[order date]])</f>
        <v>2023</v>
      </c>
      <c r="M1476" t="str">
        <f>IF(discount_impact_on_profit_2000_rows[[#This Row],[Discount %]]=0,"Zero Discount",IF(discount_impact_on_profit_2000_rows[[#This Row],[Discount %]]&lt;=10,"Low Discount","High Discount"))</f>
        <v>High Discount</v>
      </c>
      <c r="N1476" t="str">
        <f t="shared" si="23"/>
        <v>10-20%</v>
      </c>
    </row>
    <row r="1477" spans="1:14">
      <c r="A1477" s="1">
        <v>46006</v>
      </c>
      <c r="B1477" t="s">
        <v>1539</v>
      </c>
      <c r="C1477" t="s">
        <v>18</v>
      </c>
      <c r="D1477" t="s">
        <v>104</v>
      </c>
      <c r="E1477">
        <v>144.16999999999999</v>
      </c>
      <c r="F1477" t="s">
        <v>26</v>
      </c>
      <c r="G1477">
        <v>219.46</v>
      </c>
      <c r="H1477">
        <v>75.290000000000006</v>
      </c>
      <c r="I1477">
        <v>15</v>
      </c>
      <c r="J1477">
        <v>1</v>
      </c>
      <c r="K1477" t="str">
        <f>TEXT(discount_impact_on_profit_2000_rows[[#This Row],[order date]],"mmmm")</f>
        <v>December</v>
      </c>
      <c r="L1477">
        <f>YEAR(discount_impact_on_profit_2000_rows[[#This Row],[order date]])</f>
        <v>2025</v>
      </c>
      <c r="M1477" t="str">
        <f>IF(discount_impact_on_profit_2000_rows[[#This Row],[Discount %]]=0,"Zero Discount",IF(discount_impact_on_profit_2000_rows[[#This Row],[Discount %]]&lt;=10,"Low Discount","High Discount"))</f>
        <v>High Discount</v>
      </c>
      <c r="N1477" t="str">
        <f t="shared" si="23"/>
        <v>10-20%</v>
      </c>
    </row>
    <row r="1478" spans="1:14">
      <c r="A1478" s="1">
        <v>45207</v>
      </c>
      <c r="B1478" t="s">
        <v>1540</v>
      </c>
      <c r="C1478" t="s">
        <v>33</v>
      </c>
      <c r="D1478" t="s">
        <v>203</v>
      </c>
      <c r="E1478">
        <v>16032.59</v>
      </c>
      <c r="F1478" t="s">
        <v>36</v>
      </c>
      <c r="G1478">
        <v>23116.93</v>
      </c>
      <c r="H1478">
        <v>7084.34</v>
      </c>
      <c r="I1478">
        <v>0</v>
      </c>
      <c r="J1478">
        <v>3</v>
      </c>
      <c r="K1478" t="str">
        <f>TEXT(discount_impact_on_profit_2000_rows[[#This Row],[order date]],"mmmm")</f>
        <v>October</v>
      </c>
      <c r="L1478">
        <f>YEAR(discount_impact_on_profit_2000_rows[[#This Row],[order date]])</f>
        <v>2023</v>
      </c>
      <c r="M1478" t="str">
        <f>IF(discount_impact_on_profit_2000_rows[[#This Row],[Discount %]]=0,"Zero Discount",IF(discount_impact_on_profit_2000_rows[[#This Row],[Discount %]]&lt;=10,"Low Discount","High Discount"))</f>
        <v>Zero Discount</v>
      </c>
      <c r="N1478" t="str">
        <f t="shared" si="23"/>
        <v>0-10%</v>
      </c>
    </row>
    <row r="1479" spans="1:14">
      <c r="A1479" s="1">
        <v>45689</v>
      </c>
      <c r="B1479" t="s">
        <v>1541</v>
      </c>
      <c r="C1479" t="s">
        <v>21</v>
      </c>
      <c r="D1479" t="s">
        <v>46</v>
      </c>
      <c r="E1479">
        <v>44198</v>
      </c>
      <c r="F1479" t="s">
        <v>36</v>
      </c>
      <c r="G1479">
        <v>55271.77</v>
      </c>
      <c r="H1479">
        <v>11073.77</v>
      </c>
      <c r="I1479">
        <v>5</v>
      </c>
      <c r="J1479">
        <v>4</v>
      </c>
      <c r="K1479" t="str">
        <f>TEXT(discount_impact_on_profit_2000_rows[[#This Row],[order date]],"mmmm")</f>
        <v>February</v>
      </c>
      <c r="L1479">
        <f>YEAR(discount_impact_on_profit_2000_rows[[#This Row],[order date]])</f>
        <v>2025</v>
      </c>
      <c r="M1479" t="str">
        <f>IF(discount_impact_on_profit_2000_rows[[#This Row],[Discount %]]=0,"Zero Discount",IF(discount_impact_on_profit_2000_rows[[#This Row],[Discount %]]&lt;=10,"Low Discount","High Discount"))</f>
        <v>Low Discount</v>
      </c>
      <c r="N1479" t="str">
        <f t="shared" si="23"/>
        <v>0-10%</v>
      </c>
    </row>
    <row r="1480" spans="1:14">
      <c r="A1480" s="1">
        <v>46006</v>
      </c>
      <c r="B1480" t="s">
        <v>1542</v>
      </c>
      <c r="C1480" t="s">
        <v>33</v>
      </c>
      <c r="D1480" t="s">
        <v>273</v>
      </c>
      <c r="E1480">
        <v>5836.98</v>
      </c>
      <c r="F1480" t="s">
        <v>36</v>
      </c>
      <c r="G1480">
        <v>7832.29</v>
      </c>
      <c r="H1480">
        <v>1995.31</v>
      </c>
      <c r="I1480">
        <v>5</v>
      </c>
      <c r="J1480">
        <v>4</v>
      </c>
      <c r="K1480" t="str">
        <f>TEXT(discount_impact_on_profit_2000_rows[[#This Row],[order date]],"mmmm")</f>
        <v>December</v>
      </c>
      <c r="L1480">
        <f>YEAR(discount_impact_on_profit_2000_rows[[#This Row],[order date]])</f>
        <v>2025</v>
      </c>
      <c r="M1480" t="str">
        <f>IF(discount_impact_on_profit_2000_rows[[#This Row],[Discount %]]=0,"Zero Discount",IF(discount_impact_on_profit_2000_rows[[#This Row],[Discount %]]&lt;=10,"Low Discount","High Discount"))</f>
        <v>Low Discount</v>
      </c>
      <c r="N1480" t="str">
        <f t="shared" si="23"/>
        <v>0-10%</v>
      </c>
    </row>
    <row r="1481" spans="1:14">
      <c r="A1481" s="1">
        <v>45168</v>
      </c>
      <c r="B1481" t="s">
        <v>1543</v>
      </c>
      <c r="C1481" t="s">
        <v>53</v>
      </c>
      <c r="D1481" t="s">
        <v>54</v>
      </c>
      <c r="E1481">
        <v>2629.36</v>
      </c>
      <c r="F1481" t="s">
        <v>36</v>
      </c>
      <c r="G1481">
        <v>4455.5200000000004</v>
      </c>
      <c r="H1481">
        <v>1826.16</v>
      </c>
      <c r="I1481">
        <v>5</v>
      </c>
      <c r="J1481">
        <v>3</v>
      </c>
      <c r="K1481" t="str">
        <f>TEXT(discount_impact_on_profit_2000_rows[[#This Row],[order date]],"mmmm")</f>
        <v>August</v>
      </c>
      <c r="L1481">
        <f>YEAR(discount_impact_on_profit_2000_rows[[#This Row],[order date]])</f>
        <v>2023</v>
      </c>
      <c r="M1481" t="str">
        <f>IF(discount_impact_on_profit_2000_rows[[#This Row],[Discount %]]=0,"Zero Discount",IF(discount_impact_on_profit_2000_rows[[#This Row],[Discount %]]&lt;=10,"Low Discount","High Discount"))</f>
        <v>Low Discount</v>
      </c>
      <c r="N1481" t="str">
        <f t="shared" si="23"/>
        <v>0-10%</v>
      </c>
    </row>
    <row r="1482" spans="1:14">
      <c r="A1482" s="1">
        <v>45517</v>
      </c>
      <c r="B1482" t="s">
        <v>1544</v>
      </c>
      <c r="C1482" t="s">
        <v>15</v>
      </c>
      <c r="D1482" t="s">
        <v>84</v>
      </c>
      <c r="E1482">
        <v>20565.689999999999</v>
      </c>
      <c r="F1482" t="s">
        <v>36</v>
      </c>
      <c r="G1482">
        <v>29136.99</v>
      </c>
      <c r="H1482">
        <v>8571.2999999999993</v>
      </c>
      <c r="I1482">
        <v>10</v>
      </c>
      <c r="J1482">
        <v>3</v>
      </c>
      <c r="K1482" t="str">
        <f>TEXT(discount_impact_on_profit_2000_rows[[#This Row],[order date]],"mmmm")</f>
        <v>August</v>
      </c>
      <c r="L1482">
        <f>YEAR(discount_impact_on_profit_2000_rows[[#This Row],[order date]])</f>
        <v>2024</v>
      </c>
      <c r="M1482" t="str">
        <f>IF(discount_impact_on_profit_2000_rows[[#This Row],[Discount %]]=0,"Zero Discount",IF(discount_impact_on_profit_2000_rows[[#This Row],[Discount %]]&lt;=10,"Low Discount","High Discount"))</f>
        <v>Low Discount</v>
      </c>
      <c r="N1482" t="str">
        <f t="shared" si="23"/>
        <v>0-10%</v>
      </c>
    </row>
    <row r="1483" spans="1:14">
      <c r="A1483" s="1">
        <v>45864</v>
      </c>
      <c r="B1483" t="s">
        <v>1545</v>
      </c>
      <c r="C1483" t="s">
        <v>18</v>
      </c>
      <c r="D1483" t="s">
        <v>188</v>
      </c>
      <c r="E1483">
        <v>759.06</v>
      </c>
      <c r="F1483" t="s">
        <v>26</v>
      </c>
      <c r="G1483">
        <v>840.74</v>
      </c>
      <c r="H1483">
        <v>81.680000000000007</v>
      </c>
      <c r="I1483">
        <v>30</v>
      </c>
      <c r="J1483">
        <v>2</v>
      </c>
      <c r="K1483" t="str">
        <f>TEXT(discount_impact_on_profit_2000_rows[[#This Row],[order date]],"mmmm")</f>
        <v>July</v>
      </c>
      <c r="L1483">
        <f>YEAR(discount_impact_on_profit_2000_rows[[#This Row],[order date]])</f>
        <v>2025</v>
      </c>
      <c r="M1483" t="str">
        <f>IF(discount_impact_on_profit_2000_rows[[#This Row],[Discount %]]=0,"Zero Discount",IF(discount_impact_on_profit_2000_rows[[#This Row],[Discount %]]&lt;=10,"Low Discount","High Discount"))</f>
        <v>High Discount</v>
      </c>
      <c r="N1483" t="str">
        <f t="shared" si="23"/>
        <v>20-30%</v>
      </c>
    </row>
    <row r="1484" spans="1:14">
      <c r="A1484" s="1">
        <v>45690</v>
      </c>
      <c r="B1484" t="s">
        <v>1546</v>
      </c>
      <c r="C1484" t="s">
        <v>11</v>
      </c>
      <c r="D1484" t="s">
        <v>30</v>
      </c>
      <c r="E1484">
        <v>597.54</v>
      </c>
      <c r="F1484" t="s">
        <v>26</v>
      </c>
      <c r="G1484">
        <v>1027.5899999999999</v>
      </c>
      <c r="H1484">
        <v>430.05</v>
      </c>
      <c r="I1484">
        <v>15</v>
      </c>
      <c r="J1484">
        <v>1</v>
      </c>
      <c r="K1484" t="str">
        <f>TEXT(discount_impact_on_profit_2000_rows[[#This Row],[order date]],"mmmm")</f>
        <v>February</v>
      </c>
      <c r="L1484">
        <f>YEAR(discount_impact_on_profit_2000_rows[[#This Row],[order date]])</f>
        <v>2025</v>
      </c>
      <c r="M1484" t="str">
        <f>IF(discount_impact_on_profit_2000_rows[[#This Row],[Discount %]]=0,"Zero Discount",IF(discount_impact_on_profit_2000_rows[[#This Row],[Discount %]]&lt;=10,"Low Discount","High Discount"))</f>
        <v>High Discount</v>
      </c>
      <c r="N1484" t="str">
        <f t="shared" si="23"/>
        <v>10-20%</v>
      </c>
    </row>
    <row r="1485" spans="1:14">
      <c r="A1485" s="1">
        <v>45355</v>
      </c>
      <c r="B1485" t="s">
        <v>1547</v>
      </c>
      <c r="C1485" t="s">
        <v>53</v>
      </c>
      <c r="D1485" t="s">
        <v>70</v>
      </c>
      <c r="E1485">
        <v>3402.71</v>
      </c>
      <c r="F1485" t="s">
        <v>13</v>
      </c>
      <c r="G1485">
        <v>4417.76</v>
      </c>
      <c r="H1485">
        <v>1015.05</v>
      </c>
      <c r="I1485">
        <v>20</v>
      </c>
      <c r="J1485">
        <v>6</v>
      </c>
      <c r="K1485" t="str">
        <f>TEXT(discount_impact_on_profit_2000_rows[[#This Row],[order date]],"mmmm")</f>
        <v>March</v>
      </c>
      <c r="L1485">
        <f>YEAR(discount_impact_on_profit_2000_rows[[#This Row],[order date]])</f>
        <v>2024</v>
      </c>
      <c r="M1485" t="str">
        <f>IF(discount_impact_on_profit_2000_rows[[#This Row],[Discount %]]=0,"Zero Discount",IF(discount_impact_on_profit_2000_rows[[#This Row],[Discount %]]&lt;=10,"Low Discount","High Discount"))</f>
        <v>High Discount</v>
      </c>
      <c r="N1485" t="str">
        <f t="shared" si="23"/>
        <v>10-20%</v>
      </c>
    </row>
    <row r="1486" spans="1:14">
      <c r="A1486" s="1">
        <v>45134</v>
      </c>
      <c r="B1486" t="s">
        <v>1548</v>
      </c>
      <c r="C1486" t="s">
        <v>53</v>
      </c>
      <c r="D1486" t="s">
        <v>113</v>
      </c>
      <c r="E1486">
        <v>3260.91</v>
      </c>
      <c r="F1486" t="s">
        <v>31</v>
      </c>
      <c r="G1486">
        <v>4273.5600000000004</v>
      </c>
      <c r="H1486">
        <v>1012.65</v>
      </c>
      <c r="I1486">
        <v>25</v>
      </c>
      <c r="J1486">
        <v>1</v>
      </c>
      <c r="K1486" t="str">
        <f>TEXT(discount_impact_on_profit_2000_rows[[#This Row],[order date]],"mmmm")</f>
        <v>July</v>
      </c>
      <c r="L1486">
        <f>YEAR(discount_impact_on_profit_2000_rows[[#This Row],[order date]])</f>
        <v>2023</v>
      </c>
      <c r="M1486" t="str">
        <f>IF(discount_impact_on_profit_2000_rows[[#This Row],[Discount %]]=0,"Zero Discount",IF(discount_impact_on_profit_2000_rows[[#This Row],[Discount %]]&lt;=10,"Low Discount","High Discount"))</f>
        <v>High Discount</v>
      </c>
      <c r="N1486" t="str">
        <f t="shared" si="23"/>
        <v>20-30%</v>
      </c>
    </row>
    <row r="1487" spans="1:14">
      <c r="A1487" s="1">
        <v>45527</v>
      </c>
      <c r="B1487" t="s">
        <v>1549</v>
      </c>
      <c r="C1487" t="s">
        <v>18</v>
      </c>
      <c r="D1487" t="s">
        <v>50</v>
      </c>
      <c r="E1487">
        <v>50.55</v>
      </c>
      <c r="F1487" t="s">
        <v>31</v>
      </c>
      <c r="G1487">
        <v>83.89</v>
      </c>
      <c r="H1487">
        <v>33.340000000000003</v>
      </c>
      <c r="I1487">
        <v>10</v>
      </c>
      <c r="J1487">
        <v>1</v>
      </c>
      <c r="K1487" t="str">
        <f>TEXT(discount_impact_on_profit_2000_rows[[#This Row],[order date]],"mmmm")</f>
        <v>August</v>
      </c>
      <c r="L1487">
        <f>YEAR(discount_impact_on_profit_2000_rows[[#This Row],[order date]])</f>
        <v>2024</v>
      </c>
      <c r="M1487" t="str">
        <f>IF(discount_impact_on_profit_2000_rows[[#This Row],[Discount %]]=0,"Zero Discount",IF(discount_impact_on_profit_2000_rows[[#This Row],[Discount %]]&lt;=10,"Low Discount","High Discount"))</f>
        <v>Low Discount</v>
      </c>
      <c r="N1487" t="str">
        <f t="shared" si="23"/>
        <v>0-10%</v>
      </c>
    </row>
    <row r="1488" spans="1:14">
      <c r="A1488" s="1">
        <v>45842</v>
      </c>
      <c r="B1488" t="s">
        <v>1550</v>
      </c>
      <c r="C1488" t="s">
        <v>21</v>
      </c>
      <c r="D1488" t="s">
        <v>22</v>
      </c>
      <c r="E1488">
        <v>18995.82</v>
      </c>
      <c r="F1488" t="s">
        <v>13</v>
      </c>
      <c r="G1488">
        <v>23066.400000000001</v>
      </c>
      <c r="H1488">
        <v>4070.58</v>
      </c>
      <c r="I1488">
        <v>0</v>
      </c>
      <c r="J1488">
        <v>2</v>
      </c>
      <c r="K1488" t="str">
        <f>TEXT(discount_impact_on_profit_2000_rows[[#This Row],[order date]],"mmmm")</f>
        <v>July</v>
      </c>
      <c r="L1488">
        <f>YEAR(discount_impact_on_profit_2000_rows[[#This Row],[order date]])</f>
        <v>2025</v>
      </c>
      <c r="M1488" t="str">
        <f>IF(discount_impact_on_profit_2000_rows[[#This Row],[Discount %]]=0,"Zero Discount",IF(discount_impact_on_profit_2000_rows[[#This Row],[Discount %]]&lt;=10,"Low Discount","High Discount"))</f>
        <v>Zero Discount</v>
      </c>
      <c r="N1488" t="str">
        <f t="shared" si="23"/>
        <v>0-10%</v>
      </c>
    </row>
    <row r="1489" spans="1:14">
      <c r="A1489" s="1">
        <v>45304</v>
      </c>
      <c r="B1489" t="s">
        <v>1551</v>
      </c>
      <c r="C1489" t="s">
        <v>21</v>
      </c>
      <c r="D1489" t="s">
        <v>82</v>
      </c>
      <c r="E1489">
        <v>19876.7</v>
      </c>
      <c r="F1489" t="s">
        <v>26</v>
      </c>
      <c r="G1489">
        <v>22196.6</v>
      </c>
      <c r="H1489">
        <v>2319.9</v>
      </c>
      <c r="I1489">
        <v>15</v>
      </c>
      <c r="J1489">
        <v>4</v>
      </c>
      <c r="K1489" t="str">
        <f>TEXT(discount_impact_on_profit_2000_rows[[#This Row],[order date]],"mmmm")</f>
        <v>January</v>
      </c>
      <c r="L1489">
        <f>YEAR(discount_impact_on_profit_2000_rows[[#This Row],[order date]])</f>
        <v>2024</v>
      </c>
      <c r="M1489" t="str">
        <f>IF(discount_impact_on_profit_2000_rows[[#This Row],[Discount %]]=0,"Zero Discount",IF(discount_impact_on_profit_2000_rows[[#This Row],[Discount %]]&lt;=10,"Low Discount","High Discount"))</f>
        <v>High Discount</v>
      </c>
      <c r="N1489" t="str">
        <f t="shared" si="23"/>
        <v>10-20%</v>
      </c>
    </row>
    <row r="1490" spans="1:14">
      <c r="A1490" s="1">
        <v>45723</v>
      </c>
      <c r="B1490" t="s">
        <v>1552</v>
      </c>
      <c r="C1490" t="s">
        <v>21</v>
      </c>
      <c r="D1490" t="s">
        <v>154</v>
      </c>
      <c r="E1490">
        <v>12795.06</v>
      </c>
      <c r="F1490" t="s">
        <v>26</v>
      </c>
      <c r="G1490">
        <v>15469.47</v>
      </c>
      <c r="H1490">
        <v>2674.41</v>
      </c>
      <c r="I1490">
        <v>5</v>
      </c>
      <c r="J1490">
        <v>1</v>
      </c>
      <c r="K1490" t="str">
        <f>TEXT(discount_impact_on_profit_2000_rows[[#This Row],[order date]],"mmmm")</f>
        <v>March</v>
      </c>
      <c r="L1490">
        <f>YEAR(discount_impact_on_profit_2000_rows[[#This Row],[order date]])</f>
        <v>2025</v>
      </c>
      <c r="M1490" t="str">
        <f>IF(discount_impact_on_profit_2000_rows[[#This Row],[Discount %]]=0,"Zero Discount",IF(discount_impact_on_profit_2000_rows[[#This Row],[Discount %]]&lt;=10,"Low Discount","High Discount"))</f>
        <v>Low Discount</v>
      </c>
      <c r="N1490" t="str">
        <f t="shared" si="23"/>
        <v>0-10%</v>
      </c>
    </row>
    <row r="1491" spans="1:14">
      <c r="A1491" s="1">
        <v>45319</v>
      </c>
      <c r="B1491" t="s">
        <v>1553</v>
      </c>
      <c r="C1491" t="s">
        <v>18</v>
      </c>
      <c r="D1491" t="s">
        <v>50</v>
      </c>
      <c r="E1491">
        <v>716.92</v>
      </c>
      <c r="F1491" t="s">
        <v>23</v>
      </c>
      <c r="G1491">
        <v>1140.8599999999999</v>
      </c>
      <c r="H1491">
        <v>423.94</v>
      </c>
      <c r="I1491">
        <v>20</v>
      </c>
      <c r="J1491">
        <v>1</v>
      </c>
      <c r="K1491" t="str">
        <f>TEXT(discount_impact_on_profit_2000_rows[[#This Row],[order date]],"mmmm")</f>
        <v>January</v>
      </c>
      <c r="L1491">
        <f>YEAR(discount_impact_on_profit_2000_rows[[#This Row],[order date]])</f>
        <v>2024</v>
      </c>
      <c r="M1491" t="str">
        <f>IF(discount_impact_on_profit_2000_rows[[#This Row],[Discount %]]=0,"Zero Discount",IF(discount_impact_on_profit_2000_rows[[#This Row],[Discount %]]&lt;=10,"Low Discount","High Discount"))</f>
        <v>High Discount</v>
      </c>
      <c r="N1491" t="str">
        <f t="shared" si="23"/>
        <v>10-20%</v>
      </c>
    </row>
    <row r="1492" spans="1:14">
      <c r="A1492" s="1">
        <v>45147</v>
      </c>
      <c r="B1492" t="s">
        <v>1554</v>
      </c>
      <c r="C1492" t="s">
        <v>53</v>
      </c>
      <c r="D1492" t="s">
        <v>70</v>
      </c>
      <c r="E1492">
        <v>3902.67</v>
      </c>
      <c r="F1492" t="s">
        <v>26</v>
      </c>
      <c r="G1492">
        <v>5881.6</v>
      </c>
      <c r="H1492">
        <v>1978.93</v>
      </c>
      <c r="I1492">
        <v>0</v>
      </c>
      <c r="J1492">
        <v>5</v>
      </c>
      <c r="K1492" t="str">
        <f>TEXT(discount_impact_on_profit_2000_rows[[#This Row],[order date]],"mmmm")</f>
        <v>August</v>
      </c>
      <c r="L1492">
        <f>YEAR(discount_impact_on_profit_2000_rows[[#This Row],[order date]])</f>
        <v>2023</v>
      </c>
      <c r="M1492" t="str">
        <f>IF(discount_impact_on_profit_2000_rows[[#This Row],[Discount %]]=0,"Zero Discount",IF(discount_impact_on_profit_2000_rows[[#This Row],[Discount %]]&lt;=10,"Low Discount","High Discount"))</f>
        <v>Zero Discount</v>
      </c>
      <c r="N1492" t="str">
        <f t="shared" si="23"/>
        <v>0-10%</v>
      </c>
    </row>
    <row r="1493" spans="1:14">
      <c r="A1493" s="1">
        <v>45409</v>
      </c>
      <c r="B1493" t="s">
        <v>1555</v>
      </c>
      <c r="C1493" t="s">
        <v>33</v>
      </c>
      <c r="D1493" t="s">
        <v>34</v>
      </c>
      <c r="E1493">
        <v>1672.64</v>
      </c>
      <c r="F1493" t="s">
        <v>31</v>
      </c>
      <c r="G1493">
        <v>1906.53</v>
      </c>
      <c r="H1493">
        <v>233.89</v>
      </c>
      <c r="I1493">
        <v>15</v>
      </c>
      <c r="J1493">
        <v>1</v>
      </c>
      <c r="K1493" t="str">
        <f>TEXT(discount_impact_on_profit_2000_rows[[#This Row],[order date]],"mmmm")</f>
        <v>April</v>
      </c>
      <c r="L1493">
        <f>YEAR(discount_impact_on_profit_2000_rows[[#This Row],[order date]])</f>
        <v>2024</v>
      </c>
      <c r="M1493" t="str">
        <f>IF(discount_impact_on_profit_2000_rows[[#This Row],[Discount %]]=0,"Zero Discount",IF(discount_impact_on_profit_2000_rows[[#This Row],[Discount %]]&lt;=10,"Low Discount","High Discount"))</f>
        <v>High Discount</v>
      </c>
      <c r="N1493" t="str">
        <f t="shared" si="23"/>
        <v>10-20%</v>
      </c>
    </row>
    <row r="1494" spans="1:14">
      <c r="A1494" s="1">
        <v>45865</v>
      </c>
      <c r="B1494" t="s">
        <v>1556</v>
      </c>
      <c r="C1494" t="s">
        <v>33</v>
      </c>
      <c r="D1494" t="s">
        <v>34</v>
      </c>
      <c r="E1494">
        <v>24231.42</v>
      </c>
      <c r="F1494" t="s">
        <v>31</v>
      </c>
      <c r="G1494">
        <v>24413.32</v>
      </c>
      <c r="H1494">
        <v>181.9</v>
      </c>
      <c r="I1494">
        <v>30</v>
      </c>
      <c r="J1494">
        <v>3</v>
      </c>
      <c r="K1494" t="str">
        <f>TEXT(discount_impact_on_profit_2000_rows[[#This Row],[order date]],"mmmm")</f>
        <v>July</v>
      </c>
      <c r="L1494">
        <f>YEAR(discount_impact_on_profit_2000_rows[[#This Row],[order date]])</f>
        <v>2025</v>
      </c>
      <c r="M1494" t="str">
        <f>IF(discount_impact_on_profit_2000_rows[[#This Row],[Discount %]]=0,"Zero Discount",IF(discount_impact_on_profit_2000_rows[[#This Row],[Discount %]]&lt;=10,"Low Discount","High Discount"))</f>
        <v>High Discount</v>
      </c>
      <c r="N1494" t="str">
        <f t="shared" si="23"/>
        <v>20-30%</v>
      </c>
    </row>
    <row r="1495" spans="1:14">
      <c r="A1495" s="1">
        <v>45044</v>
      </c>
      <c r="B1495" t="s">
        <v>1557</v>
      </c>
      <c r="C1495" t="s">
        <v>15</v>
      </c>
      <c r="D1495" t="s">
        <v>99</v>
      </c>
      <c r="E1495">
        <v>2183.66</v>
      </c>
      <c r="F1495" t="s">
        <v>36</v>
      </c>
      <c r="G1495">
        <v>2552.65</v>
      </c>
      <c r="H1495">
        <v>368.99</v>
      </c>
      <c r="I1495">
        <v>15</v>
      </c>
      <c r="J1495">
        <v>2</v>
      </c>
      <c r="K1495" t="str">
        <f>TEXT(discount_impact_on_profit_2000_rows[[#This Row],[order date]],"mmmm")</f>
        <v>April</v>
      </c>
      <c r="L1495">
        <f>YEAR(discount_impact_on_profit_2000_rows[[#This Row],[order date]])</f>
        <v>2023</v>
      </c>
      <c r="M1495" t="str">
        <f>IF(discount_impact_on_profit_2000_rows[[#This Row],[Discount %]]=0,"Zero Discount",IF(discount_impact_on_profit_2000_rows[[#This Row],[Discount %]]&lt;=10,"Low Discount","High Discount"))</f>
        <v>High Discount</v>
      </c>
      <c r="N1495" t="str">
        <f t="shared" si="23"/>
        <v>10-20%</v>
      </c>
    </row>
    <row r="1496" spans="1:14">
      <c r="A1496" s="1">
        <v>45735</v>
      </c>
      <c r="B1496" t="s">
        <v>1558</v>
      </c>
      <c r="C1496" t="s">
        <v>33</v>
      </c>
      <c r="D1496" t="s">
        <v>197</v>
      </c>
      <c r="E1496">
        <v>5219.78</v>
      </c>
      <c r="F1496" t="s">
        <v>31</v>
      </c>
      <c r="G1496">
        <v>6796.3</v>
      </c>
      <c r="H1496">
        <v>1576.52</v>
      </c>
      <c r="I1496">
        <v>0</v>
      </c>
      <c r="J1496">
        <v>1</v>
      </c>
      <c r="K1496" t="str">
        <f>TEXT(discount_impact_on_profit_2000_rows[[#This Row],[order date]],"mmmm")</f>
        <v>March</v>
      </c>
      <c r="L1496">
        <f>YEAR(discount_impact_on_profit_2000_rows[[#This Row],[order date]])</f>
        <v>2025</v>
      </c>
      <c r="M1496" t="str">
        <f>IF(discount_impact_on_profit_2000_rows[[#This Row],[Discount %]]=0,"Zero Discount",IF(discount_impact_on_profit_2000_rows[[#This Row],[Discount %]]&lt;=10,"Low Discount","High Discount"))</f>
        <v>Zero Discount</v>
      </c>
      <c r="N1496" t="str">
        <f t="shared" si="23"/>
        <v>0-10%</v>
      </c>
    </row>
    <row r="1497" spans="1:14">
      <c r="A1497" s="1">
        <v>45081</v>
      </c>
      <c r="B1497" t="s">
        <v>1559</v>
      </c>
      <c r="C1497" t="s">
        <v>21</v>
      </c>
      <c r="D1497" t="s">
        <v>82</v>
      </c>
      <c r="E1497">
        <v>4677.07</v>
      </c>
      <c r="F1497" t="s">
        <v>36</v>
      </c>
      <c r="G1497">
        <v>4817.38</v>
      </c>
      <c r="H1497">
        <v>140.31</v>
      </c>
      <c r="I1497">
        <v>19</v>
      </c>
      <c r="J1497">
        <v>3</v>
      </c>
      <c r="K1497" t="str">
        <f>TEXT(discount_impact_on_profit_2000_rows[[#This Row],[order date]],"mmmm")</f>
        <v>June</v>
      </c>
      <c r="L1497">
        <f>YEAR(discount_impact_on_profit_2000_rows[[#This Row],[order date]])</f>
        <v>2023</v>
      </c>
      <c r="M1497" t="str">
        <f>IF(discount_impact_on_profit_2000_rows[[#This Row],[Discount %]]=0,"Zero Discount",IF(discount_impact_on_profit_2000_rows[[#This Row],[Discount %]]&lt;=10,"Low Discount","High Discount"))</f>
        <v>High Discount</v>
      </c>
      <c r="N1497" t="str">
        <f t="shared" si="23"/>
        <v>10-20%</v>
      </c>
    </row>
    <row r="1498" spans="1:14">
      <c r="A1498" s="1">
        <v>45076</v>
      </c>
      <c r="B1498" t="s">
        <v>1560</v>
      </c>
      <c r="C1498" t="s">
        <v>53</v>
      </c>
      <c r="D1498" t="s">
        <v>95</v>
      </c>
      <c r="E1498">
        <v>8001.95</v>
      </c>
      <c r="F1498" t="s">
        <v>26</v>
      </c>
      <c r="G1498">
        <v>14285.83</v>
      </c>
      <c r="H1498">
        <v>6283.88</v>
      </c>
      <c r="I1498">
        <v>0</v>
      </c>
      <c r="J1498">
        <v>5</v>
      </c>
      <c r="K1498" t="str">
        <f>TEXT(discount_impact_on_profit_2000_rows[[#This Row],[order date]],"mmmm")</f>
        <v>May</v>
      </c>
      <c r="L1498">
        <f>YEAR(discount_impact_on_profit_2000_rows[[#This Row],[order date]])</f>
        <v>2023</v>
      </c>
      <c r="M1498" t="str">
        <f>IF(discount_impact_on_profit_2000_rows[[#This Row],[Discount %]]=0,"Zero Discount",IF(discount_impact_on_profit_2000_rows[[#This Row],[Discount %]]&lt;=10,"Low Discount","High Discount"))</f>
        <v>Zero Discount</v>
      </c>
      <c r="N1498" t="str">
        <f t="shared" si="23"/>
        <v>0-10%</v>
      </c>
    </row>
    <row r="1499" spans="1:14">
      <c r="A1499" s="1">
        <v>45658</v>
      </c>
      <c r="B1499" t="s">
        <v>1561</v>
      </c>
      <c r="C1499" t="s">
        <v>18</v>
      </c>
      <c r="D1499" t="s">
        <v>42</v>
      </c>
      <c r="E1499">
        <v>676.33</v>
      </c>
      <c r="F1499" t="s">
        <v>36</v>
      </c>
      <c r="G1499">
        <v>1303.07</v>
      </c>
      <c r="H1499">
        <v>626.74</v>
      </c>
      <c r="I1499">
        <v>0</v>
      </c>
      <c r="J1499">
        <v>1</v>
      </c>
      <c r="K1499" t="str">
        <f>TEXT(discount_impact_on_profit_2000_rows[[#This Row],[order date]],"mmmm")</f>
        <v>January</v>
      </c>
      <c r="L1499">
        <f>YEAR(discount_impact_on_profit_2000_rows[[#This Row],[order date]])</f>
        <v>2025</v>
      </c>
      <c r="M1499" t="str">
        <f>IF(discount_impact_on_profit_2000_rows[[#This Row],[Discount %]]=0,"Zero Discount",IF(discount_impact_on_profit_2000_rows[[#This Row],[Discount %]]&lt;=10,"Low Discount","High Discount"))</f>
        <v>Zero Discount</v>
      </c>
      <c r="N1499" t="str">
        <f t="shared" si="23"/>
        <v>0-10%</v>
      </c>
    </row>
    <row r="1500" spans="1:14">
      <c r="A1500" s="1">
        <v>45590</v>
      </c>
      <c r="B1500" t="s">
        <v>1562</v>
      </c>
      <c r="C1500" t="s">
        <v>18</v>
      </c>
      <c r="D1500" t="s">
        <v>140</v>
      </c>
      <c r="E1500">
        <v>155.15</v>
      </c>
      <c r="F1500" t="s">
        <v>26</v>
      </c>
      <c r="G1500">
        <v>266.17</v>
      </c>
      <c r="H1500">
        <v>111.02</v>
      </c>
      <c r="I1500">
        <v>10</v>
      </c>
      <c r="J1500">
        <v>1</v>
      </c>
      <c r="K1500" t="str">
        <f>TEXT(discount_impact_on_profit_2000_rows[[#This Row],[order date]],"mmmm")</f>
        <v>October</v>
      </c>
      <c r="L1500">
        <f>YEAR(discount_impact_on_profit_2000_rows[[#This Row],[order date]])</f>
        <v>2024</v>
      </c>
      <c r="M1500" t="str">
        <f>IF(discount_impact_on_profit_2000_rows[[#This Row],[Discount %]]=0,"Zero Discount",IF(discount_impact_on_profit_2000_rows[[#This Row],[Discount %]]&lt;=10,"Low Discount","High Discount"))</f>
        <v>Low Discount</v>
      </c>
      <c r="N1500" t="str">
        <f t="shared" si="23"/>
        <v>0-10%</v>
      </c>
    </row>
    <row r="1501" spans="1:14">
      <c r="A1501" s="1">
        <v>45234</v>
      </c>
      <c r="B1501" t="s">
        <v>1563</v>
      </c>
      <c r="C1501" t="s">
        <v>15</v>
      </c>
      <c r="D1501" t="s">
        <v>28</v>
      </c>
      <c r="E1501">
        <v>4138.47</v>
      </c>
      <c r="F1501" t="s">
        <v>23</v>
      </c>
      <c r="G1501">
        <v>4160.83</v>
      </c>
      <c r="H1501">
        <v>22.36</v>
      </c>
      <c r="I1501">
        <v>22</v>
      </c>
      <c r="J1501">
        <v>2</v>
      </c>
      <c r="K1501" t="str">
        <f>TEXT(discount_impact_on_profit_2000_rows[[#This Row],[order date]],"mmmm")</f>
        <v>November</v>
      </c>
      <c r="L1501">
        <f>YEAR(discount_impact_on_profit_2000_rows[[#This Row],[order date]])</f>
        <v>2023</v>
      </c>
      <c r="M1501" t="str">
        <f>IF(discount_impact_on_profit_2000_rows[[#This Row],[Discount %]]=0,"Zero Discount",IF(discount_impact_on_profit_2000_rows[[#This Row],[Discount %]]&lt;=10,"Low Discount","High Discount"))</f>
        <v>High Discount</v>
      </c>
      <c r="N1501" t="str">
        <f t="shared" si="23"/>
        <v>20-30%</v>
      </c>
    </row>
    <row r="1502" spans="1:14">
      <c r="A1502" s="1">
        <v>45594</v>
      </c>
      <c r="B1502" t="s">
        <v>1564</v>
      </c>
      <c r="C1502" t="s">
        <v>21</v>
      </c>
      <c r="D1502" t="s">
        <v>82</v>
      </c>
      <c r="E1502">
        <v>692.13</v>
      </c>
      <c r="F1502" t="s">
        <v>31</v>
      </c>
      <c r="G1502">
        <v>942.73</v>
      </c>
      <c r="H1502">
        <v>250.6</v>
      </c>
      <c r="I1502">
        <v>5</v>
      </c>
      <c r="J1502">
        <v>1</v>
      </c>
      <c r="K1502" t="str">
        <f>TEXT(discount_impact_on_profit_2000_rows[[#This Row],[order date]],"mmmm")</f>
        <v>October</v>
      </c>
      <c r="L1502">
        <f>YEAR(discount_impact_on_profit_2000_rows[[#This Row],[order date]])</f>
        <v>2024</v>
      </c>
      <c r="M1502" t="str">
        <f>IF(discount_impact_on_profit_2000_rows[[#This Row],[Discount %]]=0,"Zero Discount",IF(discount_impact_on_profit_2000_rows[[#This Row],[Discount %]]&lt;=10,"Low Discount","High Discount"))</f>
        <v>Low Discount</v>
      </c>
      <c r="N1502" t="str">
        <f t="shared" si="23"/>
        <v>0-10%</v>
      </c>
    </row>
    <row r="1503" spans="1:14">
      <c r="A1503" s="1">
        <v>44987</v>
      </c>
      <c r="B1503" t="s">
        <v>1565</v>
      </c>
      <c r="C1503" t="s">
        <v>18</v>
      </c>
      <c r="D1503" t="s">
        <v>50</v>
      </c>
      <c r="E1503">
        <v>170.74</v>
      </c>
      <c r="F1503" t="s">
        <v>23</v>
      </c>
      <c r="G1503">
        <v>365.31</v>
      </c>
      <c r="H1503">
        <v>194.57</v>
      </c>
      <c r="I1503">
        <v>0</v>
      </c>
      <c r="J1503">
        <v>1</v>
      </c>
      <c r="K1503" t="str">
        <f>TEXT(discount_impact_on_profit_2000_rows[[#This Row],[order date]],"mmmm")</f>
        <v>March</v>
      </c>
      <c r="L1503">
        <f>YEAR(discount_impact_on_profit_2000_rows[[#This Row],[order date]])</f>
        <v>2023</v>
      </c>
      <c r="M1503" t="str">
        <f>IF(discount_impact_on_profit_2000_rows[[#This Row],[Discount %]]=0,"Zero Discount",IF(discount_impact_on_profit_2000_rows[[#This Row],[Discount %]]&lt;=10,"Low Discount","High Discount"))</f>
        <v>Zero Discount</v>
      </c>
      <c r="N1503" t="str">
        <f t="shared" si="23"/>
        <v>0-10%</v>
      </c>
    </row>
    <row r="1504" spans="1:14">
      <c r="A1504" s="1">
        <v>45364</v>
      </c>
      <c r="B1504" t="s">
        <v>1566</v>
      </c>
      <c r="C1504" t="s">
        <v>53</v>
      </c>
      <c r="D1504" t="s">
        <v>70</v>
      </c>
      <c r="E1504">
        <v>544.95000000000005</v>
      </c>
      <c r="F1504" t="s">
        <v>26</v>
      </c>
      <c r="G1504">
        <v>987.59</v>
      </c>
      <c r="H1504">
        <v>442.64</v>
      </c>
      <c r="I1504">
        <v>15</v>
      </c>
      <c r="J1504">
        <v>1</v>
      </c>
      <c r="K1504" t="str">
        <f>TEXT(discount_impact_on_profit_2000_rows[[#This Row],[order date]],"mmmm")</f>
        <v>March</v>
      </c>
      <c r="L1504">
        <f>YEAR(discount_impact_on_profit_2000_rows[[#This Row],[order date]])</f>
        <v>2024</v>
      </c>
      <c r="M1504" t="str">
        <f>IF(discount_impact_on_profit_2000_rows[[#This Row],[Discount %]]=0,"Zero Discount",IF(discount_impact_on_profit_2000_rows[[#This Row],[Discount %]]&lt;=10,"Low Discount","High Discount"))</f>
        <v>High Discount</v>
      </c>
      <c r="N1504" t="str">
        <f t="shared" si="23"/>
        <v>10-20%</v>
      </c>
    </row>
    <row r="1505" spans="1:14">
      <c r="A1505" s="1">
        <v>44967</v>
      </c>
      <c r="B1505" t="s">
        <v>1567</v>
      </c>
      <c r="C1505" t="s">
        <v>33</v>
      </c>
      <c r="D1505" t="s">
        <v>92</v>
      </c>
      <c r="E1505">
        <v>4516.05</v>
      </c>
      <c r="F1505" t="s">
        <v>26</v>
      </c>
      <c r="G1505">
        <v>6956.41</v>
      </c>
      <c r="H1505">
        <v>2440.36</v>
      </c>
      <c r="I1505">
        <v>10</v>
      </c>
      <c r="J1505">
        <v>4</v>
      </c>
      <c r="K1505" t="str">
        <f>TEXT(discount_impact_on_profit_2000_rows[[#This Row],[order date]],"mmmm")</f>
        <v>February</v>
      </c>
      <c r="L1505">
        <f>YEAR(discount_impact_on_profit_2000_rows[[#This Row],[order date]])</f>
        <v>2023</v>
      </c>
      <c r="M1505" t="str">
        <f>IF(discount_impact_on_profit_2000_rows[[#This Row],[Discount %]]=0,"Zero Discount",IF(discount_impact_on_profit_2000_rows[[#This Row],[Discount %]]&lt;=10,"Low Discount","High Discount"))</f>
        <v>Low Discount</v>
      </c>
      <c r="N1505" t="str">
        <f t="shared" si="23"/>
        <v>0-10%</v>
      </c>
    </row>
    <row r="1506" spans="1:14">
      <c r="A1506" s="1">
        <v>45640</v>
      </c>
      <c r="B1506" t="s">
        <v>1568</v>
      </c>
      <c r="C1506" t="s">
        <v>21</v>
      </c>
      <c r="D1506" t="s">
        <v>123</v>
      </c>
      <c r="E1506">
        <v>967.2</v>
      </c>
      <c r="F1506" t="s">
        <v>26</v>
      </c>
      <c r="G1506">
        <v>975.18</v>
      </c>
      <c r="H1506">
        <v>7.98</v>
      </c>
      <c r="I1506">
        <v>30</v>
      </c>
      <c r="J1506">
        <v>1</v>
      </c>
      <c r="K1506" t="str">
        <f>TEXT(discount_impact_on_profit_2000_rows[[#This Row],[order date]],"mmmm")</f>
        <v>December</v>
      </c>
      <c r="L1506">
        <f>YEAR(discount_impact_on_profit_2000_rows[[#This Row],[order date]])</f>
        <v>2024</v>
      </c>
      <c r="M1506" t="str">
        <f>IF(discount_impact_on_profit_2000_rows[[#This Row],[Discount %]]=0,"Zero Discount",IF(discount_impact_on_profit_2000_rows[[#This Row],[Discount %]]&lt;=10,"Low Discount","High Discount"))</f>
        <v>High Discount</v>
      </c>
      <c r="N1506" t="str">
        <f t="shared" si="23"/>
        <v>20-30%</v>
      </c>
    </row>
    <row r="1507" spans="1:14">
      <c r="A1507" s="1">
        <v>45918</v>
      </c>
      <c r="B1507" t="s">
        <v>1569</v>
      </c>
      <c r="C1507" t="s">
        <v>15</v>
      </c>
      <c r="D1507" t="s">
        <v>40</v>
      </c>
      <c r="E1507">
        <v>12716.72</v>
      </c>
      <c r="F1507" t="s">
        <v>26</v>
      </c>
      <c r="G1507">
        <v>14035.21</v>
      </c>
      <c r="H1507">
        <v>1318.49</v>
      </c>
      <c r="I1507">
        <v>15</v>
      </c>
      <c r="J1507">
        <v>1</v>
      </c>
      <c r="K1507" t="str">
        <f>TEXT(discount_impact_on_profit_2000_rows[[#This Row],[order date]],"mmmm")</f>
        <v>September</v>
      </c>
      <c r="L1507">
        <f>YEAR(discount_impact_on_profit_2000_rows[[#This Row],[order date]])</f>
        <v>2025</v>
      </c>
      <c r="M1507" t="str">
        <f>IF(discount_impact_on_profit_2000_rows[[#This Row],[Discount %]]=0,"Zero Discount",IF(discount_impact_on_profit_2000_rows[[#This Row],[Discount %]]&lt;=10,"Low Discount","High Discount"))</f>
        <v>High Discount</v>
      </c>
      <c r="N1507" t="str">
        <f t="shared" si="23"/>
        <v>10-20%</v>
      </c>
    </row>
    <row r="1508" spans="1:14">
      <c r="A1508" s="1">
        <v>45241</v>
      </c>
      <c r="B1508" t="s">
        <v>1570</v>
      </c>
      <c r="C1508" t="s">
        <v>15</v>
      </c>
      <c r="D1508" t="s">
        <v>16</v>
      </c>
      <c r="E1508">
        <v>23157.01</v>
      </c>
      <c r="F1508" t="s">
        <v>36</v>
      </c>
      <c r="G1508">
        <v>24297.86</v>
      </c>
      <c r="H1508">
        <v>1140.8499999999999</v>
      </c>
      <c r="I1508">
        <v>20</v>
      </c>
      <c r="J1508">
        <v>5</v>
      </c>
      <c r="K1508" t="str">
        <f>TEXT(discount_impact_on_profit_2000_rows[[#This Row],[order date]],"mmmm")</f>
        <v>November</v>
      </c>
      <c r="L1508">
        <f>YEAR(discount_impact_on_profit_2000_rows[[#This Row],[order date]])</f>
        <v>2023</v>
      </c>
      <c r="M1508" t="str">
        <f>IF(discount_impact_on_profit_2000_rows[[#This Row],[Discount %]]=0,"Zero Discount",IF(discount_impact_on_profit_2000_rows[[#This Row],[Discount %]]&lt;=10,"Low Discount","High Discount"))</f>
        <v>High Discount</v>
      </c>
      <c r="N1508" t="str">
        <f t="shared" si="23"/>
        <v>10-20%</v>
      </c>
    </row>
    <row r="1509" spans="1:14">
      <c r="A1509" s="1">
        <v>45881</v>
      </c>
      <c r="B1509" t="s">
        <v>1571</v>
      </c>
      <c r="C1509" t="s">
        <v>53</v>
      </c>
      <c r="D1509" t="s">
        <v>95</v>
      </c>
      <c r="E1509">
        <v>5076.13</v>
      </c>
      <c r="F1509" t="s">
        <v>13</v>
      </c>
      <c r="G1509">
        <v>7899.48</v>
      </c>
      <c r="H1509">
        <v>2823.35</v>
      </c>
      <c r="I1509">
        <v>30</v>
      </c>
      <c r="J1509">
        <v>3</v>
      </c>
      <c r="K1509" t="str">
        <f>TEXT(discount_impact_on_profit_2000_rows[[#This Row],[order date]],"mmmm")</f>
        <v>August</v>
      </c>
      <c r="L1509">
        <f>YEAR(discount_impact_on_profit_2000_rows[[#This Row],[order date]])</f>
        <v>2025</v>
      </c>
      <c r="M1509" t="str">
        <f>IF(discount_impact_on_profit_2000_rows[[#This Row],[Discount %]]=0,"Zero Discount",IF(discount_impact_on_profit_2000_rows[[#This Row],[Discount %]]&lt;=10,"Low Discount","High Discount"))</f>
        <v>High Discount</v>
      </c>
      <c r="N1509" t="str">
        <f t="shared" si="23"/>
        <v>20-30%</v>
      </c>
    </row>
    <row r="1510" spans="1:14">
      <c r="A1510" s="1">
        <v>45826</v>
      </c>
      <c r="B1510" t="s">
        <v>1572</v>
      </c>
      <c r="C1510" t="s">
        <v>53</v>
      </c>
      <c r="D1510" t="s">
        <v>113</v>
      </c>
      <c r="E1510">
        <v>1668.55</v>
      </c>
      <c r="F1510" t="s">
        <v>36</v>
      </c>
      <c r="G1510">
        <v>3845.85</v>
      </c>
      <c r="H1510">
        <v>2177.3000000000002</v>
      </c>
      <c r="I1510">
        <v>5</v>
      </c>
      <c r="J1510">
        <v>2</v>
      </c>
      <c r="K1510" t="str">
        <f>TEXT(discount_impact_on_profit_2000_rows[[#This Row],[order date]],"mmmm")</f>
        <v>June</v>
      </c>
      <c r="L1510">
        <f>YEAR(discount_impact_on_profit_2000_rows[[#This Row],[order date]])</f>
        <v>2025</v>
      </c>
      <c r="M1510" t="str">
        <f>IF(discount_impact_on_profit_2000_rows[[#This Row],[Discount %]]=0,"Zero Discount",IF(discount_impact_on_profit_2000_rows[[#This Row],[Discount %]]&lt;=10,"Low Discount","High Discount"))</f>
        <v>Low Discount</v>
      </c>
      <c r="N1510" t="str">
        <f t="shared" si="23"/>
        <v>0-10%</v>
      </c>
    </row>
    <row r="1511" spans="1:14">
      <c r="A1511" s="1">
        <v>45406</v>
      </c>
      <c r="B1511" t="s">
        <v>1573</v>
      </c>
      <c r="C1511" t="s">
        <v>33</v>
      </c>
      <c r="D1511" t="s">
        <v>92</v>
      </c>
      <c r="E1511">
        <v>16773.18</v>
      </c>
      <c r="F1511" t="s">
        <v>23</v>
      </c>
      <c r="G1511">
        <v>22522.959999999999</v>
      </c>
      <c r="H1511">
        <v>5749.78</v>
      </c>
      <c r="I1511">
        <v>15</v>
      </c>
      <c r="J1511">
        <v>4</v>
      </c>
      <c r="K1511" t="str">
        <f>TEXT(discount_impact_on_profit_2000_rows[[#This Row],[order date]],"mmmm")</f>
        <v>April</v>
      </c>
      <c r="L1511">
        <f>YEAR(discount_impact_on_profit_2000_rows[[#This Row],[order date]])</f>
        <v>2024</v>
      </c>
      <c r="M1511" t="str">
        <f>IF(discount_impact_on_profit_2000_rows[[#This Row],[Discount %]]=0,"Zero Discount",IF(discount_impact_on_profit_2000_rows[[#This Row],[Discount %]]&lt;=10,"Low Discount","High Discount"))</f>
        <v>High Discount</v>
      </c>
      <c r="N1511" t="str">
        <f t="shared" si="23"/>
        <v>10-20%</v>
      </c>
    </row>
    <row r="1512" spans="1:14">
      <c r="A1512" s="1">
        <v>45319</v>
      </c>
      <c r="B1512" t="s">
        <v>1574</v>
      </c>
      <c r="C1512" t="s">
        <v>15</v>
      </c>
      <c r="D1512" t="s">
        <v>86</v>
      </c>
      <c r="E1512">
        <v>1656.52</v>
      </c>
      <c r="F1512" t="s">
        <v>31</v>
      </c>
      <c r="G1512">
        <v>2517.33</v>
      </c>
      <c r="H1512">
        <v>860.81</v>
      </c>
      <c r="I1512">
        <v>0</v>
      </c>
      <c r="J1512">
        <v>1</v>
      </c>
      <c r="K1512" t="str">
        <f>TEXT(discount_impact_on_profit_2000_rows[[#This Row],[order date]],"mmmm")</f>
        <v>January</v>
      </c>
      <c r="L1512">
        <f>YEAR(discount_impact_on_profit_2000_rows[[#This Row],[order date]])</f>
        <v>2024</v>
      </c>
      <c r="M1512" t="str">
        <f>IF(discount_impact_on_profit_2000_rows[[#This Row],[Discount %]]=0,"Zero Discount",IF(discount_impact_on_profit_2000_rows[[#This Row],[Discount %]]&lt;=10,"Low Discount","High Discount"))</f>
        <v>Zero Discount</v>
      </c>
      <c r="N1512" t="str">
        <f t="shared" si="23"/>
        <v>0-10%</v>
      </c>
    </row>
    <row r="1513" spans="1:14">
      <c r="A1513" s="1">
        <v>45626</v>
      </c>
      <c r="B1513" t="s">
        <v>1575</v>
      </c>
      <c r="C1513" t="s">
        <v>21</v>
      </c>
      <c r="D1513" t="s">
        <v>22</v>
      </c>
      <c r="E1513">
        <v>1547.36</v>
      </c>
      <c r="F1513" t="s">
        <v>36</v>
      </c>
      <c r="G1513">
        <v>2193.13</v>
      </c>
      <c r="H1513">
        <v>645.77</v>
      </c>
      <c r="I1513">
        <v>0</v>
      </c>
      <c r="J1513">
        <v>2</v>
      </c>
      <c r="K1513" t="str">
        <f>TEXT(discount_impact_on_profit_2000_rows[[#This Row],[order date]],"mmmm")</f>
        <v>November</v>
      </c>
      <c r="L1513">
        <f>YEAR(discount_impact_on_profit_2000_rows[[#This Row],[order date]])</f>
        <v>2024</v>
      </c>
      <c r="M1513" t="str">
        <f>IF(discount_impact_on_profit_2000_rows[[#This Row],[Discount %]]=0,"Zero Discount",IF(discount_impact_on_profit_2000_rows[[#This Row],[Discount %]]&lt;=10,"Low Discount","High Discount"))</f>
        <v>Zero Discount</v>
      </c>
      <c r="N1513" t="str">
        <f t="shared" si="23"/>
        <v>0-10%</v>
      </c>
    </row>
    <row r="1514" spans="1:14">
      <c r="A1514" s="1">
        <v>45289</v>
      </c>
      <c r="B1514" t="s">
        <v>1576</v>
      </c>
      <c r="C1514" t="s">
        <v>15</v>
      </c>
      <c r="D1514" t="s">
        <v>16</v>
      </c>
      <c r="E1514">
        <v>56256.97</v>
      </c>
      <c r="F1514" t="s">
        <v>36</v>
      </c>
      <c r="G1514">
        <v>70444.490000000005</v>
      </c>
      <c r="H1514">
        <v>14187.52</v>
      </c>
      <c r="I1514">
        <v>10</v>
      </c>
      <c r="J1514">
        <v>10</v>
      </c>
      <c r="K1514" t="str">
        <f>TEXT(discount_impact_on_profit_2000_rows[[#This Row],[order date]],"mmmm")</f>
        <v>December</v>
      </c>
      <c r="L1514">
        <f>YEAR(discount_impact_on_profit_2000_rows[[#This Row],[order date]])</f>
        <v>2023</v>
      </c>
      <c r="M1514" t="str">
        <f>IF(discount_impact_on_profit_2000_rows[[#This Row],[Discount %]]=0,"Zero Discount",IF(discount_impact_on_profit_2000_rows[[#This Row],[Discount %]]&lt;=10,"Low Discount","High Discount"))</f>
        <v>Low Discount</v>
      </c>
      <c r="N1514" t="str">
        <f t="shared" si="23"/>
        <v>0-10%</v>
      </c>
    </row>
    <row r="1515" spans="1:14">
      <c r="A1515" s="1">
        <v>46008</v>
      </c>
      <c r="B1515" t="s">
        <v>1577</v>
      </c>
      <c r="C1515" t="s">
        <v>33</v>
      </c>
      <c r="D1515" t="s">
        <v>102</v>
      </c>
      <c r="E1515">
        <v>6176.08</v>
      </c>
      <c r="F1515" t="s">
        <v>26</v>
      </c>
      <c r="G1515">
        <v>8719.32</v>
      </c>
      <c r="H1515">
        <v>2543.2399999999998</v>
      </c>
      <c r="I1515">
        <v>0</v>
      </c>
      <c r="J1515">
        <v>2</v>
      </c>
      <c r="K1515" t="str">
        <f>TEXT(discount_impact_on_profit_2000_rows[[#This Row],[order date]],"mmmm")</f>
        <v>December</v>
      </c>
      <c r="L1515">
        <f>YEAR(discount_impact_on_profit_2000_rows[[#This Row],[order date]])</f>
        <v>2025</v>
      </c>
      <c r="M1515" t="str">
        <f>IF(discount_impact_on_profit_2000_rows[[#This Row],[Discount %]]=0,"Zero Discount",IF(discount_impact_on_profit_2000_rows[[#This Row],[Discount %]]&lt;=10,"Low Discount","High Discount"))</f>
        <v>Zero Discount</v>
      </c>
      <c r="N1515" t="str">
        <f t="shared" si="23"/>
        <v>0-10%</v>
      </c>
    </row>
    <row r="1516" spans="1:14">
      <c r="A1516" s="1">
        <v>45306</v>
      </c>
      <c r="B1516" t="s">
        <v>1578</v>
      </c>
      <c r="C1516" t="s">
        <v>18</v>
      </c>
      <c r="D1516" t="s">
        <v>140</v>
      </c>
      <c r="E1516">
        <v>551.17999999999995</v>
      </c>
      <c r="F1516" t="s">
        <v>26</v>
      </c>
      <c r="G1516">
        <v>974.01</v>
      </c>
      <c r="H1516">
        <v>422.83</v>
      </c>
      <c r="I1516">
        <v>15</v>
      </c>
      <c r="J1516">
        <v>2</v>
      </c>
      <c r="K1516" t="str">
        <f>TEXT(discount_impact_on_profit_2000_rows[[#This Row],[order date]],"mmmm")</f>
        <v>January</v>
      </c>
      <c r="L1516">
        <f>YEAR(discount_impact_on_profit_2000_rows[[#This Row],[order date]])</f>
        <v>2024</v>
      </c>
      <c r="M1516" t="str">
        <f>IF(discount_impact_on_profit_2000_rows[[#This Row],[Discount %]]=0,"Zero Discount",IF(discount_impact_on_profit_2000_rows[[#This Row],[Discount %]]&lt;=10,"Low Discount","High Discount"))</f>
        <v>High Discount</v>
      </c>
      <c r="N1516" t="str">
        <f t="shared" si="23"/>
        <v>10-20%</v>
      </c>
    </row>
    <row r="1517" spans="1:14">
      <c r="A1517" s="1">
        <v>45214</v>
      </c>
      <c r="B1517" t="s">
        <v>1579</v>
      </c>
      <c r="C1517" t="s">
        <v>33</v>
      </c>
      <c r="D1517" t="s">
        <v>102</v>
      </c>
      <c r="E1517">
        <v>4647.33</v>
      </c>
      <c r="F1517" t="s">
        <v>36</v>
      </c>
      <c r="G1517">
        <v>5442.56</v>
      </c>
      <c r="H1517">
        <v>795.23</v>
      </c>
      <c r="I1517">
        <v>10</v>
      </c>
      <c r="J1517">
        <v>2</v>
      </c>
      <c r="K1517" t="str">
        <f>TEXT(discount_impact_on_profit_2000_rows[[#This Row],[order date]],"mmmm")</f>
        <v>October</v>
      </c>
      <c r="L1517">
        <f>YEAR(discount_impact_on_profit_2000_rows[[#This Row],[order date]])</f>
        <v>2023</v>
      </c>
      <c r="M1517" t="str">
        <f>IF(discount_impact_on_profit_2000_rows[[#This Row],[Discount %]]=0,"Zero Discount",IF(discount_impact_on_profit_2000_rows[[#This Row],[Discount %]]&lt;=10,"Low Discount","High Discount"))</f>
        <v>Low Discount</v>
      </c>
      <c r="N1517" t="str">
        <f t="shared" si="23"/>
        <v>0-10%</v>
      </c>
    </row>
    <row r="1518" spans="1:14">
      <c r="A1518" s="1">
        <v>45393</v>
      </c>
      <c r="B1518" t="s">
        <v>1580</v>
      </c>
      <c r="C1518" t="s">
        <v>11</v>
      </c>
      <c r="D1518" t="s">
        <v>38</v>
      </c>
      <c r="E1518">
        <v>671.36</v>
      </c>
      <c r="F1518" t="s">
        <v>26</v>
      </c>
      <c r="G1518">
        <v>1043.25</v>
      </c>
      <c r="H1518">
        <v>371.89</v>
      </c>
      <c r="I1518">
        <v>5</v>
      </c>
      <c r="J1518">
        <v>1</v>
      </c>
      <c r="K1518" t="str">
        <f>TEXT(discount_impact_on_profit_2000_rows[[#This Row],[order date]],"mmmm")</f>
        <v>April</v>
      </c>
      <c r="L1518">
        <f>YEAR(discount_impact_on_profit_2000_rows[[#This Row],[order date]])</f>
        <v>2024</v>
      </c>
      <c r="M1518" t="str">
        <f>IF(discount_impact_on_profit_2000_rows[[#This Row],[Discount %]]=0,"Zero Discount",IF(discount_impact_on_profit_2000_rows[[#This Row],[Discount %]]&lt;=10,"Low Discount","High Discount"))</f>
        <v>Low Discount</v>
      </c>
      <c r="N1518" t="str">
        <f t="shared" si="23"/>
        <v>0-10%</v>
      </c>
    </row>
    <row r="1519" spans="1:14">
      <c r="A1519" s="1">
        <v>45491</v>
      </c>
      <c r="B1519" t="s">
        <v>1581</v>
      </c>
      <c r="C1519" t="s">
        <v>15</v>
      </c>
      <c r="D1519" t="s">
        <v>99</v>
      </c>
      <c r="E1519">
        <v>3801.89</v>
      </c>
      <c r="F1519" t="s">
        <v>36</v>
      </c>
      <c r="G1519">
        <v>3860.29</v>
      </c>
      <c r="H1519">
        <v>58.4</v>
      </c>
      <c r="I1519">
        <v>25</v>
      </c>
      <c r="J1519">
        <v>4</v>
      </c>
      <c r="K1519" t="str">
        <f>TEXT(discount_impact_on_profit_2000_rows[[#This Row],[order date]],"mmmm")</f>
        <v>July</v>
      </c>
      <c r="L1519">
        <f>YEAR(discount_impact_on_profit_2000_rows[[#This Row],[order date]])</f>
        <v>2024</v>
      </c>
      <c r="M1519" t="str">
        <f>IF(discount_impact_on_profit_2000_rows[[#This Row],[Discount %]]=0,"Zero Discount",IF(discount_impact_on_profit_2000_rows[[#This Row],[Discount %]]&lt;=10,"Low Discount","High Discount"))</f>
        <v>High Discount</v>
      </c>
      <c r="N1519" t="str">
        <f t="shared" si="23"/>
        <v>20-30%</v>
      </c>
    </row>
    <row r="1520" spans="1:14">
      <c r="A1520" s="1">
        <v>44985</v>
      </c>
      <c r="B1520" t="s">
        <v>1582</v>
      </c>
      <c r="C1520" t="s">
        <v>53</v>
      </c>
      <c r="D1520" t="s">
        <v>59</v>
      </c>
      <c r="E1520">
        <v>728.87</v>
      </c>
      <c r="F1520" t="s">
        <v>31</v>
      </c>
      <c r="G1520">
        <v>867.08</v>
      </c>
      <c r="H1520">
        <v>138.21</v>
      </c>
      <c r="I1520">
        <v>30</v>
      </c>
      <c r="J1520">
        <v>2</v>
      </c>
      <c r="K1520" t="str">
        <f>TEXT(discount_impact_on_profit_2000_rows[[#This Row],[order date]],"mmmm")</f>
        <v>February</v>
      </c>
      <c r="L1520">
        <f>YEAR(discount_impact_on_profit_2000_rows[[#This Row],[order date]])</f>
        <v>2023</v>
      </c>
      <c r="M1520" t="str">
        <f>IF(discount_impact_on_profit_2000_rows[[#This Row],[Discount %]]=0,"Zero Discount",IF(discount_impact_on_profit_2000_rows[[#This Row],[Discount %]]&lt;=10,"Low Discount","High Discount"))</f>
        <v>High Discount</v>
      </c>
      <c r="N1520" t="str">
        <f t="shared" si="23"/>
        <v>20-30%</v>
      </c>
    </row>
    <row r="1521" spans="1:14">
      <c r="A1521" s="1">
        <v>45345</v>
      </c>
      <c r="B1521" t="s">
        <v>1583</v>
      </c>
      <c r="C1521" t="s">
        <v>33</v>
      </c>
      <c r="D1521" t="s">
        <v>102</v>
      </c>
      <c r="E1521">
        <v>8510.57</v>
      </c>
      <c r="F1521" t="s">
        <v>36</v>
      </c>
      <c r="G1521">
        <v>8901.92</v>
      </c>
      <c r="H1521">
        <v>391.35</v>
      </c>
      <c r="I1521">
        <v>30</v>
      </c>
      <c r="J1521">
        <v>1</v>
      </c>
      <c r="K1521" t="str">
        <f>TEXT(discount_impact_on_profit_2000_rows[[#This Row],[order date]],"mmmm")</f>
        <v>February</v>
      </c>
      <c r="L1521">
        <f>YEAR(discount_impact_on_profit_2000_rows[[#This Row],[order date]])</f>
        <v>2024</v>
      </c>
      <c r="M1521" t="str">
        <f>IF(discount_impact_on_profit_2000_rows[[#This Row],[Discount %]]=0,"Zero Discount",IF(discount_impact_on_profit_2000_rows[[#This Row],[Discount %]]&lt;=10,"Low Discount","High Discount"))</f>
        <v>High Discount</v>
      </c>
      <c r="N1521" t="str">
        <f t="shared" si="23"/>
        <v>20-30%</v>
      </c>
    </row>
    <row r="1522" spans="1:14">
      <c r="A1522" s="1">
        <v>45189</v>
      </c>
      <c r="B1522" t="s">
        <v>1584</v>
      </c>
      <c r="C1522" t="s">
        <v>53</v>
      </c>
      <c r="D1522" t="s">
        <v>95</v>
      </c>
      <c r="E1522">
        <v>2491.6799999999998</v>
      </c>
      <c r="F1522" t="s">
        <v>13</v>
      </c>
      <c r="G1522">
        <v>4033.42</v>
      </c>
      <c r="H1522">
        <v>1541.74</v>
      </c>
      <c r="I1522">
        <v>5</v>
      </c>
      <c r="J1522">
        <v>2</v>
      </c>
      <c r="K1522" t="str">
        <f>TEXT(discount_impact_on_profit_2000_rows[[#This Row],[order date]],"mmmm")</f>
        <v>September</v>
      </c>
      <c r="L1522">
        <f>YEAR(discount_impact_on_profit_2000_rows[[#This Row],[order date]])</f>
        <v>2023</v>
      </c>
      <c r="M1522" t="str">
        <f>IF(discount_impact_on_profit_2000_rows[[#This Row],[Discount %]]=0,"Zero Discount",IF(discount_impact_on_profit_2000_rows[[#This Row],[Discount %]]&lt;=10,"Low Discount","High Discount"))</f>
        <v>Low Discount</v>
      </c>
      <c r="N1522" t="str">
        <f t="shared" si="23"/>
        <v>0-10%</v>
      </c>
    </row>
    <row r="1523" spans="1:14">
      <c r="A1523" s="1">
        <v>45235</v>
      </c>
      <c r="B1523" t="s">
        <v>1585</v>
      </c>
      <c r="C1523" t="s">
        <v>11</v>
      </c>
      <c r="D1523" t="s">
        <v>64</v>
      </c>
      <c r="E1523">
        <v>727.5</v>
      </c>
      <c r="F1523" t="s">
        <v>36</v>
      </c>
      <c r="G1523">
        <v>1595.65</v>
      </c>
      <c r="H1523">
        <v>868.15</v>
      </c>
      <c r="I1523">
        <v>5</v>
      </c>
      <c r="J1523">
        <v>2</v>
      </c>
      <c r="K1523" t="str">
        <f>TEXT(discount_impact_on_profit_2000_rows[[#This Row],[order date]],"mmmm")</f>
        <v>November</v>
      </c>
      <c r="L1523">
        <f>YEAR(discount_impact_on_profit_2000_rows[[#This Row],[order date]])</f>
        <v>2023</v>
      </c>
      <c r="M1523" t="str">
        <f>IF(discount_impact_on_profit_2000_rows[[#This Row],[Discount %]]=0,"Zero Discount",IF(discount_impact_on_profit_2000_rows[[#This Row],[Discount %]]&lt;=10,"Low Discount","High Discount"))</f>
        <v>Low Discount</v>
      </c>
      <c r="N1523" t="str">
        <f t="shared" si="23"/>
        <v>0-10%</v>
      </c>
    </row>
    <row r="1524" spans="1:14">
      <c r="A1524" s="1">
        <v>45287</v>
      </c>
      <c r="B1524" t="s">
        <v>1586</v>
      </c>
      <c r="C1524" t="s">
        <v>11</v>
      </c>
      <c r="D1524" t="s">
        <v>25</v>
      </c>
      <c r="E1524">
        <v>595.45000000000005</v>
      </c>
      <c r="F1524" t="s">
        <v>31</v>
      </c>
      <c r="G1524">
        <v>1113.67</v>
      </c>
      <c r="H1524">
        <v>518.22</v>
      </c>
      <c r="I1524">
        <v>5</v>
      </c>
      <c r="J1524">
        <v>4</v>
      </c>
      <c r="K1524" t="str">
        <f>TEXT(discount_impact_on_profit_2000_rows[[#This Row],[order date]],"mmmm")</f>
        <v>December</v>
      </c>
      <c r="L1524">
        <f>YEAR(discount_impact_on_profit_2000_rows[[#This Row],[order date]])</f>
        <v>2023</v>
      </c>
      <c r="M1524" t="str">
        <f>IF(discount_impact_on_profit_2000_rows[[#This Row],[Discount %]]=0,"Zero Discount",IF(discount_impact_on_profit_2000_rows[[#This Row],[Discount %]]&lt;=10,"Low Discount","High Discount"))</f>
        <v>Low Discount</v>
      </c>
      <c r="N1524" t="str">
        <f t="shared" si="23"/>
        <v>0-10%</v>
      </c>
    </row>
    <row r="1525" spans="1:14">
      <c r="A1525" s="1">
        <v>45229</v>
      </c>
      <c r="B1525" t="s">
        <v>1587</v>
      </c>
      <c r="C1525" t="s">
        <v>15</v>
      </c>
      <c r="D1525" t="s">
        <v>40</v>
      </c>
      <c r="E1525">
        <v>1511.65</v>
      </c>
      <c r="F1525" t="s">
        <v>23</v>
      </c>
      <c r="G1525">
        <v>1766.94</v>
      </c>
      <c r="H1525">
        <v>255.29</v>
      </c>
      <c r="I1525">
        <v>5</v>
      </c>
      <c r="J1525">
        <v>1</v>
      </c>
      <c r="K1525" t="str">
        <f>TEXT(discount_impact_on_profit_2000_rows[[#This Row],[order date]],"mmmm")</f>
        <v>October</v>
      </c>
      <c r="L1525">
        <f>YEAR(discount_impact_on_profit_2000_rows[[#This Row],[order date]])</f>
        <v>2023</v>
      </c>
      <c r="M1525" t="str">
        <f>IF(discount_impact_on_profit_2000_rows[[#This Row],[Discount %]]=0,"Zero Discount",IF(discount_impact_on_profit_2000_rows[[#This Row],[Discount %]]&lt;=10,"Low Discount","High Discount"))</f>
        <v>Low Discount</v>
      </c>
      <c r="N1525" t="str">
        <f t="shared" si="23"/>
        <v>0-10%</v>
      </c>
    </row>
    <row r="1526" spans="1:14">
      <c r="A1526" s="1">
        <v>45778</v>
      </c>
      <c r="B1526" t="s">
        <v>1588</v>
      </c>
      <c r="C1526" t="s">
        <v>18</v>
      </c>
      <c r="D1526" t="s">
        <v>104</v>
      </c>
      <c r="E1526">
        <v>3103.07</v>
      </c>
      <c r="F1526" t="s">
        <v>23</v>
      </c>
      <c r="G1526">
        <v>3645.9</v>
      </c>
      <c r="H1526">
        <v>542.83000000000004</v>
      </c>
      <c r="I1526">
        <v>20</v>
      </c>
      <c r="J1526">
        <v>6</v>
      </c>
      <c r="K1526" t="str">
        <f>TEXT(discount_impact_on_profit_2000_rows[[#This Row],[order date]],"mmmm")</f>
        <v>May</v>
      </c>
      <c r="L1526">
        <f>YEAR(discount_impact_on_profit_2000_rows[[#This Row],[order date]])</f>
        <v>2025</v>
      </c>
      <c r="M1526" t="str">
        <f>IF(discount_impact_on_profit_2000_rows[[#This Row],[Discount %]]=0,"Zero Discount",IF(discount_impact_on_profit_2000_rows[[#This Row],[Discount %]]&lt;=10,"Low Discount","High Discount"))</f>
        <v>High Discount</v>
      </c>
      <c r="N1526" t="str">
        <f t="shared" si="23"/>
        <v>10-20%</v>
      </c>
    </row>
    <row r="1527" spans="1:14">
      <c r="A1527" s="1">
        <v>45162</v>
      </c>
      <c r="B1527" t="s">
        <v>1589</v>
      </c>
      <c r="C1527" t="s">
        <v>11</v>
      </c>
      <c r="D1527" t="s">
        <v>25</v>
      </c>
      <c r="E1527">
        <v>657.01</v>
      </c>
      <c r="F1527" t="s">
        <v>31</v>
      </c>
      <c r="G1527">
        <v>1477.89</v>
      </c>
      <c r="H1527">
        <v>820.88</v>
      </c>
      <c r="I1527">
        <v>5</v>
      </c>
      <c r="J1527">
        <v>2</v>
      </c>
      <c r="K1527" t="str">
        <f>TEXT(discount_impact_on_profit_2000_rows[[#This Row],[order date]],"mmmm")</f>
        <v>August</v>
      </c>
      <c r="L1527">
        <f>YEAR(discount_impact_on_profit_2000_rows[[#This Row],[order date]])</f>
        <v>2023</v>
      </c>
      <c r="M1527" t="str">
        <f>IF(discount_impact_on_profit_2000_rows[[#This Row],[Discount %]]=0,"Zero Discount",IF(discount_impact_on_profit_2000_rows[[#This Row],[Discount %]]&lt;=10,"Low Discount","High Discount"))</f>
        <v>Low Discount</v>
      </c>
      <c r="N1527" t="str">
        <f t="shared" si="23"/>
        <v>0-10%</v>
      </c>
    </row>
    <row r="1528" spans="1:14">
      <c r="A1528" s="1">
        <v>45444</v>
      </c>
      <c r="B1528" t="s">
        <v>1590</v>
      </c>
      <c r="C1528" t="s">
        <v>18</v>
      </c>
      <c r="D1528" t="s">
        <v>188</v>
      </c>
      <c r="E1528">
        <v>532.22</v>
      </c>
      <c r="F1528" t="s">
        <v>36</v>
      </c>
      <c r="G1528">
        <v>694.47</v>
      </c>
      <c r="H1528">
        <v>162.25</v>
      </c>
      <c r="I1528">
        <v>10</v>
      </c>
      <c r="J1528">
        <v>3</v>
      </c>
      <c r="K1528" t="str">
        <f>TEXT(discount_impact_on_profit_2000_rows[[#This Row],[order date]],"mmmm")</f>
        <v>June</v>
      </c>
      <c r="L1528">
        <f>YEAR(discount_impact_on_profit_2000_rows[[#This Row],[order date]])</f>
        <v>2024</v>
      </c>
      <c r="M1528" t="str">
        <f>IF(discount_impact_on_profit_2000_rows[[#This Row],[Discount %]]=0,"Zero Discount",IF(discount_impact_on_profit_2000_rows[[#This Row],[Discount %]]&lt;=10,"Low Discount","High Discount"))</f>
        <v>Low Discount</v>
      </c>
      <c r="N1528" t="str">
        <f t="shared" si="23"/>
        <v>0-10%</v>
      </c>
    </row>
    <row r="1529" spans="1:14">
      <c r="A1529" s="1">
        <v>45727</v>
      </c>
      <c r="B1529" t="s">
        <v>1591</v>
      </c>
      <c r="C1529" t="s">
        <v>18</v>
      </c>
      <c r="D1529" t="s">
        <v>140</v>
      </c>
      <c r="E1529">
        <v>565.94000000000005</v>
      </c>
      <c r="F1529" t="s">
        <v>26</v>
      </c>
      <c r="G1529">
        <v>1066.29</v>
      </c>
      <c r="H1529">
        <v>500.35</v>
      </c>
      <c r="I1529">
        <v>15</v>
      </c>
      <c r="J1529">
        <v>3</v>
      </c>
      <c r="K1529" t="str">
        <f>TEXT(discount_impact_on_profit_2000_rows[[#This Row],[order date]],"mmmm")</f>
        <v>March</v>
      </c>
      <c r="L1529">
        <f>YEAR(discount_impact_on_profit_2000_rows[[#This Row],[order date]])</f>
        <v>2025</v>
      </c>
      <c r="M1529" t="str">
        <f>IF(discount_impact_on_profit_2000_rows[[#This Row],[Discount %]]=0,"Zero Discount",IF(discount_impact_on_profit_2000_rows[[#This Row],[Discount %]]&lt;=10,"Low Discount","High Discount"))</f>
        <v>High Discount</v>
      </c>
      <c r="N1529" t="str">
        <f t="shared" si="23"/>
        <v>10-20%</v>
      </c>
    </row>
    <row r="1530" spans="1:14">
      <c r="A1530" s="1">
        <v>45232</v>
      </c>
      <c r="B1530" t="s">
        <v>1592</v>
      </c>
      <c r="C1530" t="s">
        <v>33</v>
      </c>
      <c r="D1530" t="s">
        <v>44</v>
      </c>
      <c r="E1530">
        <v>5767.49</v>
      </c>
      <c r="F1530" t="s">
        <v>36</v>
      </c>
      <c r="G1530">
        <v>9159.0300000000007</v>
      </c>
      <c r="H1530">
        <v>3391.54</v>
      </c>
      <c r="I1530">
        <v>0</v>
      </c>
      <c r="J1530">
        <v>2</v>
      </c>
      <c r="K1530" t="str">
        <f>TEXT(discount_impact_on_profit_2000_rows[[#This Row],[order date]],"mmmm")</f>
        <v>November</v>
      </c>
      <c r="L1530">
        <f>YEAR(discount_impact_on_profit_2000_rows[[#This Row],[order date]])</f>
        <v>2023</v>
      </c>
      <c r="M1530" t="str">
        <f>IF(discount_impact_on_profit_2000_rows[[#This Row],[Discount %]]=0,"Zero Discount",IF(discount_impact_on_profit_2000_rows[[#This Row],[Discount %]]&lt;=10,"Low Discount","High Discount"))</f>
        <v>Zero Discount</v>
      </c>
      <c r="N1530" t="str">
        <f t="shared" si="23"/>
        <v>0-10%</v>
      </c>
    </row>
    <row r="1531" spans="1:14">
      <c r="A1531" s="1">
        <v>46015</v>
      </c>
      <c r="B1531" t="s">
        <v>1593</v>
      </c>
      <c r="C1531" t="s">
        <v>15</v>
      </c>
      <c r="D1531" t="s">
        <v>16</v>
      </c>
      <c r="E1531">
        <v>12224.26</v>
      </c>
      <c r="F1531" t="s">
        <v>36</v>
      </c>
      <c r="G1531">
        <v>15763.05</v>
      </c>
      <c r="H1531">
        <v>3538.79</v>
      </c>
      <c r="I1531">
        <v>10</v>
      </c>
      <c r="J1531">
        <v>3</v>
      </c>
      <c r="K1531" t="str">
        <f>TEXT(discount_impact_on_profit_2000_rows[[#This Row],[order date]],"mmmm")</f>
        <v>December</v>
      </c>
      <c r="L1531">
        <f>YEAR(discount_impact_on_profit_2000_rows[[#This Row],[order date]])</f>
        <v>2025</v>
      </c>
      <c r="M1531" t="str">
        <f>IF(discount_impact_on_profit_2000_rows[[#This Row],[Discount %]]=0,"Zero Discount",IF(discount_impact_on_profit_2000_rows[[#This Row],[Discount %]]&lt;=10,"Low Discount","High Discount"))</f>
        <v>Low Discount</v>
      </c>
      <c r="N1531" t="str">
        <f t="shared" si="23"/>
        <v>0-10%</v>
      </c>
    </row>
    <row r="1532" spans="1:14">
      <c r="A1532" s="1">
        <v>45887</v>
      </c>
      <c r="B1532" t="s">
        <v>1594</v>
      </c>
      <c r="C1532" t="s">
        <v>33</v>
      </c>
      <c r="D1532" t="s">
        <v>34</v>
      </c>
      <c r="E1532">
        <v>3330.42</v>
      </c>
      <c r="F1532" t="s">
        <v>13</v>
      </c>
      <c r="G1532">
        <v>4839.79</v>
      </c>
      <c r="H1532">
        <v>1509.37</v>
      </c>
      <c r="I1532">
        <v>15</v>
      </c>
      <c r="J1532">
        <v>2</v>
      </c>
      <c r="K1532" t="str">
        <f>TEXT(discount_impact_on_profit_2000_rows[[#This Row],[order date]],"mmmm")</f>
        <v>August</v>
      </c>
      <c r="L1532">
        <f>YEAR(discount_impact_on_profit_2000_rows[[#This Row],[order date]])</f>
        <v>2025</v>
      </c>
      <c r="M1532" t="str">
        <f>IF(discount_impact_on_profit_2000_rows[[#This Row],[Discount %]]=0,"Zero Discount",IF(discount_impact_on_profit_2000_rows[[#This Row],[Discount %]]&lt;=10,"Low Discount","High Discount"))</f>
        <v>High Discount</v>
      </c>
      <c r="N1532" t="str">
        <f t="shared" si="23"/>
        <v>10-20%</v>
      </c>
    </row>
    <row r="1533" spans="1:14">
      <c r="A1533" s="1">
        <v>45779</v>
      </c>
      <c r="B1533" t="s">
        <v>1595</v>
      </c>
      <c r="C1533" t="s">
        <v>21</v>
      </c>
      <c r="D1533" t="s">
        <v>109</v>
      </c>
      <c r="E1533">
        <v>939.56</v>
      </c>
      <c r="F1533" t="s">
        <v>13</v>
      </c>
      <c r="G1533">
        <v>949.11</v>
      </c>
      <c r="H1533">
        <v>9.5500000000000007</v>
      </c>
      <c r="I1533">
        <v>15</v>
      </c>
      <c r="J1533">
        <v>1</v>
      </c>
      <c r="K1533" t="str">
        <f>TEXT(discount_impact_on_profit_2000_rows[[#This Row],[order date]],"mmmm")</f>
        <v>May</v>
      </c>
      <c r="L1533">
        <f>YEAR(discount_impact_on_profit_2000_rows[[#This Row],[order date]])</f>
        <v>2025</v>
      </c>
      <c r="M1533" t="str">
        <f>IF(discount_impact_on_profit_2000_rows[[#This Row],[Discount %]]=0,"Zero Discount",IF(discount_impact_on_profit_2000_rows[[#This Row],[Discount %]]&lt;=10,"Low Discount","High Discount"))</f>
        <v>High Discount</v>
      </c>
      <c r="N1533" t="str">
        <f t="shared" si="23"/>
        <v>10-20%</v>
      </c>
    </row>
    <row r="1534" spans="1:14">
      <c r="A1534" s="1">
        <v>45323</v>
      </c>
      <c r="B1534" t="s">
        <v>1596</v>
      </c>
      <c r="C1534" t="s">
        <v>18</v>
      </c>
      <c r="D1534" t="s">
        <v>140</v>
      </c>
      <c r="E1534">
        <v>44.81</v>
      </c>
      <c r="F1534" t="s">
        <v>31</v>
      </c>
      <c r="G1534">
        <v>85.98</v>
      </c>
      <c r="H1534">
        <v>41.17</v>
      </c>
      <c r="I1534">
        <v>10</v>
      </c>
      <c r="J1534">
        <v>1</v>
      </c>
      <c r="K1534" t="str">
        <f>TEXT(discount_impact_on_profit_2000_rows[[#This Row],[order date]],"mmmm")</f>
        <v>February</v>
      </c>
      <c r="L1534">
        <f>YEAR(discount_impact_on_profit_2000_rows[[#This Row],[order date]])</f>
        <v>2024</v>
      </c>
      <c r="M1534" t="str">
        <f>IF(discount_impact_on_profit_2000_rows[[#This Row],[Discount %]]=0,"Zero Discount",IF(discount_impact_on_profit_2000_rows[[#This Row],[Discount %]]&lt;=10,"Low Discount","High Discount"))</f>
        <v>Low Discount</v>
      </c>
      <c r="N1534" t="str">
        <f t="shared" si="23"/>
        <v>0-10%</v>
      </c>
    </row>
    <row r="1535" spans="1:14">
      <c r="A1535" s="1">
        <v>45258</v>
      </c>
      <c r="B1535" t="s">
        <v>1597</v>
      </c>
      <c r="C1535" t="s">
        <v>21</v>
      </c>
      <c r="D1535" t="s">
        <v>109</v>
      </c>
      <c r="E1535">
        <v>80806</v>
      </c>
      <c r="F1535" t="s">
        <v>31</v>
      </c>
      <c r="G1535">
        <v>82273.179999999993</v>
      </c>
      <c r="H1535">
        <v>1467.18</v>
      </c>
      <c r="I1535">
        <v>20</v>
      </c>
      <c r="J1535">
        <v>6</v>
      </c>
      <c r="K1535" t="str">
        <f>TEXT(discount_impact_on_profit_2000_rows[[#This Row],[order date]],"mmmm")</f>
        <v>November</v>
      </c>
      <c r="L1535">
        <f>YEAR(discount_impact_on_profit_2000_rows[[#This Row],[order date]])</f>
        <v>2023</v>
      </c>
      <c r="M1535" t="str">
        <f>IF(discount_impact_on_profit_2000_rows[[#This Row],[Discount %]]=0,"Zero Discount",IF(discount_impact_on_profit_2000_rows[[#This Row],[Discount %]]&lt;=10,"Low Discount","High Discount"))</f>
        <v>High Discount</v>
      </c>
      <c r="N1535" t="str">
        <f t="shared" si="23"/>
        <v>10-20%</v>
      </c>
    </row>
    <row r="1536" spans="1:14">
      <c r="A1536" s="1">
        <v>45590</v>
      </c>
      <c r="B1536" t="s">
        <v>1598</v>
      </c>
      <c r="C1536" t="s">
        <v>18</v>
      </c>
      <c r="D1536" t="s">
        <v>104</v>
      </c>
      <c r="E1536">
        <v>272.88</v>
      </c>
      <c r="F1536" t="s">
        <v>26</v>
      </c>
      <c r="G1536">
        <v>315.33999999999997</v>
      </c>
      <c r="H1536">
        <v>42.46</v>
      </c>
      <c r="I1536">
        <v>25</v>
      </c>
      <c r="J1536">
        <v>2</v>
      </c>
      <c r="K1536" t="str">
        <f>TEXT(discount_impact_on_profit_2000_rows[[#This Row],[order date]],"mmmm")</f>
        <v>October</v>
      </c>
      <c r="L1536">
        <f>YEAR(discount_impact_on_profit_2000_rows[[#This Row],[order date]])</f>
        <v>2024</v>
      </c>
      <c r="M1536" t="str">
        <f>IF(discount_impact_on_profit_2000_rows[[#This Row],[Discount %]]=0,"Zero Discount",IF(discount_impact_on_profit_2000_rows[[#This Row],[Discount %]]&lt;=10,"Low Discount","High Discount"))</f>
        <v>High Discount</v>
      </c>
      <c r="N1536" t="str">
        <f t="shared" si="23"/>
        <v>20-30%</v>
      </c>
    </row>
    <row r="1537" spans="1:14">
      <c r="A1537" s="1">
        <v>45996</v>
      </c>
      <c r="B1537" t="s">
        <v>1599</v>
      </c>
      <c r="C1537" t="s">
        <v>18</v>
      </c>
      <c r="D1537" t="s">
        <v>50</v>
      </c>
      <c r="E1537">
        <v>52.69</v>
      </c>
      <c r="F1537" t="s">
        <v>13</v>
      </c>
      <c r="G1537">
        <v>70.62</v>
      </c>
      <c r="H1537">
        <v>17.93</v>
      </c>
      <c r="I1537">
        <v>15</v>
      </c>
      <c r="J1537">
        <v>1</v>
      </c>
      <c r="K1537" t="str">
        <f>TEXT(discount_impact_on_profit_2000_rows[[#This Row],[order date]],"mmmm")</f>
        <v>December</v>
      </c>
      <c r="L1537">
        <f>YEAR(discount_impact_on_profit_2000_rows[[#This Row],[order date]])</f>
        <v>2025</v>
      </c>
      <c r="M1537" t="str">
        <f>IF(discount_impact_on_profit_2000_rows[[#This Row],[Discount %]]=0,"Zero Discount",IF(discount_impact_on_profit_2000_rows[[#This Row],[Discount %]]&lt;=10,"Low Discount","High Discount"))</f>
        <v>High Discount</v>
      </c>
      <c r="N1537" t="str">
        <f t="shared" si="23"/>
        <v>10-20%</v>
      </c>
    </row>
    <row r="1538" spans="1:14">
      <c r="A1538" s="1">
        <v>45756</v>
      </c>
      <c r="B1538" t="s">
        <v>1600</v>
      </c>
      <c r="C1538" t="s">
        <v>33</v>
      </c>
      <c r="D1538" t="s">
        <v>273</v>
      </c>
      <c r="E1538">
        <v>40130.83</v>
      </c>
      <c r="F1538" t="s">
        <v>23</v>
      </c>
      <c r="G1538">
        <v>49916.22</v>
      </c>
      <c r="H1538">
        <v>9785.39</v>
      </c>
      <c r="I1538">
        <v>5</v>
      </c>
      <c r="J1538">
        <v>4</v>
      </c>
      <c r="K1538" t="str">
        <f>TEXT(discount_impact_on_profit_2000_rows[[#This Row],[order date]],"mmmm")</f>
        <v>April</v>
      </c>
      <c r="L1538">
        <f>YEAR(discount_impact_on_profit_2000_rows[[#This Row],[order date]])</f>
        <v>2025</v>
      </c>
      <c r="M1538" t="str">
        <f>IF(discount_impact_on_profit_2000_rows[[#This Row],[Discount %]]=0,"Zero Discount",IF(discount_impact_on_profit_2000_rows[[#This Row],[Discount %]]&lt;=10,"Low Discount","High Discount"))</f>
        <v>Low Discount</v>
      </c>
      <c r="N1538" t="str">
        <f t="shared" ref="N1538:N1601" si="24">IF(I1538&lt;=10,"0-10%",IF(I1538&lt;=20,"10-20%",IF(I1538&lt;=30,"20-30%","30%+")))</f>
        <v>0-10%</v>
      </c>
    </row>
    <row r="1539" spans="1:14">
      <c r="A1539" s="1">
        <v>45199</v>
      </c>
      <c r="B1539" t="s">
        <v>1601</v>
      </c>
      <c r="C1539" t="s">
        <v>53</v>
      </c>
      <c r="D1539" t="s">
        <v>113</v>
      </c>
      <c r="E1539">
        <v>1046.28</v>
      </c>
      <c r="F1539" t="s">
        <v>26</v>
      </c>
      <c r="G1539">
        <v>1490.86</v>
      </c>
      <c r="H1539">
        <v>444.58</v>
      </c>
      <c r="I1539">
        <v>10</v>
      </c>
      <c r="J1539">
        <v>2</v>
      </c>
      <c r="K1539" t="str">
        <f>TEXT(discount_impact_on_profit_2000_rows[[#This Row],[order date]],"mmmm")</f>
        <v>September</v>
      </c>
      <c r="L1539">
        <f>YEAR(discount_impact_on_profit_2000_rows[[#This Row],[order date]])</f>
        <v>2023</v>
      </c>
      <c r="M1539" t="str">
        <f>IF(discount_impact_on_profit_2000_rows[[#This Row],[Discount %]]=0,"Zero Discount",IF(discount_impact_on_profit_2000_rows[[#This Row],[Discount %]]&lt;=10,"Low Discount","High Discount"))</f>
        <v>Low Discount</v>
      </c>
      <c r="N1539" t="str">
        <f t="shared" si="24"/>
        <v>0-10%</v>
      </c>
    </row>
    <row r="1540" spans="1:14">
      <c r="A1540" s="1">
        <v>46003</v>
      </c>
      <c r="B1540" t="s">
        <v>1602</v>
      </c>
      <c r="C1540" t="s">
        <v>53</v>
      </c>
      <c r="D1540" t="s">
        <v>152</v>
      </c>
      <c r="E1540">
        <v>2853.54</v>
      </c>
      <c r="F1540" t="s">
        <v>23</v>
      </c>
      <c r="G1540">
        <v>5880.86</v>
      </c>
      <c r="H1540">
        <v>3027.32</v>
      </c>
      <c r="I1540">
        <v>0</v>
      </c>
      <c r="J1540">
        <v>5</v>
      </c>
      <c r="K1540" t="str">
        <f>TEXT(discount_impact_on_profit_2000_rows[[#This Row],[order date]],"mmmm")</f>
        <v>December</v>
      </c>
      <c r="L1540">
        <f>YEAR(discount_impact_on_profit_2000_rows[[#This Row],[order date]])</f>
        <v>2025</v>
      </c>
      <c r="M1540" t="str">
        <f>IF(discount_impact_on_profit_2000_rows[[#This Row],[Discount %]]=0,"Zero Discount",IF(discount_impact_on_profit_2000_rows[[#This Row],[Discount %]]&lt;=10,"Low Discount","High Discount"))</f>
        <v>Zero Discount</v>
      </c>
      <c r="N1540" t="str">
        <f t="shared" si="24"/>
        <v>0-10%</v>
      </c>
    </row>
    <row r="1541" spans="1:14">
      <c r="A1541" s="1">
        <v>44999</v>
      </c>
      <c r="B1541" t="s">
        <v>1603</v>
      </c>
      <c r="C1541" t="s">
        <v>33</v>
      </c>
      <c r="D1541" t="s">
        <v>92</v>
      </c>
      <c r="E1541">
        <v>14878.29</v>
      </c>
      <c r="F1541" t="s">
        <v>13</v>
      </c>
      <c r="G1541">
        <v>19921.71</v>
      </c>
      <c r="H1541">
        <v>5043.42</v>
      </c>
      <c r="I1541">
        <v>0</v>
      </c>
      <c r="J1541">
        <v>4</v>
      </c>
      <c r="K1541" t="str">
        <f>TEXT(discount_impact_on_profit_2000_rows[[#This Row],[order date]],"mmmm")</f>
        <v>March</v>
      </c>
      <c r="L1541">
        <f>YEAR(discount_impact_on_profit_2000_rows[[#This Row],[order date]])</f>
        <v>2023</v>
      </c>
      <c r="M1541" t="str">
        <f>IF(discount_impact_on_profit_2000_rows[[#This Row],[Discount %]]=0,"Zero Discount",IF(discount_impact_on_profit_2000_rows[[#This Row],[Discount %]]&lt;=10,"Low Discount","High Discount"))</f>
        <v>Zero Discount</v>
      </c>
      <c r="N1541" t="str">
        <f t="shared" si="24"/>
        <v>0-10%</v>
      </c>
    </row>
    <row r="1542" spans="1:14">
      <c r="A1542" s="1">
        <v>45939</v>
      </c>
      <c r="B1542" t="s">
        <v>1604</v>
      </c>
      <c r="C1542" t="s">
        <v>21</v>
      </c>
      <c r="D1542" t="s">
        <v>97</v>
      </c>
      <c r="E1542">
        <v>7060.26</v>
      </c>
      <c r="F1542" t="s">
        <v>26</v>
      </c>
      <c r="G1542">
        <v>7107.26</v>
      </c>
      <c r="H1542">
        <v>47</v>
      </c>
      <c r="I1542">
        <v>15</v>
      </c>
      <c r="J1542">
        <v>3</v>
      </c>
      <c r="K1542" t="str">
        <f>TEXT(discount_impact_on_profit_2000_rows[[#This Row],[order date]],"mmmm")</f>
        <v>October</v>
      </c>
      <c r="L1542">
        <f>YEAR(discount_impact_on_profit_2000_rows[[#This Row],[order date]])</f>
        <v>2025</v>
      </c>
      <c r="M1542" t="str">
        <f>IF(discount_impact_on_profit_2000_rows[[#This Row],[Discount %]]=0,"Zero Discount",IF(discount_impact_on_profit_2000_rows[[#This Row],[Discount %]]&lt;=10,"Low Discount","High Discount"))</f>
        <v>High Discount</v>
      </c>
      <c r="N1542" t="str">
        <f t="shared" si="24"/>
        <v>10-20%</v>
      </c>
    </row>
    <row r="1543" spans="1:14">
      <c r="A1543" s="1">
        <v>46002</v>
      </c>
      <c r="B1543" t="s">
        <v>1605</v>
      </c>
      <c r="C1543" t="s">
        <v>11</v>
      </c>
      <c r="D1543" t="s">
        <v>12</v>
      </c>
      <c r="E1543">
        <v>1551</v>
      </c>
      <c r="F1543" t="s">
        <v>31</v>
      </c>
      <c r="G1543">
        <v>1835.57</v>
      </c>
      <c r="H1543">
        <v>284.57</v>
      </c>
      <c r="I1543">
        <v>25</v>
      </c>
      <c r="J1543">
        <v>3</v>
      </c>
      <c r="K1543" t="str">
        <f>TEXT(discount_impact_on_profit_2000_rows[[#This Row],[order date]],"mmmm")</f>
        <v>December</v>
      </c>
      <c r="L1543">
        <f>YEAR(discount_impact_on_profit_2000_rows[[#This Row],[order date]])</f>
        <v>2025</v>
      </c>
      <c r="M1543" t="str">
        <f>IF(discount_impact_on_profit_2000_rows[[#This Row],[Discount %]]=0,"Zero Discount",IF(discount_impact_on_profit_2000_rows[[#This Row],[Discount %]]&lt;=10,"Low Discount","High Discount"))</f>
        <v>High Discount</v>
      </c>
      <c r="N1543" t="str">
        <f t="shared" si="24"/>
        <v>20-30%</v>
      </c>
    </row>
    <row r="1544" spans="1:14">
      <c r="A1544" s="1">
        <v>45082</v>
      </c>
      <c r="B1544" t="s">
        <v>1606</v>
      </c>
      <c r="C1544" t="s">
        <v>53</v>
      </c>
      <c r="D1544" t="s">
        <v>54</v>
      </c>
      <c r="E1544">
        <v>5819.17</v>
      </c>
      <c r="F1544" t="s">
        <v>36</v>
      </c>
      <c r="G1544">
        <v>13132.87</v>
      </c>
      <c r="H1544">
        <v>7313.7</v>
      </c>
      <c r="I1544">
        <v>5</v>
      </c>
      <c r="J1544">
        <v>3</v>
      </c>
      <c r="K1544" t="str">
        <f>TEXT(discount_impact_on_profit_2000_rows[[#This Row],[order date]],"mmmm")</f>
        <v>June</v>
      </c>
      <c r="L1544">
        <f>YEAR(discount_impact_on_profit_2000_rows[[#This Row],[order date]])</f>
        <v>2023</v>
      </c>
      <c r="M1544" t="str">
        <f>IF(discount_impact_on_profit_2000_rows[[#This Row],[Discount %]]=0,"Zero Discount",IF(discount_impact_on_profit_2000_rows[[#This Row],[Discount %]]&lt;=10,"Low Discount","High Discount"))</f>
        <v>Low Discount</v>
      </c>
      <c r="N1544" t="str">
        <f t="shared" si="24"/>
        <v>0-10%</v>
      </c>
    </row>
    <row r="1545" spans="1:14">
      <c r="A1545" s="1">
        <v>44989</v>
      </c>
      <c r="B1545" t="s">
        <v>1607</v>
      </c>
      <c r="C1545" t="s">
        <v>33</v>
      </c>
      <c r="D1545" t="s">
        <v>44</v>
      </c>
      <c r="E1545">
        <v>15412.82</v>
      </c>
      <c r="F1545" t="s">
        <v>36</v>
      </c>
      <c r="G1545">
        <v>20521.400000000001</v>
      </c>
      <c r="H1545">
        <v>5108.58</v>
      </c>
      <c r="I1545">
        <v>5</v>
      </c>
      <c r="J1545">
        <v>3</v>
      </c>
      <c r="K1545" t="str">
        <f>TEXT(discount_impact_on_profit_2000_rows[[#This Row],[order date]],"mmmm")</f>
        <v>March</v>
      </c>
      <c r="L1545">
        <f>YEAR(discount_impact_on_profit_2000_rows[[#This Row],[order date]])</f>
        <v>2023</v>
      </c>
      <c r="M1545" t="str">
        <f>IF(discount_impact_on_profit_2000_rows[[#This Row],[Discount %]]=0,"Zero Discount",IF(discount_impact_on_profit_2000_rows[[#This Row],[Discount %]]&lt;=10,"Low Discount","High Discount"))</f>
        <v>Low Discount</v>
      </c>
      <c r="N1545" t="str">
        <f t="shared" si="24"/>
        <v>0-10%</v>
      </c>
    </row>
    <row r="1546" spans="1:14">
      <c r="A1546" s="1">
        <v>46018</v>
      </c>
      <c r="B1546" t="s">
        <v>1608</v>
      </c>
      <c r="C1546" t="s">
        <v>15</v>
      </c>
      <c r="D1546" t="s">
        <v>40</v>
      </c>
      <c r="E1546">
        <v>3777.64</v>
      </c>
      <c r="F1546" t="s">
        <v>13</v>
      </c>
      <c r="G1546">
        <v>4454.67</v>
      </c>
      <c r="H1546">
        <v>677.03</v>
      </c>
      <c r="I1546">
        <v>10</v>
      </c>
      <c r="J1546">
        <v>3</v>
      </c>
      <c r="K1546" t="str">
        <f>TEXT(discount_impact_on_profit_2000_rows[[#This Row],[order date]],"mmmm")</f>
        <v>December</v>
      </c>
      <c r="L1546">
        <f>YEAR(discount_impact_on_profit_2000_rows[[#This Row],[order date]])</f>
        <v>2025</v>
      </c>
      <c r="M1546" t="str">
        <f>IF(discount_impact_on_profit_2000_rows[[#This Row],[Discount %]]=0,"Zero Discount",IF(discount_impact_on_profit_2000_rows[[#This Row],[Discount %]]&lt;=10,"Low Discount","High Discount"))</f>
        <v>Low Discount</v>
      </c>
      <c r="N1546" t="str">
        <f t="shared" si="24"/>
        <v>0-10%</v>
      </c>
    </row>
    <row r="1547" spans="1:14">
      <c r="A1547" s="1">
        <v>45236</v>
      </c>
      <c r="B1547" t="s">
        <v>1609</v>
      </c>
      <c r="C1547" t="s">
        <v>21</v>
      </c>
      <c r="D1547" t="s">
        <v>123</v>
      </c>
      <c r="E1547">
        <v>5452.86</v>
      </c>
      <c r="F1547" t="s">
        <v>26</v>
      </c>
      <c r="G1547">
        <v>5616.45</v>
      </c>
      <c r="H1547">
        <v>163.59</v>
      </c>
      <c r="I1547">
        <v>18</v>
      </c>
      <c r="J1547">
        <v>2</v>
      </c>
      <c r="K1547" t="str">
        <f>TEXT(discount_impact_on_profit_2000_rows[[#This Row],[order date]],"mmmm")</f>
        <v>November</v>
      </c>
      <c r="L1547">
        <f>YEAR(discount_impact_on_profit_2000_rows[[#This Row],[order date]])</f>
        <v>2023</v>
      </c>
      <c r="M1547" t="str">
        <f>IF(discount_impact_on_profit_2000_rows[[#This Row],[Discount %]]=0,"Zero Discount",IF(discount_impact_on_profit_2000_rows[[#This Row],[Discount %]]&lt;=10,"Low Discount","High Discount"))</f>
        <v>High Discount</v>
      </c>
      <c r="N1547" t="str">
        <f t="shared" si="24"/>
        <v>10-20%</v>
      </c>
    </row>
    <row r="1548" spans="1:14">
      <c r="A1548" s="1">
        <v>45014</v>
      </c>
      <c r="B1548" t="s">
        <v>1610</v>
      </c>
      <c r="C1548" t="s">
        <v>15</v>
      </c>
      <c r="D1548" t="s">
        <v>28</v>
      </c>
      <c r="E1548">
        <v>11581.2</v>
      </c>
      <c r="F1548" t="s">
        <v>26</v>
      </c>
      <c r="G1548">
        <v>15974.74</v>
      </c>
      <c r="H1548">
        <v>4393.54</v>
      </c>
      <c r="I1548">
        <v>15</v>
      </c>
      <c r="J1548">
        <v>4</v>
      </c>
      <c r="K1548" t="str">
        <f>TEXT(discount_impact_on_profit_2000_rows[[#This Row],[order date]],"mmmm")</f>
        <v>March</v>
      </c>
      <c r="L1548">
        <f>YEAR(discount_impact_on_profit_2000_rows[[#This Row],[order date]])</f>
        <v>2023</v>
      </c>
      <c r="M1548" t="str">
        <f>IF(discount_impact_on_profit_2000_rows[[#This Row],[Discount %]]=0,"Zero Discount",IF(discount_impact_on_profit_2000_rows[[#This Row],[Discount %]]&lt;=10,"Low Discount","High Discount"))</f>
        <v>High Discount</v>
      </c>
      <c r="N1548" t="str">
        <f t="shared" si="24"/>
        <v>10-20%</v>
      </c>
    </row>
    <row r="1549" spans="1:14">
      <c r="A1549" s="1">
        <v>45705</v>
      </c>
      <c r="B1549" t="s">
        <v>1611</v>
      </c>
      <c r="C1549" t="s">
        <v>11</v>
      </c>
      <c r="D1549" t="s">
        <v>64</v>
      </c>
      <c r="E1549">
        <v>795.09</v>
      </c>
      <c r="F1549" t="s">
        <v>13</v>
      </c>
      <c r="G1549">
        <v>1375.42</v>
      </c>
      <c r="H1549">
        <v>580.33000000000004</v>
      </c>
      <c r="I1549">
        <v>30</v>
      </c>
      <c r="J1549">
        <v>3</v>
      </c>
      <c r="K1549" t="str">
        <f>TEXT(discount_impact_on_profit_2000_rows[[#This Row],[order date]],"mmmm")</f>
        <v>February</v>
      </c>
      <c r="L1549">
        <f>YEAR(discount_impact_on_profit_2000_rows[[#This Row],[order date]])</f>
        <v>2025</v>
      </c>
      <c r="M1549" t="str">
        <f>IF(discount_impact_on_profit_2000_rows[[#This Row],[Discount %]]=0,"Zero Discount",IF(discount_impact_on_profit_2000_rows[[#This Row],[Discount %]]&lt;=10,"Low Discount","High Discount"))</f>
        <v>High Discount</v>
      </c>
      <c r="N1549" t="str">
        <f t="shared" si="24"/>
        <v>20-30%</v>
      </c>
    </row>
    <row r="1550" spans="1:14">
      <c r="A1550" s="1">
        <v>44979</v>
      </c>
      <c r="B1550" t="s">
        <v>1612</v>
      </c>
      <c r="C1550" t="s">
        <v>11</v>
      </c>
      <c r="D1550" t="s">
        <v>38</v>
      </c>
      <c r="E1550">
        <v>2249.33</v>
      </c>
      <c r="F1550" t="s">
        <v>26</v>
      </c>
      <c r="G1550">
        <v>3882.41</v>
      </c>
      <c r="H1550">
        <v>1633.08</v>
      </c>
      <c r="I1550">
        <v>0</v>
      </c>
      <c r="J1550">
        <v>4</v>
      </c>
      <c r="K1550" t="str">
        <f>TEXT(discount_impact_on_profit_2000_rows[[#This Row],[order date]],"mmmm")</f>
        <v>February</v>
      </c>
      <c r="L1550">
        <f>YEAR(discount_impact_on_profit_2000_rows[[#This Row],[order date]])</f>
        <v>2023</v>
      </c>
      <c r="M1550" t="str">
        <f>IF(discount_impact_on_profit_2000_rows[[#This Row],[Discount %]]=0,"Zero Discount",IF(discount_impact_on_profit_2000_rows[[#This Row],[Discount %]]&lt;=10,"Low Discount","High Discount"))</f>
        <v>Zero Discount</v>
      </c>
      <c r="N1550" t="str">
        <f t="shared" si="24"/>
        <v>0-10%</v>
      </c>
    </row>
    <row r="1551" spans="1:14">
      <c r="A1551" s="1">
        <v>45243</v>
      </c>
      <c r="B1551" t="s">
        <v>1613</v>
      </c>
      <c r="C1551" t="s">
        <v>18</v>
      </c>
      <c r="D1551" t="s">
        <v>188</v>
      </c>
      <c r="E1551">
        <v>729.06</v>
      </c>
      <c r="F1551" t="s">
        <v>36</v>
      </c>
      <c r="G1551">
        <v>1429.02</v>
      </c>
      <c r="H1551">
        <v>699.96</v>
      </c>
      <c r="I1551">
        <v>15</v>
      </c>
      <c r="J1551">
        <v>8</v>
      </c>
      <c r="K1551" t="str">
        <f>TEXT(discount_impact_on_profit_2000_rows[[#This Row],[order date]],"mmmm")</f>
        <v>November</v>
      </c>
      <c r="L1551">
        <f>YEAR(discount_impact_on_profit_2000_rows[[#This Row],[order date]])</f>
        <v>2023</v>
      </c>
      <c r="M1551" t="str">
        <f>IF(discount_impact_on_profit_2000_rows[[#This Row],[Discount %]]=0,"Zero Discount",IF(discount_impact_on_profit_2000_rows[[#This Row],[Discount %]]&lt;=10,"Low Discount","High Discount"))</f>
        <v>High Discount</v>
      </c>
      <c r="N1551" t="str">
        <f t="shared" si="24"/>
        <v>10-20%</v>
      </c>
    </row>
    <row r="1552" spans="1:14">
      <c r="A1552" s="1">
        <v>45779</v>
      </c>
      <c r="B1552" t="s">
        <v>1614</v>
      </c>
      <c r="C1552" t="s">
        <v>18</v>
      </c>
      <c r="D1552" t="s">
        <v>50</v>
      </c>
      <c r="E1552">
        <v>340.81</v>
      </c>
      <c r="F1552" t="s">
        <v>31</v>
      </c>
      <c r="G1552">
        <v>570.53</v>
      </c>
      <c r="H1552">
        <v>229.72</v>
      </c>
      <c r="I1552">
        <v>15</v>
      </c>
      <c r="J1552">
        <v>1</v>
      </c>
      <c r="K1552" t="str">
        <f>TEXT(discount_impact_on_profit_2000_rows[[#This Row],[order date]],"mmmm")</f>
        <v>May</v>
      </c>
      <c r="L1552">
        <f>YEAR(discount_impact_on_profit_2000_rows[[#This Row],[order date]])</f>
        <v>2025</v>
      </c>
      <c r="M1552" t="str">
        <f>IF(discount_impact_on_profit_2000_rows[[#This Row],[Discount %]]=0,"Zero Discount",IF(discount_impact_on_profit_2000_rows[[#This Row],[Discount %]]&lt;=10,"Low Discount","High Discount"))</f>
        <v>High Discount</v>
      </c>
      <c r="N1552" t="str">
        <f t="shared" si="24"/>
        <v>10-20%</v>
      </c>
    </row>
    <row r="1553" spans="1:14">
      <c r="A1553" s="1">
        <v>45557</v>
      </c>
      <c r="B1553" t="s">
        <v>1615</v>
      </c>
      <c r="C1553" t="s">
        <v>33</v>
      </c>
      <c r="D1553" t="s">
        <v>92</v>
      </c>
      <c r="E1553">
        <v>18315.04</v>
      </c>
      <c r="F1553" t="s">
        <v>31</v>
      </c>
      <c r="G1553">
        <v>19758.89</v>
      </c>
      <c r="H1553">
        <v>1443.85</v>
      </c>
      <c r="I1553">
        <v>15</v>
      </c>
      <c r="J1553">
        <v>1</v>
      </c>
      <c r="K1553" t="str">
        <f>TEXT(discount_impact_on_profit_2000_rows[[#This Row],[order date]],"mmmm")</f>
        <v>September</v>
      </c>
      <c r="L1553">
        <f>YEAR(discount_impact_on_profit_2000_rows[[#This Row],[order date]])</f>
        <v>2024</v>
      </c>
      <c r="M1553" t="str">
        <f>IF(discount_impact_on_profit_2000_rows[[#This Row],[Discount %]]=0,"Zero Discount",IF(discount_impact_on_profit_2000_rows[[#This Row],[Discount %]]&lt;=10,"Low Discount","High Discount"))</f>
        <v>High Discount</v>
      </c>
      <c r="N1553" t="str">
        <f t="shared" si="24"/>
        <v>10-20%</v>
      </c>
    </row>
    <row r="1554" spans="1:14">
      <c r="A1554" s="1">
        <v>45238</v>
      </c>
      <c r="B1554" t="s">
        <v>1616</v>
      </c>
      <c r="C1554" t="s">
        <v>21</v>
      </c>
      <c r="D1554" t="s">
        <v>22</v>
      </c>
      <c r="E1554">
        <v>7911.7</v>
      </c>
      <c r="F1554" t="s">
        <v>36</v>
      </c>
      <c r="G1554">
        <v>9347.7900000000009</v>
      </c>
      <c r="H1554">
        <v>1436.09</v>
      </c>
      <c r="I1554">
        <v>0</v>
      </c>
      <c r="J1554">
        <v>2</v>
      </c>
      <c r="K1554" t="str">
        <f>TEXT(discount_impact_on_profit_2000_rows[[#This Row],[order date]],"mmmm")</f>
        <v>November</v>
      </c>
      <c r="L1554">
        <f>YEAR(discount_impact_on_profit_2000_rows[[#This Row],[order date]])</f>
        <v>2023</v>
      </c>
      <c r="M1554" t="str">
        <f>IF(discount_impact_on_profit_2000_rows[[#This Row],[Discount %]]=0,"Zero Discount",IF(discount_impact_on_profit_2000_rows[[#This Row],[Discount %]]&lt;=10,"Low Discount","High Discount"))</f>
        <v>Zero Discount</v>
      </c>
      <c r="N1554" t="str">
        <f t="shared" si="24"/>
        <v>0-10%</v>
      </c>
    </row>
    <row r="1555" spans="1:14">
      <c r="A1555" s="1">
        <v>45317</v>
      </c>
      <c r="B1555" t="s">
        <v>1617</v>
      </c>
      <c r="C1555" t="s">
        <v>18</v>
      </c>
      <c r="D1555" t="s">
        <v>188</v>
      </c>
      <c r="E1555">
        <v>87.42</v>
      </c>
      <c r="F1555" t="s">
        <v>36</v>
      </c>
      <c r="G1555">
        <v>176.23</v>
      </c>
      <c r="H1555">
        <v>88.81</v>
      </c>
      <c r="I1555">
        <v>15</v>
      </c>
      <c r="J1555">
        <v>1</v>
      </c>
      <c r="K1555" t="str">
        <f>TEXT(discount_impact_on_profit_2000_rows[[#This Row],[order date]],"mmmm")</f>
        <v>January</v>
      </c>
      <c r="L1555">
        <f>YEAR(discount_impact_on_profit_2000_rows[[#This Row],[order date]])</f>
        <v>2024</v>
      </c>
      <c r="M1555" t="str">
        <f>IF(discount_impact_on_profit_2000_rows[[#This Row],[Discount %]]=0,"Zero Discount",IF(discount_impact_on_profit_2000_rows[[#This Row],[Discount %]]&lt;=10,"Low Discount","High Discount"))</f>
        <v>High Discount</v>
      </c>
      <c r="N1555" t="str">
        <f t="shared" si="24"/>
        <v>10-20%</v>
      </c>
    </row>
    <row r="1556" spans="1:14">
      <c r="A1556" s="1">
        <v>45771</v>
      </c>
      <c r="B1556" t="s">
        <v>1618</v>
      </c>
      <c r="C1556" t="s">
        <v>18</v>
      </c>
      <c r="D1556" t="s">
        <v>188</v>
      </c>
      <c r="E1556">
        <v>4276.41</v>
      </c>
      <c r="F1556" t="s">
        <v>23</v>
      </c>
      <c r="G1556">
        <v>4466.13</v>
      </c>
      <c r="H1556">
        <v>189.72</v>
      </c>
      <c r="I1556">
        <v>30</v>
      </c>
      <c r="J1556">
        <v>6</v>
      </c>
      <c r="K1556" t="str">
        <f>TEXT(discount_impact_on_profit_2000_rows[[#This Row],[order date]],"mmmm")</f>
        <v>April</v>
      </c>
      <c r="L1556">
        <f>YEAR(discount_impact_on_profit_2000_rows[[#This Row],[order date]])</f>
        <v>2025</v>
      </c>
      <c r="M1556" t="str">
        <f>IF(discount_impact_on_profit_2000_rows[[#This Row],[Discount %]]=0,"Zero Discount",IF(discount_impact_on_profit_2000_rows[[#This Row],[Discount %]]&lt;=10,"Low Discount","High Discount"))</f>
        <v>High Discount</v>
      </c>
      <c r="N1556" t="str">
        <f t="shared" si="24"/>
        <v>20-30%</v>
      </c>
    </row>
    <row r="1557" spans="1:14">
      <c r="A1557" s="1">
        <v>46005</v>
      </c>
      <c r="B1557" t="s">
        <v>1619</v>
      </c>
      <c r="C1557" t="s">
        <v>21</v>
      </c>
      <c r="D1557" t="s">
        <v>82</v>
      </c>
      <c r="E1557">
        <v>30419.15</v>
      </c>
      <c r="F1557" t="s">
        <v>23</v>
      </c>
      <c r="G1557">
        <v>30458.07</v>
      </c>
      <c r="H1557">
        <v>38.92</v>
      </c>
      <c r="I1557">
        <v>26</v>
      </c>
      <c r="J1557">
        <v>3</v>
      </c>
      <c r="K1557" t="str">
        <f>TEXT(discount_impact_on_profit_2000_rows[[#This Row],[order date]],"mmmm")</f>
        <v>December</v>
      </c>
      <c r="L1557">
        <f>YEAR(discount_impact_on_profit_2000_rows[[#This Row],[order date]])</f>
        <v>2025</v>
      </c>
      <c r="M1557" t="str">
        <f>IF(discount_impact_on_profit_2000_rows[[#This Row],[Discount %]]=0,"Zero Discount",IF(discount_impact_on_profit_2000_rows[[#This Row],[Discount %]]&lt;=10,"Low Discount","High Discount"))</f>
        <v>High Discount</v>
      </c>
      <c r="N1557" t="str">
        <f t="shared" si="24"/>
        <v>20-30%</v>
      </c>
    </row>
    <row r="1558" spans="1:14">
      <c r="A1558" s="1">
        <v>45754</v>
      </c>
      <c r="B1558" t="s">
        <v>1620</v>
      </c>
      <c r="C1558" t="s">
        <v>11</v>
      </c>
      <c r="D1558" t="s">
        <v>25</v>
      </c>
      <c r="E1558">
        <v>9118.5499999999993</v>
      </c>
      <c r="F1558" t="s">
        <v>26</v>
      </c>
      <c r="G1558">
        <v>12941.66</v>
      </c>
      <c r="H1558">
        <v>3823.11</v>
      </c>
      <c r="I1558">
        <v>15</v>
      </c>
      <c r="J1558">
        <v>4</v>
      </c>
      <c r="K1558" t="str">
        <f>TEXT(discount_impact_on_profit_2000_rows[[#This Row],[order date]],"mmmm")</f>
        <v>April</v>
      </c>
      <c r="L1558">
        <f>YEAR(discount_impact_on_profit_2000_rows[[#This Row],[order date]])</f>
        <v>2025</v>
      </c>
      <c r="M1558" t="str">
        <f>IF(discount_impact_on_profit_2000_rows[[#This Row],[Discount %]]=0,"Zero Discount",IF(discount_impact_on_profit_2000_rows[[#This Row],[Discount %]]&lt;=10,"Low Discount","High Discount"))</f>
        <v>High Discount</v>
      </c>
      <c r="N1558" t="str">
        <f t="shared" si="24"/>
        <v>10-20%</v>
      </c>
    </row>
    <row r="1559" spans="1:14">
      <c r="A1559" s="1">
        <v>45056</v>
      </c>
      <c r="B1559" t="s">
        <v>1621</v>
      </c>
      <c r="C1559" t="s">
        <v>11</v>
      </c>
      <c r="D1559" t="s">
        <v>25</v>
      </c>
      <c r="E1559">
        <v>1027.17</v>
      </c>
      <c r="F1559" t="s">
        <v>31</v>
      </c>
      <c r="G1559">
        <v>1722.14</v>
      </c>
      <c r="H1559">
        <v>694.97</v>
      </c>
      <c r="I1559">
        <v>5</v>
      </c>
      <c r="J1559">
        <v>5</v>
      </c>
      <c r="K1559" t="str">
        <f>TEXT(discount_impact_on_profit_2000_rows[[#This Row],[order date]],"mmmm")</f>
        <v>May</v>
      </c>
      <c r="L1559">
        <f>YEAR(discount_impact_on_profit_2000_rows[[#This Row],[order date]])</f>
        <v>2023</v>
      </c>
      <c r="M1559" t="str">
        <f>IF(discount_impact_on_profit_2000_rows[[#This Row],[Discount %]]=0,"Zero Discount",IF(discount_impact_on_profit_2000_rows[[#This Row],[Discount %]]&lt;=10,"Low Discount","High Discount"))</f>
        <v>Low Discount</v>
      </c>
      <c r="N1559" t="str">
        <f t="shared" si="24"/>
        <v>0-10%</v>
      </c>
    </row>
    <row r="1560" spans="1:14">
      <c r="A1560" s="1">
        <v>45607</v>
      </c>
      <c r="B1560" t="s">
        <v>1622</v>
      </c>
      <c r="C1560" t="s">
        <v>18</v>
      </c>
      <c r="D1560" t="s">
        <v>88</v>
      </c>
      <c r="E1560">
        <v>3955.48</v>
      </c>
      <c r="F1560" t="s">
        <v>23</v>
      </c>
      <c r="G1560">
        <v>5964.45</v>
      </c>
      <c r="H1560">
        <v>2008.97</v>
      </c>
      <c r="I1560">
        <v>5</v>
      </c>
      <c r="J1560">
        <v>6</v>
      </c>
      <c r="K1560" t="str">
        <f>TEXT(discount_impact_on_profit_2000_rows[[#This Row],[order date]],"mmmm")</f>
        <v>November</v>
      </c>
      <c r="L1560">
        <f>YEAR(discount_impact_on_profit_2000_rows[[#This Row],[order date]])</f>
        <v>2024</v>
      </c>
      <c r="M1560" t="str">
        <f>IF(discount_impact_on_profit_2000_rows[[#This Row],[Discount %]]=0,"Zero Discount",IF(discount_impact_on_profit_2000_rows[[#This Row],[Discount %]]&lt;=10,"Low Discount","High Discount"))</f>
        <v>Low Discount</v>
      </c>
      <c r="N1560" t="str">
        <f t="shared" si="24"/>
        <v>0-10%</v>
      </c>
    </row>
    <row r="1561" spans="1:14">
      <c r="A1561" s="1">
        <v>45373</v>
      </c>
      <c r="B1561" t="s">
        <v>1623</v>
      </c>
      <c r="C1561" t="s">
        <v>15</v>
      </c>
      <c r="D1561" t="s">
        <v>99</v>
      </c>
      <c r="E1561">
        <v>5382.81</v>
      </c>
      <c r="F1561" t="s">
        <v>31</v>
      </c>
      <c r="G1561">
        <v>5509.06</v>
      </c>
      <c r="H1561">
        <v>126.25</v>
      </c>
      <c r="I1561">
        <v>20</v>
      </c>
      <c r="J1561">
        <v>3</v>
      </c>
      <c r="K1561" t="str">
        <f>TEXT(discount_impact_on_profit_2000_rows[[#This Row],[order date]],"mmmm")</f>
        <v>March</v>
      </c>
      <c r="L1561">
        <f>YEAR(discount_impact_on_profit_2000_rows[[#This Row],[order date]])</f>
        <v>2024</v>
      </c>
      <c r="M1561" t="str">
        <f>IF(discount_impact_on_profit_2000_rows[[#This Row],[Discount %]]=0,"Zero Discount",IF(discount_impact_on_profit_2000_rows[[#This Row],[Discount %]]&lt;=10,"Low Discount","High Discount"))</f>
        <v>High Discount</v>
      </c>
      <c r="N1561" t="str">
        <f t="shared" si="24"/>
        <v>10-20%</v>
      </c>
    </row>
    <row r="1562" spans="1:14">
      <c r="A1562" s="1">
        <v>45769</v>
      </c>
      <c r="B1562" t="s">
        <v>1624</v>
      </c>
      <c r="C1562" t="s">
        <v>53</v>
      </c>
      <c r="D1562" t="s">
        <v>70</v>
      </c>
      <c r="E1562">
        <v>4603.26</v>
      </c>
      <c r="F1562" t="s">
        <v>26</v>
      </c>
      <c r="G1562">
        <v>10069.41</v>
      </c>
      <c r="H1562">
        <v>5466.15</v>
      </c>
      <c r="I1562">
        <v>5</v>
      </c>
      <c r="J1562">
        <v>5</v>
      </c>
      <c r="K1562" t="str">
        <f>TEXT(discount_impact_on_profit_2000_rows[[#This Row],[order date]],"mmmm")</f>
        <v>April</v>
      </c>
      <c r="L1562">
        <f>YEAR(discount_impact_on_profit_2000_rows[[#This Row],[order date]])</f>
        <v>2025</v>
      </c>
      <c r="M1562" t="str">
        <f>IF(discount_impact_on_profit_2000_rows[[#This Row],[Discount %]]=0,"Zero Discount",IF(discount_impact_on_profit_2000_rows[[#This Row],[Discount %]]&lt;=10,"Low Discount","High Discount"))</f>
        <v>Low Discount</v>
      </c>
      <c r="N1562" t="str">
        <f t="shared" si="24"/>
        <v>0-10%</v>
      </c>
    </row>
    <row r="1563" spans="1:14">
      <c r="A1563" s="1">
        <v>45445</v>
      </c>
      <c r="B1563" t="s">
        <v>1625</v>
      </c>
      <c r="C1563" t="s">
        <v>53</v>
      </c>
      <c r="D1563" t="s">
        <v>54</v>
      </c>
      <c r="E1563">
        <v>632.5</v>
      </c>
      <c r="F1563" t="s">
        <v>31</v>
      </c>
      <c r="G1563">
        <v>1157.3599999999999</v>
      </c>
      <c r="H1563">
        <v>524.86</v>
      </c>
      <c r="I1563">
        <v>10</v>
      </c>
      <c r="J1563">
        <v>1</v>
      </c>
      <c r="K1563" t="str">
        <f>TEXT(discount_impact_on_profit_2000_rows[[#This Row],[order date]],"mmmm")</f>
        <v>June</v>
      </c>
      <c r="L1563">
        <f>YEAR(discount_impact_on_profit_2000_rows[[#This Row],[order date]])</f>
        <v>2024</v>
      </c>
      <c r="M1563" t="str">
        <f>IF(discount_impact_on_profit_2000_rows[[#This Row],[Discount %]]=0,"Zero Discount",IF(discount_impact_on_profit_2000_rows[[#This Row],[Discount %]]&lt;=10,"Low Discount","High Discount"))</f>
        <v>Low Discount</v>
      </c>
      <c r="N1563" t="str">
        <f t="shared" si="24"/>
        <v>0-10%</v>
      </c>
    </row>
    <row r="1564" spans="1:14">
      <c r="A1564" s="1">
        <v>45553</v>
      </c>
      <c r="B1564" t="s">
        <v>1626</v>
      </c>
      <c r="C1564" t="s">
        <v>21</v>
      </c>
      <c r="D1564" t="s">
        <v>57</v>
      </c>
      <c r="E1564">
        <v>8602.83</v>
      </c>
      <c r="F1564" t="s">
        <v>36</v>
      </c>
      <c r="G1564">
        <v>8860.91</v>
      </c>
      <c r="H1564">
        <v>258.08</v>
      </c>
      <c r="I1564">
        <v>22</v>
      </c>
      <c r="J1564">
        <v>4</v>
      </c>
      <c r="K1564" t="str">
        <f>TEXT(discount_impact_on_profit_2000_rows[[#This Row],[order date]],"mmmm")</f>
        <v>September</v>
      </c>
      <c r="L1564">
        <f>YEAR(discount_impact_on_profit_2000_rows[[#This Row],[order date]])</f>
        <v>2024</v>
      </c>
      <c r="M1564" t="str">
        <f>IF(discount_impact_on_profit_2000_rows[[#This Row],[Discount %]]=0,"Zero Discount",IF(discount_impact_on_profit_2000_rows[[#This Row],[Discount %]]&lt;=10,"Low Discount","High Discount"))</f>
        <v>High Discount</v>
      </c>
      <c r="N1564" t="str">
        <f t="shared" si="24"/>
        <v>20-30%</v>
      </c>
    </row>
    <row r="1565" spans="1:14">
      <c r="A1565" s="1">
        <v>44991</v>
      </c>
      <c r="B1565" t="s">
        <v>1627</v>
      </c>
      <c r="C1565" t="s">
        <v>21</v>
      </c>
      <c r="D1565" t="s">
        <v>154</v>
      </c>
      <c r="E1565">
        <v>12062.08</v>
      </c>
      <c r="F1565" t="s">
        <v>13</v>
      </c>
      <c r="G1565">
        <v>12848.3</v>
      </c>
      <c r="H1565">
        <v>786.22</v>
      </c>
      <c r="I1565">
        <v>15</v>
      </c>
      <c r="J1565">
        <v>1</v>
      </c>
      <c r="K1565" t="str">
        <f>TEXT(discount_impact_on_profit_2000_rows[[#This Row],[order date]],"mmmm")</f>
        <v>March</v>
      </c>
      <c r="L1565">
        <f>YEAR(discount_impact_on_profit_2000_rows[[#This Row],[order date]])</f>
        <v>2023</v>
      </c>
      <c r="M1565" t="str">
        <f>IF(discount_impact_on_profit_2000_rows[[#This Row],[Discount %]]=0,"Zero Discount",IF(discount_impact_on_profit_2000_rows[[#This Row],[Discount %]]&lt;=10,"Low Discount","High Discount"))</f>
        <v>High Discount</v>
      </c>
      <c r="N1565" t="str">
        <f t="shared" si="24"/>
        <v>10-20%</v>
      </c>
    </row>
    <row r="1566" spans="1:14">
      <c r="A1566" s="1">
        <v>45350</v>
      </c>
      <c r="B1566" t="s">
        <v>1628</v>
      </c>
      <c r="C1566" t="s">
        <v>21</v>
      </c>
      <c r="D1566" t="s">
        <v>109</v>
      </c>
      <c r="E1566">
        <v>11140.06</v>
      </c>
      <c r="F1566" t="s">
        <v>31</v>
      </c>
      <c r="G1566">
        <v>14319.55</v>
      </c>
      <c r="H1566">
        <v>3179.49</v>
      </c>
      <c r="I1566">
        <v>10</v>
      </c>
      <c r="J1566">
        <v>2</v>
      </c>
      <c r="K1566" t="str">
        <f>TEXT(discount_impact_on_profit_2000_rows[[#This Row],[order date]],"mmmm")</f>
        <v>February</v>
      </c>
      <c r="L1566">
        <f>YEAR(discount_impact_on_profit_2000_rows[[#This Row],[order date]])</f>
        <v>2024</v>
      </c>
      <c r="M1566" t="str">
        <f>IF(discount_impact_on_profit_2000_rows[[#This Row],[Discount %]]=0,"Zero Discount",IF(discount_impact_on_profit_2000_rows[[#This Row],[Discount %]]&lt;=10,"Low Discount","High Discount"))</f>
        <v>Low Discount</v>
      </c>
      <c r="N1566" t="str">
        <f t="shared" si="24"/>
        <v>0-10%</v>
      </c>
    </row>
    <row r="1567" spans="1:14">
      <c r="A1567" s="1">
        <v>45602</v>
      </c>
      <c r="B1567" t="s">
        <v>1629</v>
      </c>
      <c r="C1567" t="s">
        <v>53</v>
      </c>
      <c r="D1567" t="s">
        <v>152</v>
      </c>
      <c r="E1567">
        <v>6803.29</v>
      </c>
      <c r="F1567" t="s">
        <v>26</v>
      </c>
      <c r="G1567">
        <v>13873.79</v>
      </c>
      <c r="H1567">
        <v>7070.5</v>
      </c>
      <c r="I1567">
        <v>5</v>
      </c>
      <c r="J1567">
        <v>8</v>
      </c>
      <c r="K1567" t="str">
        <f>TEXT(discount_impact_on_profit_2000_rows[[#This Row],[order date]],"mmmm")</f>
        <v>November</v>
      </c>
      <c r="L1567">
        <f>YEAR(discount_impact_on_profit_2000_rows[[#This Row],[order date]])</f>
        <v>2024</v>
      </c>
      <c r="M1567" t="str">
        <f>IF(discount_impact_on_profit_2000_rows[[#This Row],[Discount %]]=0,"Zero Discount",IF(discount_impact_on_profit_2000_rows[[#This Row],[Discount %]]&lt;=10,"Low Discount","High Discount"))</f>
        <v>Low Discount</v>
      </c>
      <c r="N1567" t="str">
        <f t="shared" si="24"/>
        <v>0-10%</v>
      </c>
    </row>
    <row r="1568" spans="1:14">
      <c r="A1568" s="1">
        <v>45328</v>
      </c>
      <c r="B1568" t="s">
        <v>1630</v>
      </c>
      <c r="C1568" t="s">
        <v>33</v>
      </c>
      <c r="D1568" t="s">
        <v>203</v>
      </c>
      <c r="E1568">
        <v>2946.41</v>
      </c>
      <c r="F1568" t="s">
        <v>31</v>
      </c>
      <c r="G1568">
        <v>4288.16</v>
      </c>
      <c r="H1568">
        <v>1341.75</v>
      </c>
      <c r="I1568">
        <v>10</v>
      </c>
      <c r="J1568">
        <v>1</v>
      </c>
      <c r="K1568" t="str">
        <f>TEXT(discount_impact_on_profit_2000_rows[[#This Row],[order date]],"mmmm")</f>
        <v>February</v>
      </c>
      <c r="L1568">
        <f>YEAR(discount_impact_on_profit_2000_rows[[#This Row],[order date]])</f>
        <v>2024</v>
      </c>
      <c r="M1568" t="str">
        <f>IF(discount_impact_on_profit_2000_rows[[#This Row],[Discount %]]=0,"Zero Discount",IF(discount_impact_on_profit_2000_rows[[#This Row],[Discount %]]&lt;=10,"Low Discount","High Discount"))</f>
        <v>Low Discount</v>
      </c>
      <c r="N1568" t="str">
        <f t="shared" si="24"/>
        <v>0-10%</v>
      </c>
    </row>
    <row r="1569" spans="1:14">
      <c r="A1569" s="1">
        <v>45394</v>
      </c>
      <c r="B1569" t="s">
        <v>1631</v>
      </c>
      <c r="C1569" t="s">
        <v>18</v>
      </c>
      <c r="D1569" t="s">
        <v>42</v>
      </c>
      <c r="E1569">
        <v>568.96</v>
      </c>
      <c r="F1569" t="s">
        <v>26</v>
      </c>
      <c r="G1569">
        <v>950.52</v>
      </c>
      <c r="H1569">
        <v>381.56</v>
      </c>
      <c r="I1569">
        <v>10</v>
      </c>
      <c r="J1569">
        <v>2</v>
      </c>
      <c r="K1569" t="str">
        <f>TEXT(discount_impact_on_profit_2000_rows[[#This Row],[order date]],"mmmm")</f>
        <v>April</v>
      </c>
      <c r="L1569">
        <f>YEAR(discount_impact_on_profit_2000_rows[[#This Row],[order date]])</f>
        <v>2024</v>
      </c>
      <c r="M1569" t="str">
        <f>IF(discount_impact_on_profit_2000_rows[[#This Row],[Discount %]]=0,"Zero Discount",IF(discount_impact_on_profit_2000_rows[[#This Row],[Discount %]]&lt;=10,"Low Discount","High Discount"))</f>
        <v>Low Discount</v>
      </c>
      <c r="N1569" t="str">
        <f t="shared" si="24"/>
        <v>0-10%</v>
      </c>
    </row>
    <row r="1570" spans="1:14">
      <c r="A1570" s="1">
        <v>45610</v>
      </c>
      <c r="B1570" t="s">
        <v>1632</v>
      </c>
      <c r="C1570" t="s">
        <v>53</v>
      </c>
      <c r="D1570" t="s">
        <v>113</v>
      </c>
      <c r="E1570">
        <v>908.33</v>
      </c>
      <c r="F1570" t="s">
        <v>31</v>
      </c>
      <c r="G1570">
        <v>1414.96</v>
      </c>
      <c r="H1570">
        <v>506.63</v>
      </c>
      <c r="I1570">
        <v>0</v>
      </c>
      <c r="J1570">
        <v>1</v>
      </c>
      <c r="K1570" t="str">
        <f>TEXT(discount_impact_on_profit_2000_rows[[#This Row],[order date]],"mmmm")</f>
        <v>November</v>
      </c>
      <c r="L1570">
        <f>YEAR(discount_impact_on_profit_2000_rows[[#This Row],[order date]])</f>
        <v>2024</v>
      </c>
      <c r="M1570" t="str">
        <f>IF(discount_impact_on_profit_2000_rows[[#This Row],[Discount %]]=0,"Zero Discount",IF(discount_impact_on_profit_2000_rows[[#This Row],[Discount %]]&lt;=10,"Low Discount","High Discount"))</f>
        <v>Zero Discount</v>
      </c>
      <c r="N1570" t="str">
        <f t="shared" si="24"/>
        <v>0-10%</v>
      </c>
    </row>
    <row r="1571" spans="1:14">
      <c r="A1571" s="1">
        <v>45151</v>
      </c>
      <c r="B1571" t="s">
        <v>1633</v>
      </c>
      <c r="C1571" t="s">
        <v>18</v>
      </c>
      <c r="D1571" t="s">
        <v>19</v>
      </c>
      <c r="E1571">
        <v>317.92</v>
      </c>
      <c r="F1571" t="s">
        <v>31</v>
      </c>
      <c r="G1571">
        <v>457.6</v>
      </c>
      <c r="H1571">
        <v>139.68</v>
      </c>
      <c r="I1571">
        <v>10</v>
      </c>
      <c r="J1571">
        <v>2</v>
      </c>
      <c r="K1571" t="str">
        <f>TEXT(discount_impact_on_profit_2000_rows[[#This Row],[order date]],"mmmm")</f>
        <v>August</v>
      </c>
      <c r="L1571">
        <f>YEAR(discount_impact_on_profit_2000_rows[[#This Row],[order date]])</f>
        <v>2023</v>
      </c>
      <c r="M1571" t="str">
        <f>IF(discount_impact_on_profit_2000_rows[[#This Row],[Discount %]]=0,"Zero Discount",IF(discount_impact_on_profit_2000_rows[[#This Row],[Discount %]]&lt;=10,"Low Discount","High Discount"))</f>
        <v>Low Discount</v>
      </c>
      <c r="N1571" t="str">
        <f t="shared" si="24"/>
        <v>0-10%</v>
      </c>
    </row>
    <row r="1572" spans="1:14">
      <c r="A1572" s="1">
        <v>45599</v>
      </c>
      <c r="B1572" t="s">
        <v>1634</v>
      </c>
      <c r="C1572" t="s">
        <v>11</v>
      </c>
      <c r="D1572" t="s">
        <v>80</v>
      </c>
      <c r="E1572">
        <v>2630.9</v>
      </c>
      <c r="F1572" t="s">
        <v>13</v>
      </c>
      <c r="G1572">
        <v>3975.48</v>
      </c>
      <c r="H1572">
        <v>1344.58</v>
      </c>
      <c r="I1572">
        <v>20</v>
      </c>
      <c r="J1572">
        <v>1</v>
      </c>
      <c r="K1572" t="str">
        <f>TEXT(discount_impact_on_profit_2000_rows[[#This Row],[order date]],"mmmm")</f>
        <v>November</v>
      </c>
      <c r="L1572">
        <f>YEAR(discount_impact_on_profit_2000_rows[[#This Row],[order date]])</f>
        <v>2024</v>
      </c>
      <c r="M1572" t="str">
        <f>IF(discount_impact_on_profit_2000_rows[[#This Row],[Discount %]]=0,"Zero Discount",IF(discount_impact_on_profit_2000_rows[[#This Row],[Discount %]]&lt;=10,"Low Discount","High Discount"))</f>
        <v>High Discount</v>
      </c>
      <c r="N1572" t="str">
        <f t="shared" si="24"/>
        <v>10-20%</v>
      </c>
    </row>
    <row r="1573" spans="1:14">
      <c r="A1573" s="1">
        <v>45704</v>
      </c>
      <c r="B1573" t="s">
        <v>1635</v>
      </c>
      <c r="C1573" t="s">
        <v>18</v>
      </c>
      <c r="D1573" t="s">
        <v>19</v>
      </c>
      <c r="E1573">
        <v>1006.92</v>
      </c>
      <c r="F1573" t="s">
        <v>23</v>
      </c>
      <c r="G1573">
        <v>1900.23</v>
      </c>
      <c r="H1573">
        <v>893.31</v>
      </c>
      <c r="I1573">
        <v>5</v>
      </c>
      <c r="J1573">
        <v>2</v>
      </c>
      <c r="K1573" t="str">
        <f>TEXT(discount_impact_on_profit_2000_rows[[#This Row],[order date]],"mmmm")</f>
        <v>February</v>
      </c>
      <c r="L1573">
        <f>YEAR(discount_impact_on_profit_2000_rows[[#This Row],[order date]])</f>
        <v>2025</v>
      </c>
      <c r="M1573" t="str">
        <f>IF(discount_impact_on_profit_2000_rows[[#This Row],[Discount %]]=0,"Zero Discount",IF(discount_impact_on_profit_2000_rows[[#This Row],[Discount %]]&lt;=10,"Low Discount","High Discount"))</f>
        <v>Low Discount</v>
      </c>
      <c r="N1573" t="str">
        <f t="shared" si="24"/>
        <v>0-10%</v>
      </c>
    </row>
    <row r="1574" spans="1:14">
      <c r="A1574" s="1">
        <v>44972</v>
      </c>
      <c r="B1574" t="s">
        <v>1636</v>
      </c>
      <c r="C1574" t="s">
        <v>18</v>
      </c>
      <c r="D1574" t="s">
        <v>50</v>
      </c>
      <c r="E1574">
        <v>109.47</v>
      </c>
      <c r="F1574" t="s">
        <v>13</v>
      </c>
      <c r="G1574">
        <v>222.26</v>
      </c>
      <c r="H1574">
        <v>112.79</v>
      </c>
      <c r="I1574">
        <v>10</v>
      </c>
      <c r="J1574">
        <v>2</v>
      </c>
      <c r="K1574" t="str">
        <f>TEXT(discount_impact_on_profit_2000_rows[[#This Row],[order date]],"mmmm")</f>
        <v>February</v>
      </c>
      <c r="L1574">
        <f>YEAR(discount_impact_on_profit_2000_rows[[#This Row],[order date]])</f>
        <v>2023</v>
      </c>
      <c r="M1574" t="str">
        <f>IF(discount_impact_on_profit_2000_rows[[#This Row],[Discount %]]=0,"Zero Discount",IF(discount_impact_on_profit_2000_rows[[#This Row],[Discount %]]&lt;=10,"Low Discount","High Discount"))</f>
        <v>Low Discount</v>
      </c>
      <c r="N1574" t="str">
        <f t="shared" si="24"/>
        <v>0-10%</v>
      </c>
    </row>
    <row r="1575" spans="1:14">
      <c r="A1575" s="1">
        <v>45041</v>
      </c>
      <c r="B1575" t="s">
        <v>1637</v>
      </c>
      <c r="C1575" t="s">
        <v>18</v>
      </c>
      <c r="D1575" t="s">
        <v>188</v>
      </c>
      <c r="E1575">
        <v>2145.85</v>
      </c>
      <c r="F1575" t="s">
        <v>26</v>
      </c>
      <c r="G1575">
        <v>3217.48</v>
      </c>
      <c r="H1575">
        <v>1071.6300000000001</v>
      </c>
      <c r="I1575">
        <v>0</v>
      </c>
      <c r="J1575">
        <v>2</v>
      </c>
      <c r="K1575" t="str">
        <f>TEXT(discount_impact_on_profit_2000_rows[[#This Row],[order date]],"mmmm")</f>
        <v>April</v>
      </c>
      <c r="L1575">
        <f>YEAR(discount_impact_on_profit_2000_rows[[#This Row],[order date]])</f>
        <v>2023</v>
      </c>
      <c r="M1575" t="str">
        <f>IF(discount_impact_on_profit_2000_rows[[#This Row],[Discount %]]=0,"Zero Discount",IF(discount_impact_on_profit_2000_rows[[#This Row],[Discount %]]&lt;=10,"Low Discount","High Discount"))</f>
        <v>Zero Discount</v>
      </c>
      <c r="N1575" t="str">
        <f t="shared" si="24"/>
        <v>0-10%</v>
      </c>
    </row>
    <row r="1576" spans="1:14">
      <c r="A1576" s="1">
        <v>45280</v>
      </c>
      <c r="B1576" t="s">
        <v>1638</v>
      </c>
      <c r="C1576" t="s">
        <v>15</v>
      </c>
      <c r="D1576" t="s">
        <v>16</v>
      </c>
      <c r="E1576">
        <v>15902.04</v>
      </c>
      <c r="F1576" t="s">
        <v>13</v>
      </c>
      <c r="G1576">
        <v>25364.44</v>
      </c>
      <c r="H1576">
        <v>9462.4</v>
      </c>
      <c r="I1576">
        <v>0</v>
      </c>
      <c r="J1576">
        <v>2</v>
      </c>
      <c r="K1576" t="str">
        <f>TEXT(discount_impact_on_profit_2000_rows[[#This Row],[order date]],"mmmm")</f>
        <v>December</v>
      </c>
      <c r="L1576">
        <f>YEAR(discount_impact_on_profit_2000_rows[[#This Row],[order date]])</f>
        <v>2023</v>
      </c>
      <c r="M1576" t="str">
        <f>IF(discount_impact_on_profit_2000_rows[[#This Row],[Discount %]]=0,"Zero Discount",IF(discount_impact_on_profit_2000_rows[[#This Row],[Discount %]]&lt;=10,"Low Discount","High Discount"))</f>
        <v>Zero Discount</v>
      </c>
      <c r="N1576" t="str">
        <f t="shared" si="24"/>
        <v>0-10%</v>
      </c>
    </row>
    <row r="1577" spans="1:14">
      <c r="A1577" s="1">
        <v>45954</v>
      </c>
      <c r="B1577" t="s">
        <v>1639</v>
      </c>
      <c r="C1577" t="s">
        <v>18</v>
      </c>
      <c r="D1577" t="s">
        <v>88</v>
      </c>
      <c r="E1577">
        <v>1486.94</v>
      </c>
      <c r="F1577" t="s">
        <v>36</v>
      </c>
      <c r="G1577">
        <v>2919.44</v>
      </c>
      <c r="H1577">
        <v>1432.5</v>
      </c>
      <c r="I1577">
        <v>10</v>
      </c>
      <c r="J1577">
        <v>4</v>
      </c>
      <c r="K1577" t="str">
        <f>TEXT(discount_impact_on_profit_2000_rows[[#This Row],[order date]],"mmmm")</f>
        <v>October</v>
      </c>
      <c r="L1577">
        <f>YEAR(discount_impact_on_profit_2000_rows[[#This Row],[order date]])</f>
        <v>2025</v>
      </c>
      <c r="M1577" t="str">
        <f>IF(discount_impact_on_profit_2000_rows[[#This Row],[Discount %]]=0,"Zero Discount",IF(discount_impact_on_profit_2000_rows[[#This Row],[Discount %]]&lt;=10,"Low Discount","High Discount"))</f>
        <v>Low Discount</v>
      </c>
      <c r="N1577" t="str">
        <f t="shared" si="24"/>
        <v>0-10%</v>
      </c>
    </row>
    <row r="1578" spans="1:14">
      <c r="A1578" s="1">
        <v>45232</v>
      </c>
      <c r="B1578" t="s">
        <v>1640</v>
      </c>
      <c r="C1578" t="s">
        <v>33</v>
      </c>
      <c r="D1578" t="s">
        <v>197</v>
      </c>
      <c r="E1578">
        <v>9002.15</v>
      </c>
      <c r="F1578" t="s">
        <v>26</v>
      </c>
      <c r="G1578">
        <v>9272.2099999999991</v>
      </c>
      <c r="H1578">
        <v>270.06</v>
      </c>
      <c r="I1578">
        <v>25</v>
      </c>
      <c r="J1578">
        <v>3</v>
      </c>
      <c r="K1578" t="str">
        <f>TEXT(discount_impact_on_profit_2000_rows[[#This Row],[order date]],"mmmm")</f>
        <v>November</v>
      </c>
      <c r="L1578">
        <f>YEAR(discount_impact_on_profit_2000_rows[[#This Row],[order date]])</f>
        <v>2023</v>
      </c>
      <c r="M1578" t="str">
        <f>IF(discount_impact_on_profit_2000_rows[[#This Row],[Discount %]]=0,"Zero Discount",IF(discount_impact_on_profit_2000_rows[[#This Row],[Discount %]]&lt;=10,"Low Discount","High Discount"))</f>
        <v>High Discount</v>
      </c>
      <c r="N1578" t="str">
        <f t="shared" si="24"/>
        <v>20-30%</v>
      </c>
    </row>
    <row r="1579" spans="1:14">
      <c r="A1579" s="1">
        <v>45718</v>
      </c>
      <c r="B1579" t="s">
        <v>1641</v>
      </c>
      <c r="C1579" t="s">
        <v>11</v>
      </c>
      <c r="D1579" t="s">
        <v>12</v>
      </c>
      <c r="E1579">
        <v>9686.3799999999992</v>
      </c>
      <c r="F1579" t="s">
        <v>36</v>
      </c>
      <c r="G1579">
        <v>14689.4</v>
      </c>
      <c r="H1579">
        <v>5003.0200000000004</v>
      </c>
      <c r="I1579">
        <v>20</v>
      </c>
      <c r="J1579">
        <v>4</v>
      </c>
      <c r="K1579" t="str">
        <f>TEXT(discount_impact_on_profit_2000_rows[[#This Row],[order date]],"mmmm")</f>
        <v>March</v>
      </c>
      <c r="L1579">
        <f>YEAR(discount_impact_on_profit_2000_rows[[#This Row],[order date]])</f>
        <v>2025</v>
      </c>
      <c r="M1579" t="str">
        <f>IF(discount_impact_on_profit_2000_rows[[#This Row],[Discount %]]=0,"Zero Discount",IF(discount_impact_on_profit_2000_rows[[#This Row],[Discount %]]&lt;=10,"Low Discount","High Discount"))</f>
        <v>High Discount</v>
      </c>
      <c r="N1579" t="str">
        <f t="shared" si="24"/>
        <v>10-20%</v>
      </c>
    </row>
    <row r="1580" spans="1:14">
      <c r="A1580" s="1">
        <v>45870</v>
      </c>
      <c r="B1580" t="s">
        <v>1642</v>
      </c>
      <c r="C1580" t="s">
        <v>33</v>
      </c>
      <c r="D1580" t="s">
        <v>273</v>
      </c>
      <c r="E1580">
        <v>65372.38</v>
      </c>
      <c r="F1580" t="s">
        <v>36</v>
      </c>
      <c r="G1580">
        <v>104295.12</v>
      </c>
      <c r="H1580">
        <v>38922.74</v>
      </c>
      <c r="I1580">
        <v>0</v>
      </c>
      <c r="J1580">
        <v>8</v>
      </c>
      <c r="K1580" t="str">
        <f>TEXT(discount_impact_on_profit_2000_rows[[#This Row],[order date]],"mmmm")</f>
        <v>August</v>
      </c>
      <c r="L1580">
        <f>YEAR(discount_impact_on_profit_2000_rows[[#This Row],[order date]])</f>
        <v>2025</v>
      </c>
      <c r="M1580" t="str">
        <f>IF(discount_impact_on_profit_2000_rows[[#This Row],[Discount %]]=0,"Zero Discount",IF(discount_impact_on_profit_2000_rows[[#This Row],[Discount %]]&lt;=10,"Low Discount","High Discount"))</f>
        <v>Zero Discount</v>
      </c>
      <c r="N1580" t="str">
        <f t="shared" si="24"/>
        <v>0-10%</v>
      </c>
    </row>
    <row r="1581" spans="1:14">
      <c r="A1581" s="1">
        <v>45679</v>
      </c>
      <c r="B1581" t="s">
        <v>1643</v>
      </c>
      <c r="C1581" t="s">
        <v>18</v>
      </c>
      <c r="D1581" t="s">
        <v>42</v>
      </c>
      <c r="E1581">
        <v>60.76</v>
      </c>
      <c r="F1581" t="s">
        <v>26</v>
      </c>
      <c r="G1581">
        <v>80.760000000000005</v>
      </c>
      <c r="H1581">
        <v>20</v>
      </c>
      <c r="I1581">
        <v>10</v>
      </c>
      <c r="J1581">
        <v>1</v>
      </c>
      <c r="K1581" t="str">
        <f>TEXT(discount_impact_on_profit_2000_rows[[#This Row],[order date]],"mmmm")</f>
        <v>January</v>
      </c>
      <c r="L1581">
        <f>YEAR(discount_impact_on_profit_2000_rows[[#This Row],[order date]])</f>
        <v>2025</v>
      </c>
      <c r="M1581" t="str">
        <f>IF(discount_impact_on_profit_2000_rows[[#This Row],[Discount %]]=0,"Zero Discount",IF(discount_impact_on_profit_2000_rows[[#This Row],[Discount %]]&lt;=10,"Low Discount","High Discount"))</f>
        <v>Low Discount</v>
      </c>
      <c r="N1581" t="str">
        <f t="shared" si="24"/>
        <v>0-10%</v>
      </c>
    </row>
    <row r="1582" spans="1:14">
      <c r="A1582" s="1">
        <v>45524</v>
      </c>
      <c r="B1582" t="s">
        <v>1644</v>
      </c>
      <c r="C1582" t="s">
        <v>53</v>
      </c>
      <c r="D1582" t="s">
        <v>54</v>
      </c>
      <c r="E1582">
        <v>714.04</v>
      </c>
      <c r="F1582" t="s">
        <v>36</v>
      </c>
      <c r="G1582">
        <v>1452.08</v>
      </c>
      <c r="H1582">
        <v>738.04</v>
      </c>
      <c r="I1582">
        <v>10</v>
      </c>
      <c r="J1582">
        <v>2</v>
      </c>
      <c r="K1582" t="str">
        <f>TEXT(discount_impact_on_profit_2000_rows[[#This Row],[order date]],"mmmm")</f>
        <v>August</v>
      </c>
      <c r="L1582">
        <f>YEAR(discount_impact_on_profit_2000_rows[[#This Row],[order date]])</f>
        <v>2024</v>
      </c>
      <c r="M1582" t="str">
        <f>IF(discount_impact_on_profit_2000_rows[[#This Row],[Discount %]]=0,"Zero Discount",IF(discount_impact_on_profit_2000_rows[[#This Row],[Discount %]]&lt;=10,"Low Discount","High Discount"))</f>
        <v>Low Discount</v>
      </c>
      <c r="N1582" t="str">
        <f t="shared" si="24"/>
        <v>0-10%</v>
      </c>
    </row>
    <row r="1583" spans="1:14">
      <c r="A1583" s="1">
        <v>45973</v>
      </c>
      <c r="B1583" t="s">
        <v>1645</v>
      </c>
      <c r="C1583" t="s">
        <v>53</v>
      </c>
      <c r="D1583" t="s">
        <v>95</v>
      </c>
      <c r="E1583">
        <v>11368.08</v>
      </c>
      <c r="F1583" t="s">
        <v>36</v>
      </c>
      <c r="G1583">
        <v>15985.25</v>
      </c>
      <c r="H1583">
        <v>4617.17</v>
      </c>
      <c r="I1583">
        <v>5</v>
      </c>
      <c r="J1583">
        <v>3</v>
      </c>
      <c r="K1583" t="str">
        <f>TEXT(discount_impact_on_profit_2000_rows[[#This Row],[order date]],"mmmm")</f>
        <v>November</v>
      </c>
      <c r="L1583">
        <f>YEAR(discount_impact_on_profit_2000_rows[[#This Row],[order date]])</f>
        <v>2025</v>
      </c>
      <c r="M1583" t="str">
        <f>IF(discount_impact_on_profit_2000_rows[[#This Row],[Discount %]]=0,"Zero Discount",IF(discount_impact_on_profit_2000_rows[[#This Row],[Discount %]]&lt;=10,"Low Discount","High Discount"))</f>
        <v>Low Discount</v>
      </c>
      <c r="N1583" t="str">
        <f t="shared" si="24"/>
        <v>0-10%</v>
      </c>
    </row>
    <row r="1584" spans="1:14">
      <c r="A1584" s="1">
        <v>45587</v>
      </c>
      <c r="B1584" t="s">
        <v>1646</v>
      </c>
      <c r="C1584" t="s">
        <v>11</v>
      </c>
      <c r="D1584" t="s">
        <v>25</v>
      </c>
      <c r="E1584">
        <v>1026.82</v>
      </c>
      <c r="F1584" t="s">
        <v>23</v>
      </c>
      <c r="G1584">
        <v>1699.97</v>
      </c>
      <c r="H1584">
        <v>673.15</v>
      </c>
      <c r="I1584">
        <v>10</v>
      </c>
      <c r="J1584">
        <v>6</v>
      </c>
      <c r="K1584" t="str">
        <f>TEXT(discount_impact_on_profit_2000_rows[[#This Row],[order date]],"mmmm")</f>
        <v>October</v>
      </c>
      <c r="L1584">
        <f>YEAR(discount_impact_on_profit_2000_rows[[#This Row],[order date]])</f>
        <v>2024</v>
      </c>
      <c r="M1584" t="str">
        <f>IF(discount_impact_on_profit_2000_rows[[#This Row],[Discount %]]=0,"Zero Discount",IF(discount_impact_on_profit_2000_rows[[#This Row],[Discount %]]&lt;=10,"Low Discount","High Discount"))</f>
        <v>Low Discount</v>
      </c>
      <c r="N1584" t="str">
        <f t="shared" si="24"/>
        <v>0-10%</v>
      </c>
    </row>
    <row r="1585" spans="1:14">
      <c r="A1585" s="1">
        <v>45619</v>
      </c>
      <c r="B1585" t="s">
        <v>1647</v>
      </c>
      <c r="C1585" t="s">
        <v>11</v>
      </c>
      <c r="D1585" t="s">
        <v>30</v>
      </c>
      <c r="E1585">
        <v>3962.31</v>
      </c>
      <c r="F1585" t="s">
        <v>31</v>
      </c>
      <c r="G1585">
        <v>7238.32</v>
      </c>
      <c r="H1585">
        <v>3276.01</v>
      </c>
      <c r="I1585">
        <v>5</v>
      </c>
      <c r="J1585">
        <v>3</v>
      </c>
      <c r="K1585" t="str">
        <f>TEXT(discount_impact_on_profit_2000_rows[[#This Row],[order date]],"mmmm")</f>
        <v>November</v>
      </c>
      <c r="L1585">
        <f>YEAR(discount_impact_on_profit_2000_rows[[#This Row],[order date]])</f>
        <v>2024</v>
      </c>
      <c r="M1585" t="str">
        <f>IF(discount_impact_on_profit_2000_rows[[#This Row],[Discount %]]=0,"Zero Discount",IF(discount_impact_on_profit_2000_rows[[#This Row],[Discount %]]&lt;=10,"Low Discount","High Discount"))</f>
        <v>Low Discount</v>
      </c>
      <c r="N1585" t="str">
        <f t="shared" si="24"/>
        <v>0-10%</v>
      </c>
    </row>
    <row r="1586" spans="1:14">
      <c r="A1586" s="1">
        <v>45827</v>
      </c>
      <c r="B1586" t="s">
        <v>1648</v>
      </c>
      <c r="C1586" t="s">
        <v>53</v>
      </c>
      <c r="D1586" t="s">
        <v>59</v>
      </c>
      <c r="E1586">
        <v>6935.43</v>
      </c>
      <c r="F1586" t="s">
        <v>36</v>
      </c>
      <c r="G1586">
        <v>9443.2199999999993</v>
      </c>
      <c r="H1586">
        <v>2507.79</v>
      </c>
      <c r="I1586">
        <v>10</v>
      </c>
      <c r="J1586">
        <v>4</v>
      </c>
      <c r="K1586" t="str">
        <f>TEXT(discount_impact_on_profit_2000_rows[[#This Row],[order date]],"mmmm")</f>
        <v>June</v>
      </c>
      <c r="L1586">
        <f>YEAR(discount_impact_on_profit_2000_rows[[#This Row],[order date]])</f>
        <v>2025</v>
      </c>
      <c r="M1586" t="str">
        <f>IF(discount_impact_on_profit_2000_rows[[#This Row],[Discount %]]=0,"Zero Discount",IF(discount_impact_on_profit_2000_rows[[#This Row],[Discount %]]&lt;=10,"Low Discount","High Discount"))</f>
        <v>Low Discount</v>
      </c>
      <c r="N1586" t="str">
        <f t="shared" si="24"/>
        <v>0-10%</v>
      </c>
    </row>
    <row r="1587" spans="1:14">
      <c r="A1587" s="1">
        <v>46020</v>
      </c>
      <c r="B1587" t="s">
        <v>1649</v>
      </c>
      <c r="C1587" t="s">
        <v>53</v>
      </c>
      <c r="D1587" t="s">
        <v>95</v>
      </c>
      <c r="E1587">
        <v>5384.65</v>
      </c>
      <c r="F1587" t="s">
        <v>31</v>
      </c>
      <c r="G1587">
        <v>8978.11</v>
      </c>
      <c r="H1587">
        <v>3593.46</v>
      </c>
      <c r="I1587">
        <v>10</v>
      </c>
      <c r="J1587">
        <v>2</v>
      </c>
      <c r="K1587" t="str">
        <f>TEXT(discount_impact_on_profit_2000_rows[[#This Row],[order date]],"mmmm")</f>
        <v>December</v>
      </c>
      <c r="L1587">
        <f>YEAR(discount_impact_on_profit_2000_rows[[#This Row],[order date]])</f>
        <v>2025</v>
      </c>
      <c r="M1587" t="str">
        <f>IF(discount_impact_on_profit_2000_rows[[#This Row],[Discount %]]=0,"Zero Discount",IF(discount_impact_on_profit_2000_rows[[#This Row],[Discount %]]&lt;=10,"Low Discount","High Discount"))</f>
        <v>Low Discount</v>
      </c>
      <c r="N1587" t="str">
        <f t="shared" si="24"/>
        <v>0-10%</v>
      </c>
    </row>
    <row r="1588" spans="1:14">
      <c r="A1588" s="1">
        <v>45693</v>
      </c>
      <c r="B1588" t="s">
        <v>1650</v>
      </c>
      <c r="C1588" t="s">
        <v>11</v>
      </c>
      <c r="D1588" t="s">
        <v>64</v>
      </c>
      <c r="E1588">
        <v>7530.26</v>
      </c>
      <c r="F1588" t="s">
        <v>26</v>
      </c>
      <c r="G1588">
        <v>11322.4</v>
      </c>
      <c r="H1588">
        <v>3792.14</v>
      </c>
      <c r="I1588">
        <v>15</v>
      </c>
      <c r="J1588">
        <v>8</v>
      </c>
      <c r="K1588" t="str">
        <f>TEXT(discount_impact_on_profit_2000_rows[[#This Row],[order date]],"mmmm")</f>
        <v>February</v>
      </c>
      <c r="L1588">
        <f>YEAR(discount_impact_on_profit_2000_rows[[#This Row],[order date]])</f>
        <v>2025</v>
      </c>
      <c r="M1588" t="str">
        <f>IF(discount_impact_on_profit_2000_rows[[#This Row],[Discount %]]=0,"Zero Discount",IF(discount_impact_on_profit_2000_rows[[#This Row],[Discount %]]&lt;=10,"Low Discount","High Discount"))</f>
        <v>High Discount</v>
      </c>
      <c r="N1588" t="str">
        <f t="shared" si="24"/>
        <v>10-20%</v>
      </c>
    </row>
    <row r="1589" spans="1:14">
      <c r="A1589" s="1">
        <v>46022</v>
      </c>
      <c r="B1589" t="s">
        <v>1651</v>
      </c>
      <c r="C1589" t="s">
        <v>33</v>
      </c>
      <c r="D1589" t="s">
        <v>92</v>
      </c>
      <c r="E1589">
        <v>3035.65</v>
      </c>
      <c r="F1589" t="s">
        <v>36</v>
      </c>
      <c r="G1589">
        <v>3147.59</v>
      </c>
      <c r="H1589">
        <v>111.94</v>
      </c>
      <c r="I1589">
        <v>30</v>
      </c>
      <c r="J1589">
        <v>1</v>
      </c>
      <c r="K1589" t="str">
        <f>TEXT(discount_impact_on_profit_2000_rows[[#This Row],[order date]],"mmmm")</f>
        <v>December</v>
      </c>
      <c r="L1589">
        <f>YEAR(discount_impact_on_profit_2000_rows[[#This Row],[order date]])</f>
        <v>2025</v>
      </c>
      <c r="M1589" t="str">
        <f>IF(discount_impact_on_profit_2000_rows[[#This Row],[Discount %]]=0,"Zero Discount",IF(discount_impact_on_profit_2000_rows[[#This Row],[Discount %]]&lt;=10,"Low Discount","High Discount"))</f>
        <v>High Discount</v>
      </c>
      <c r="N1589" t="str">
        <f t="shared" si="24"/>
        <v>20-30%</v>
      </c>
    </row>
    <row r="1590" spans="1:14">
      <c r="A1590" s="1">
        <v>45835</v>
      </c>
      <c r="B1590" t="s">
        <v>1652</v>
      </c>
      <c r="C1590" t="s">
        <v>11</v>
      </c>
      <c r="D1590" t="s">
        <v>30</v>
      </c>
      <c r="E1590">
        <v>390.98</v>
      </c>
      <c r="F1590" t="s">
        <v>36</v>
      </c>
      <c r="G1590">
        <v>682.07</v>
      </c>
      <c r="H1590">
        <v>291.08999999999997</v>
      </c>
      <c r="I1590">
        <v>25</v>
      </c>
      <c r="J1590">
        <v>1</v>
      </c>
      <c r="K1590" t="str">
        <f>TEXT(discount_impact_on_profit_2000_rows[[#This Row],[order date]],"mmmm")</f>
        <v>June</v>
      </c>
      <c r="L1590">
        <f>YEAR(discount_impact_on_profit_2000_rows[[#This Row],[order date]])</f>
        <v>2025</v>
      </c>
      <c r="M1590" t="str">
        <f>IF(discount_impact_on_profit_2000_rows[[#This Row],[Discount %]]=0,"Zero Discount",IF(discount_impact_on_profit_2000_rows[[#This Row],[Discount %]]&lt;=10,"Low Discount","High Discount"))</f>
        <v>High Discount</v>
      </c>
      <c r="N1590" t="str">
        <f t="shared" si="24"/>
        <v>20-30%</v>
      </c>
    </row>
    <row r="1591" spans="1:14">
      <c r="A1591" s="1">
        <v>45422</v>
      </c>
      <c r="B1591" t="s">
        <v>1653</v>
      </c>
      <c r="C1591" t="s">
        <v>18</v>
      </c>
      <c r="D1591" t="s">
        <v>188</v>
      </c>
      <c r="E1591">
        <v>672.71</v>
      </c>
      <c r="F1591" t="s">
        <v>26</v>
      </c>
      <c r="G1591">
        <v>918.13</v>
      </c>
      <c r="H1591">
        <v>245.42</v>
      </c>
      <c r="I1591">
        <v>10</v>
      </c>
      <c r="J1591">
        <v>4</v>
      </c>
      <c r="K1591" t="str">
        <f>TEXT(discount_impact_on_profit_2000_rows[[#This Row],[order date]],"mmmm")</f>
        <v>May</v>
      </c>
      <c r="L1591">
        <f>YEAR(discount_impact_on_profit_2000_rows[[#This Row],[order date]])</f>
        <v>2024</v>
      </c>
      <c r="M1591" t="str">
        <f>IF(discount_impact_on_profit_2000_rows[[#This Row],[Discount %]]=0,"Zero Discount",IF(discount_impact_on_profit_2000_rows[[#This Row],[Discount %]]&lt;=10,"Low Discount","High Discount"))</f>
        <v>Low Discount</v>
      </c>
      <c r="N1591" t="str">
        <f t="shared" si="24"/>
        <v>0-10%</v>
      </c>
    </row>
    <row r="1592" spans="1:14">
      <c r="A1592" s="1">
        <v>45447</v>
      </c>
      <c r="B1592" t="s">
        <v>1654</v>
      </c>
      <c r="C1592" t="s">
        <v>18</v>
      </c>
      <c r="D1592" t="s">
        <v>88</v>
      </c>
      <c r="E1592">
        <v>157.29</v>
      </c>
      <c r="F1592" t="s">
        <v>26</v>
      </c>
      <c r="G1592">
        <v>315.45999999999998</v>
      </c>
      <c r="H1592">
        <v>158.16999999999999</v>
      </c>
      <c r="I1592">
        <v>5</v>
      </c>
      <c r="J1592">
        <v>1</v>
      </c>
      <c r="K1592" t="str">
        <f>TEXT(discount_impact_on_profit_2000_rows[[#This Row],[order date]],"mmmm")</f>
        <v>June</v>
      </c>
      <c r="L1592">
        <f>YEAR(discount_impact_on_profit_2000_rows[[#This Row],[order date]])</f>
        <v>2024</v>
      </c>
      <c r="M1592" t="str">
        <f>IF(discount_impact_on_profit_2000_rows[[#This Row],[Discount %]]=0,"Zero Discount",IF(discount_impact_on_profit_2000_rows[[#This Row],[Discount %]]&lt;=10,"Low Discount","High Discount"))</f>
        <v>Low Discount</v>
      </c>
      <c r="N1592" t="str">
        <f t="shared" si="24"/>
        <v>0-10%</v>
      </c>
    </row>
    <row r="1593" spans="1:14">
      <c r="A1593" s="1">
        <v>45327</v>
      </c>
      <c r="B1593" t="s">
        <v>1655</v>
      </c>
      <c r="C1593" t="s">
        <v>21</v>
      </c>
      <c r="D1593" t="s">
        <v>82</v>
      </c>
      <c r="E1593">
        <v>44800.37</v>
      </c>
      <c r="F1593" t="s">
        <v>13</v>
      </c>
      <c r="G1593">
        <v>56976.86</v>
      </c>
      <c r="H1593">
        <v>12176.49</v>
      </c>
      <c r="I1593">
        <v>0</v>
      </c>
      <c r="J1593">
        <v>2</v>
      </c>
      <c r="K1593" t="str">
        <f>TEXT(discount_impact_on_profit_2000_rows[[#This Row],[order date]],"mmmm")</f>
        <v>February</v>
      </c>
      <c r="L1593">
        <f>YEAR(discount_impact_on_profit_2000_rows[[#This Row],[order date]])</f>
        <v>2024</v>
      </c>
      <c r="M1593" t="str">
        <f>IF(discount_impact_on_profit_2000_rows[[#This Row],[Discount %]]=0,"Zero Discount",IF(discount_impact_on_profit_2000_rows[[#This Row],[Discount %]]&lt;=10,"Low Discount","High Discount"))</f>
        <v>Zero Discount</v>
      </c>
      <c r="N1593" t="str">
        <f t="shared" si="24"/>
        <v>0-10%</v>
      </c>
    </row>
    <row r="1594" spans="1:14">
      <c r="A1594" s="1">
        <v>45033</v>
      </c>
      <c r="B1594" t="s">
        <v>1656</v>
      </c>
      <c r="C1594" t="s">
        <v>21</v>
      </c>
      <c r="D1594" t="s">
        <v>97</v>
      </c>
      <c r="E1594">
        <v>4591.8999999999996</v>
      </c>
      <c r="F1594" t="s">
        <v>36</v>
      </c>
      <c r="G1594">
        <v>4803.8999999999996</v>
      </c>
      <c r="H1594">
        <v>212</v>
      </c>
      <c r="I1594">
        <v>30</v>
      </c>
      <c r="J1594">
        <v>1</v>
      </c>
      <c r="K1594" t="str">
        <f>TEXT(discount_impact_on_profit_2000_rows[[#This Row],[order date]],"mmmm")</f>
        <v>April</v>
      </c>
      <c r="L1594">
        <f>YEAR(discount_impact_on_profit_2000_rows[[#This Row],[order date]])</f>
        <v>2023</v>
      </c>
      <c r="M1594" t="str">
        <f>IF(discount_impact_on_profit_2000_rows[[#This Row],[Discount %]]=0,"Zero Discount",IF(discount_impact_on_profit_2000_rows[[#This Row],[Discount %]]&lt;=10,"Low Discount","High Discount"))</f>
        <v>High Discount</v>
      </c>
      <c r="N1594" t="str">
        <f t="shared" si="24"/>
        <v>20-30%</v>
      </c>
    </row>
    <row r="1595" spans="1:14">
      <c r="A1595" s="1">
        <v>45247</v>
      </c>
      <c r="B1595" t="s">
        <v>1657</v>
      </c>
      <c r="C1595" t="s">
        <v>18</v>
      </c>
      <c r="D1595" t="s">
        <v>50</v>
      </c>
      <c r="E1595">
        <v>92.08</v>
      </c>
      <c r="F1595" t="s">
        <v>26</v>
      </c>
      <c r="G1595">
        <v>144.46</v>
      </c>
      <c r="H1595">
        <v>52.38</v>
      </c>
      <c r="I1595">
        <v>15</v>
      </c>
      <c r="J1595">
        <v>1</v>
      </c>
      <c r="K1595" t="str">
        <f>TEXT(discount_impact_on_profit_2000_rows[[#This Row],[order date]],"mmmm")</f>
        <v>November</v>
      </c>
      <c r="L1595">
        <f>YEAR(discount_impact_on_profit_2000_rows[[#This Row],[order date]])</f>
        <v>2023</v>
      </c>
      <c r="M1595" t="str">
        <f>IF(discount_impact_on_profit_2000_rows[[#This Row],[Discount %]]=0,"Zero Discount",IF(discount_impact_on_profit_2000_rows[[#This Row],[Discount %]]&lt;=10,"Low Discount","High Discount"))</f>
        <v>High Discount</v>
      </c>
      <c r="N1595" t="str">
        <f t="shared" si="24"/>
        <v>10-20%</v>
      </c>
    </row>
    <row r="1596" spans="1:14">
      <c r="A1596" s="1">
        <v>45876</v>
      </c>
      <c r="B1596" t="s">
        <v>1658</v>
      </c>
      <c r="C1596" t="s">
        <v>21</v>
      </c>
      <c r="D1596" t="s">
        <v>154</v>
      </c>
      <c r="E1596">
        <v>778.98</v>
      </c>
      <c r="F1596" t="s">
        <v>13</v>
      </c>
      <c r="G1596">
        <v>1034.29</v>
      </c>
      <c r="H1596">
        <v>255.31</v>
      </c>
      <c r="I1596">
        <v>10</v>
      </c>
      <c r="J1596">
        <v>1</v>
      </c>
      <c r="K1596" t="str">
        <f>TEXT(discount_impact_on_profit_2000_rows[[#This Row],[order date]],"mmmm")</f>
        <v>August</v>
      </c>
      <c r="L1596">
        <f>YEAR(discount_impact_on_profit_2000_rows[[#This Row],[order date]])</f>
        <v>2025</v>
      </c>
      <c r="M1596" t="str">
        <f>IF(discount_impact_on_profit_2000_rows[[#This Row],[Discount %]]=0,"Zero Discount",IF(discount_impact_on_profit_2000_rows[[#This Row],[Discount %]]&lt;=10,"Low Discount","High Discount"))</f>
        <v>Low Discount</v>
      </c>
      <c r="N1596" t="str">
        <f t="shared" si="24"/>
        <v>0-10%</v>
      </c>
    </row>
    <row r="1597" spans="1:14">
      <c r="A1597" s="1">
        <v>45797</v>
      </c>
      <c r="B1597" t="s">
        <v>1659</v>
      </c>
      <c r="C1597" t="s">
        <v>18</v>
      </c>
      <c r="D1597" t="s">
        <v>104</v>
      </c>
      <c r="E1597">
        <v>122.45</v>
      </c>
      <c r="F1597" t="s">
        <v>26</v>
      </c>
      <c r="G1597">
        <v>169.51</v>
      </c>
      <c r="H1597">
        <v>47.06</v>
      </c>
      <c r="I1597">
        <v>15</v>
      </c>
      <c r="J1597">
        <v>1</v>
      </c>
      <c r="K1597" t="str">
        <f>TEXT(discount_impact_on_profit_2000_rows[[#This Row],[order date]],"mmmm")</f>
        <v>May</v>
      </c>
      <c r="L1597">
        <f>YEAR(discount_impact_on_profit_2000_rows[[#This Row],[order date]])</f>
        <v>2025</v>
      </c>
      <c r="M1597" t="str">
        <f>IF(discount_impact_on_profit_2000_rows[[#This Row],[Discount %]]=0,"Zero Discount",IF(discount_impact_on_profit_2000_rows[[#This Row],[Discount %]]&lt;=10,"Low Discount","High Discount"))</f>
        <v>High Discount</v>
      </c>
      <c r="N1597" t="str">
        <f t="shared" si="24"/>
        <v>10-20%</v>
      </c>
    </row>
    <row r="1598" spans="1:14">
      <c r="A1598" s="1">
        <v>45942</v>
      </c>
      <c r="B1598" t="s">
        <v>1660</v>
      </c>
      <c r="C1598" t="s">
        <v>15</v>
      </c>
      <c r="D1598" t="s">
        <v>86</v>
      </c>
      <c r="E1598">
        <v>7577.57</v>
      </c>
      <c r="F1598" t="s">
        <v>26</v>
      </c>
      <c r="G1598">
        <v>9387.17</v>
      </c>
      <c r="H1598">
        <v>1809.6</v>
      </c>
      <c r="I1598">
        <v>10</v>
      </c>
      <c r="J1598">
        <v>3</v>
      </c>
      <c r="K1598" t="str">
        <f>TEXT(discount_impact_on_profit_2000_rows[[#This Row],[order date]],"mmmm")</f>
        <v>October</v>
      </c>
      <c r="L1598">
        <f>YEAR(discount_impact_on_profit_2000_rows[[#This Row],[order date]])</f>
        <v>2025</v>
      </c>
      <c r="M1598" t="str">
        <f>IF(discount_impact_on_profit_2000_rows[[#This Row],[Discount %]]=0,"Zero Discount",IF(discount_impact_on_profit_2000_rows[[#This Row],[Discount %]]&lt;=10,"Low Discount","High Discount"))</f>
        <v>Low Discount</v>
      </c>
      <c r="N1598" t="str">
        <f t="shared" si="24"/>
        <v>0-10%</v>
      </c>
    </row>
    <row r="1599" spans="1:14">
      <c r="A1599" s="1">
        <v>45077</v>
      </c>
      <c r="B1599" t="s">
        <v>1661</v>
      </c>
      <c r="C1599" t="s">
        <v>11</v>
      </c>
      <c r="D1599" t="s">
        <v>25</v>
      </c>
      <c r="E1599">
        <v>2210.4</v>
      </c>
      <c r="F1599" t="s">
        <v>23</v>
      </c>
      <c r="G1599">
        <v>3529.74</v>
      </c>
      <c r="H1599">
        <v>1319.34</v>
      </c>
      <c r="I1599">
        <v>25</v>
      </c>
      <c r="J1599">
        <v>4</v>
      </c>
      <c r="K1599" t="str">
        <f>TEXT(discount_impact_on_profit_2000_rows[[#This Row],[order date]],"mmmm")</f>
        <v>May</v>
      </c>
      <c r="L1599">
        <f>YEAR(discount_impact_on_profit_2000_rows[[#This Row],[order date]])</f>
        <v>2023</v>
      </c>
      <c r="M1599" t="str">
        <f>IF(discount_impact_on_profit_2000_rows[[#This Row],[Discount %]]=0,"Zero Discount",IF(discount_impact_on_profit_2000_rows[[#This Row],[Discount %]]&lt;=10,"Low Discount","High Discount"))</f>
        <v>High Discount</v>
      </c>
      <c r="N1599" t="str">
        <f t="shared" si="24"/>
        <v>20-30%</v>
      </c>
    </row>
    <row r="1600" spans="1:14">
      <c r="A1600" s="1">
        <v>45577</v>
      </c>
      <c r="B1600" t="s">
        <v>1662</v>
      </c>
      <c r="C1600" t="s">
        <v>53</v>
      </c>
      <c r="D1600" t="s">
        <v>54</v>
      </c>
      <c r="E1600">
        <v>607.61</v>
      </c>
      <c r="F1600" t="s">
        <v>13</v>
      </c>
      <c r="G1600">
        <v>948.4</v>
      </c>
      <c r="H1600">
        <v>340.79</v>
      </c>
      <c r="I1600">
        <v>20</v>
      </c>
      <c r="J1600">
        <v>2</v>
      </c>
      <c r="K1600" t="str">
        <f>TEXT(discount_impact_on_profit_2000_rows[[#This Row],[order date]],"mmmm")</f>
        <v>October</v>
      </c>
      <c r="L1600">
        <f>YEAR(discount_impact_on_profit_2000_rows[[#This Row],[order date]])</f>
        <v>2024</v>
      </c>
      <c r="M1600" t="str">
        <f>IF(discount_impact_on_profit_2000_rows[[#This Row],[Discount %]]=0,"Zero Discount",IF(discount_impact_on_profit_2000_rows[[#This Row],[Discount %]]&lt;=10,"Low Discount","High Discount"))</f>
        <v>High Discount</v>
      </c>
      <c r="N1600" t="str">
        <f t="shared" si="24"/>
        <v>10-20%</v>
      </c>
    </row>
    <row r="1601" spans="1:14">
      <c r="A1601" s="1">
        <v>45051</v>
      </c>
      <c r="B1601" t="s">
        <v>1663</v>
      </c>
      <c r="C1601" t="s">
        <v>21</v>
      </c>
      <c r="D1601" t="s">
        <v>109</v>
      </c>
      <c r="E1601">
        <v>12938.89</v>
      </c>
      <c r="F1601" t="s">
        <v>23</v>
      </c>
      <c r="G1601">
        <v>13327.06</v>
      </c>
      <c r="H1601">
        <v>388.17</v>
      </c>
      <c r="I1601">
        <v>19</v>
      </c>
      <c r="J1601">
        <v>2</v>
      </c>
      <c r="K1601" t="str">
        <f>TEXT(discount_impact_on_profit_2000_rows[[#This Row],[order date]],"mmmm")</f>
        <v>May</v>
      </c>
      <c r="L1601">
        <f>YEAR(discount_impact_on_profit_2000_rows[[#This Row],[order date]])</f>
        <v>2023</v>
      </c>
      <c r="M1601" t="str">
        <f>IF(discount_impact_on_profit_2000_rows[[#This Row],[Discount %]]=0,"Zero Discount",IF(discount_impact_on_profit_2000_rows[[#This Row],[Discount %]]&lt;=10,"Low Discount","High Discount"))</f>
        <v>High Discount</v>
      </c>
      <c r="N1601" t="str">
        <f t="shared" si="24"/>
        <v>10-20%</v>
      </c>
    </row>
    <row r="1602" spans="1:14">
      <c r="A1602" s="1">
        <v>45476</v>
      </c>
      <c r="B1602" t="s">
        <v>1664</v>
      </c>
      <c r="C1602" t="s">
        <v>53</v>
      </c>
      <c r="D1602" t="s">
        <v>152</v>
      </c>
      <c r="E1602">
        <v>1785.42</v>
      </c>
      <c r="F1602" t="s">
        <v>13</v>
      </c>
      <c r="G1602">
        <v>3368.02</v>
      </c>
      <c r="H1602">
        <v>1582.6</v>
      </c>
      <c r="I1602">
        <v>5</v>
      </c>
      <c r="J1602">
        <v>3</v>
      </c>
      <c r="K1602" t="str">
        <f>TEXT(discount_impact_on_profit_2000_rows[[#This Row],[order date]],"mmmm")</f>
        <v>July</v>
      </c>
      <c r="L1602">
        <f>YEAR(discount_impact_on_profit_2000_rows[[#This Row],[order date]])</f>
        <v>2024</v>
      </c>
      <c r="M1602" t="str">
        <f>IF(discount_impact_on_profit_2000_rows[[#This Row],[Discount %]]=0,"Zero Discount",IF(discount_impact_on_profit_2000_rows[[#This Row],[Discount %]]&lt;=10,"Low Discount","High Discount"))</f>
        <v>Low Discount</v>
      </c>
      <c r="N1602" t="str">
        <f t="shared" ref="N1602:N1665" si="25">IF(I1602&lt;=10,"0-10%",IF(I1602&lt;=20,"10-20%",IF(I1602&lt;=30,"20-30%","30%+")))</f>
        <v>0-10%</v>
      </c>
    </row>
    <row r="1603" spans="1:14">
      <c r="A1603" s="1">
        <v>45488</v>
      </c>
      <c r="B1603" t="s">
        <v>1665</v>
      </c>
      <c r="C1603" t="s">
        <v>11</v>
      </c>
      <c r="D1603" t="s">
        <v>64</v>
      </c>
      <c r="E1603">
        <v>2724.31</v>
      </c>
      <c r="F1603" t="s">
        <v>26</v>
      </c>
      <c r="G1603">
        <v>4313.74</v>
      </c>
      <c r="H1603">
        <v>1589.43</v>
      </c>
      <c r="I1603">
        <v>5</v>
      </c>
      <c r="J1603">
        <v>1</v>
      </c>
      <c r="K1603" t="str">
        <f>TEXT(discount_impact_on_profit_2000_rows[[#This Row],[order date]],"mmmm")</f>
        <v>July</v>
      </c>
      <c r="L1603">
        <f>YEAR(discount_impact_on_profit_2000_rows[[#This Row],[order date]])</f>
        <v>2024</v>
      </c>
      <c r="M1603" t="str">
        <f>IF(discount_impact_on_profit_2000_rows[[#This Row],[Discount %]]=0,"Zero Discount",IF(discount_impact_on_profit_2000_rows[[#This Row],[Discount %]]&lt;=10,"Low Discount","High Discount"))</f>
        <v>Low Discount</v>
      </c>
      <c r="N1603" t="str">
        <f t="shared" si="25"/>
        <v>0-10%</v>
      </c>
    </row>
    <row r="1604" spans="1:14">
      <c r="A1604" s="1">
        <v>45836</v>
      </c>
      <c r="B1604" t="s">
        <v>1666</v>
      </c>
      <c r="C1604" t="s">
        <v>15</v>
      </c>
      <c r="D1604" t="s">
        <v>84</v>
      </c>
      <c r="E1604">
        <v>15486.67</v>
      </c>
      <c r="F1604" t="s">
        <v>26</v>
      </c>
      <c r="G1604">
        <v>20536.810000000001</v>
      </c>
      <c r="H1604">
        <v>5050.1400000000003</v>
      </c>
      <c r="I1604">
        <v>10</v>
      </c>
      <c r="J1604">
        <v>6</v>
      </c>
      <c r="K1604" t="str">
        <f>TEXT(discount_impact_on_profit_2000_rows[[#This Row],[order date]],"mmmm")</f>
        <v>June</v>
      </c>
      <c r="L1604">
        <f>YEAR(discount_impact_on_profit_2000_rows[[#This Row],[order date]])</f>
        <v>2025</v>
      </c>
      <c r="M1604" t="str">
        <f>IF(discount_impact_on_profit_2000_rows[[#This Row],[Discount %]]=0,"Zero Discount",IF(discount_impact_on_profit_2000_rows[[#This Row],[Discount %]]&lt;=10,"Low Discount","High Discount"))</f>
        <v>Low Discount</v>
      </c>
      <c r="N1604" t="str">
        <f t="shared" si="25"/>
        <v>0-10%</v>
      </c>
    </row>
    <row r="1605" spans="1:14">
      <c r="A1605" s="1">
        <v>46009</v>
      </c>
      <c r="B1605" t="s">
        <v>1667</v>
      </c>
      <c r="C1605" t="s">
        <v>11</v>
      </c>
      <c r="D1605" t="s">
        <v>30</v>
      </c>
      <c r="E1605">
        <v>1334.85</v>
      </c>
      <c r="F1605" t="s">
        <v>26</v>
      </c>
      <c r="G1605">
        <v>2477.89</v>
      </c>
      <c r="H1605">
        <v>1143.04</v>
      </c>
      <c r="I1605">
        <v>15</v>
      </c>
      <c r="J1605">
        <v>1</v>
      </c>
      <c r="K1605" t="str">
        <f>TEXT(discount_impact_on_profit_2000_rows[[#This Row],[order date]],"mmmm")</f>
        <v>December</v>
      </c>
      <c r="L1605">
        <f>YEAR(discount_impact_on_profit_2000_rows[[#This Row],[order date]])</f>
        <v>2025</v>
      </c>
      <c r="M1605" t="str">
        <f>IF(discount_impact_on_profit_2000_rows[[#This Row],[Discount %]]=0,"Zero Discount",IF(discount_impact_on_profit_2000_rows[[#This Row],[Discount %]]&lt;=10,"Low Discount","High Discount"))</f>
        <v>High Discount</v>
      </c>
      <c r="N1605" t="str">
        <f t="shared" si="25"/>
        <v>10-20%</v>
      </c>
    </row>
    <row r="1606" spans="1:14">
      <c r="A1606" s="1">
        <v>45809</v>
      </c>
      <c r="B1606" t="s">
        <v>1668</v>
      </c>
      <c r="C1606" t="s">
        <v>15</v>
      </c>
      <c r="D1606" t="s">
        <v>86</v>
      </c>
      <c r="E1606">
        <v>2176.85</v>
      </c>
      <c r="F1606" t="s">
        <v>36</v>
      </c>
      <c r="G1606">
        <v>2889.35</v>
      </c>
      <c r="H1606">
        <v>712.5</v>
      </c>
      <c r="I1606">
        <v>15</v>
      </c>
      <c r="J1606">
        <v>2</v>
      </c>
      <c r="K1606" t="str">
        <f>TEXT(discount_impact_on_profit_2000_rows[[#This Row],[order date]],"mmmm")</f>
        <v>June</v>
      </c>
      <c r="L1606">
        <f>YEAR(discount_impact_on_profit_2000_rows[[#This Row],[order date]])</f>
        <v>2025</v>
      </c>
      <c r="M1606" t="str">
        <f>IF(discount_impact_on_profit_2000_rows[[#This Row],[Discount %]]=0,"Zero Discount",IF(discount_impact_on_profit_2000_rows[[#This Row],[Discount %]]&lt;=10,"Low Discount","High Discount"))</f>
        <v>High Discount</v>
      </c>
      <c r="N1606" t="str">
        <f t="shared" si="25"/>
        <v>10-20%</v>
      </c>
    </row>
    <row r="1607" spans="1:14">
      <c r="A1607" s="1">
        <v>45578</v>
      </c>
      <c r="B1607" t="s">
        <v>1669</v>
      </c>
      <c r="C1607" t="s">
        <v>53</v>
      </c>
      <c r="D1607" t="s">
        <v>152</v>
      </c>
      <c r="E1607">
        <v>1432.52</v>
      </c>
      <c r="F1607" t="s">
        <v>26</v>
      </c>
      <c r="G1607">
        <v>2770.76</v>
      </c>
      <c r="H1607">
        <v>1338.24</v>
      </c>
      <c r="I1607">
        <v>5</v>
      </c>
      <c r="J1607">
        <v>4</v>
      </c>
      <c r="K1607" t="str">
        <f>TEXT(discount_impact_on_profit_2000_rows[[#This Row],[order date]],"mmmm")</f>
        <v>October</v>
      </c>
      <c r="L1607">
        <f>YEAR(discount_impact_on_profit_2000_rows[[#This Row],[order date]])</f>
        <v>2024</v>
      </c>
      <c r="M1607" t="str">
        <f>IF(discount_impact_on_profit_2000_rows[[#This Row],[Discount %]]=0,"Zero Discount",IF(discount_impact_on_profit_2000_rows[[#This Row],[Discount %]]&lt;=10,"Low Discount","High Discount"))</f>
        <v>Low Discount</v>
      </c>
      <c r="N1607" t="str">
        <f t="shared" si="25"/>
        <v>0-10%</v>
      </c>
    </row>
    <row r="1608" spans="1:14">
      <c r="A1608" s="1">
        <v>46020</v>
      </c>
      <c r="B1608" t="s">
        <v>1670</v>
      </c>
      <c r="C1608" t="s">
        <v>11</v>
      </c>
      <c r="D1608" t="s">
        <v>30</v>
      </c>
      <c r="E1608">
        <v>5913.95</v>
      </c>
      <c r="F1608" t="s">
        <v>31</v>
      </c>
      <c r="G1608">
        <v>11626.98</v>
      </c>
      <c r="H1608">
        <v>5713.03</v>
      </c>
      <c r="I1608">
        <v>10</v>
      </c>
      <c r="J1608">
        <v>3</v>
      </c>
      <c r="K1608" t="str">
        <f>TEXT(discount_impact_on_profit_2000_rows[[#This Row],[order date]],"mmmm")</f>
        <v>December</v>
      </c>
      <c r="L1608">
        <f>YEAR(discount_impact_on_profit_2000_rows[[#This Row],[order date]])</f>
        <v>2025</v>
      </c>
      <c r="M1608" t="str">
        <f>IF(discount_impact_on_profit_2000_rows[[#This Row],[Discount %]]=0,"Zero Discount",IF(discount_impact_on_profit_2000_rows[[#This Row],[Discount %]]&lt;=10,"Low Discount","High Discount"))</f>
        <v>Low Discount</v>
      </c>
      <c r="N1608" t="str">
        <f t="shared" si="25"/>
        <v>0-10%</v>
      </c>
    </row>
    <row r="1609" spans="1:14">
      <c r="A1609" s="1">
        <v>45971</v>
      </c>
      <c r="B1609" t="s">
        <v>1671</v>
      </c>
      <c r="C1609" t="s">
        <v>15</v>
      </c>
      <c r="D1609" t="s">
        <v>16</v>
      </c>
      <c r="E1609">
        <v>20631.64</v>
      </c>
      <c r="F1609" t="s">
        <v>31</v>
      </c>
      <c r="G1609">
        <v>26397.62</v>
      </c>
      <c r="H1609">
        <v>5765.98</v>
      </c>
      <c r="I1609">
        <v>15</v>
      </c>
      <c r="J1609">
        <v>3</v>
      </c>
      <c r="K1609" t="str">
        <f>TEXT(discount_impact_on_profit_2000_rows[[#This Row],[order date]],"mmmm")</f>
        <v>November</v>
      </c>
      <c r="L1609">
        <f>YEAR(discount_impact_on_profit_2000_rows[[#This Row],[order date]])</f>
        <v>2025</v>
      </c>
      <c r="M1609" t="str">
        <f>IF(discount_impact_on_profit_2000_rows[[#This Row],[Discount %]]=0,"Zero Discount",IF(discount_impact_on_profit_2000_rows[[#This Row],[Discount %]]&lt;=10,"Low Discount","High Discount"))</f>
        <v>High Discount</v>
      </c>
      <c r="N1609" t="str">
        <f t="shared" si="25"/>
        <v>10-20%</v>
      </c>
    </row>
    <row r="1610" spans="1:14">
      <c r="A1610" s="1">
        <v>45122</v>
      </c>
      <c r="B1610" t="s">
        <v>1672</v>
      </c>
      <c r="C1610" t="s">
        <v>53</v>
      </c>
      <c r="D1610" t="s">
        <v>152</v>
      </c>
      <c r="E1610">
        <v>4531.17</v>
      </c>
      <c r="F1610" t="s">
        <v>31</v>
      </c>
      <c r="G1610">
        <v>6353.27</v>
      </c>
      <c r="H1610">
        <v>1822.1</v>
      </c>
      <c r="I1610">
        <v>5</v>
      </c>
      <c r="J1610">
        <v>3</v>
      </c>
      <c r="K1610" t="str">
        <f>TEXT(discount_impact_on_profit_2000_rows[[#This Row],[order date]],"mmmm")</f>
        <v>July</v>
      </c>
      <c r="L1610">
        <f>YEAR(discount_impact_on_profit_2000_rows[[#This Row],[order date]])</f>
        <v>2023</v>
      </c>
      <c r="M1610" t="str">
        <f>IF(discount_impact_on_profit_2000_rows[[#This Row],[Discount %]]=0,"Zero Discount",IF(discount_impact_on_profit_2000_rows[[#This Row],[Discount %]]&lt;=10,"Low Discount","High Discount"))</f>
        <v>Low Discount</v>
      </c>
      <c r="N1610" t="str">
        <f t="shared" si="25"/>
        <v>0-10%</v>
      </c>
    </row>
    <row r="1611" spans="1:14">
      <c r="A1611" s="1">
        <v>45199</v>
      </c>
      <c r="B1611" t="s">
        <v>1673</v>
      </c>
      <c r="C1611" t="s">
        <v>15</v>
      </c>
      <c r="D1611" t="s">
        <v>84</v>
      </c>
      <c r="E1611">
        <v>2314.08</v>
      </c>
      <c r="F1611" t="s">
        <v>13</v>
      </c>
      <c r="G1611">
        <v>2664.89</v>
      </c>
      <c r="H1611">
        <v>350.81</v>
      </c>
      <c r="I1611">
        <v>10</v>
      </c>
      <c r="J1611">
        <v>1</v>
      </c>
      <c r="K1611" t="str">
        <f>TEXT(discount_impact_on_profit_2000_rows[[#This Row],[order date]],"mmmm")</f>
        <v>September</v>
      </c>
      <c r="L1611">
        <f>YEAR(discount_impact_on_profit_2000_rows[[#This Row],[order date]])</f>
        <v>2023</v>
      </c>
      <c r="M1611" t="str">
        <f>IF(discount_impact_on_profit_2000_rows[[#This Row],[Discount %]]=0,"Zero Discount",IF(discount_impact_on_profit_2000_rows[[#This Row],[Discount %]]&lt;=10,"Low Discount","High Discount"))</f>
        <v>Low Discount</v>
      </c>
      <c r="N1611" t="str">
        <f t="shared" si="25"/>
        <v>0-10%</v>
      </c>
    </row>
    <row r="1612" spans="1:14">
      <c r="A1612" s="1">
        <v>46002</v>
      </c>
      <c r="B1612" t="s">
        <v>1674</v>
      </c>
      <c r="C1612" t="s">
        <v>53</v>
      </c>
      <c r="D1612" t="s">
        <v>113</v>
      </c>
      <c r="E1612">
        <v>5946.37</v>
      </c>
      <c r="F1612" t="s">
        <v>26</v>
      </c>
      <c r="G1612">
        <v>7817.07</v>
      </c>
      <c r="H1612">
        <v>1870.7</v>
      </c>
      <c r="I1612">
        <v>15</v>
      </c>
      <c r="J1612">
        <v>2</v>
      </c>
      <c r="K1612" t="str">
        <f>TEXT(discount_impact_on_profit_2000_rows[[#This Row],[order date]],"mmmm")</f>
        <v>December</v>
      </c>
      <c r="L1612">
        <f>YEAR(discount_impact_on_profit_2000_rows[[#This Row],[order date]])</f>
        <v>2025</v>
      </c>
      <c r="M1612" t="str">
        <f>IF(discount_impact_on_profit_2000_rows[[#This Row],[Discount %]]=0,"Zero Discount",IF(discount_impact_on_profit_2000_rows[[#This Row],[Discount %]]&lt;=10,"Low Discount","High Discount"))</f>
        <v>High Discount</v>
      </c>
      <c r="N1612" t="str">
        <f t="shared" si="25"/>
        <v>10-20%</v>
      </c>
    </row>
    <row r="1613" spans="1:14">
      <c r="A1613" s="1">
        <v>45670</v>
      </c>
      <c r="B1613" t="s">
        <v>1675</v>
      </c>
      <c r="C1613" t="s">
        <v>33</v>
      </c>
      <c r="D1613" t="s">
        <v>92</v>
      </c>
      <c r="E1613">
        <v>7913.07</v>
      </c>
      <c r="F1613" t="s">
        <v>36</v>
      </c>
      <c r="G1613">
        <v>11013.46</v>
      </c>
      <c r="H1613">
        <v>3100.39</v>
      </c>
      <c r="I1613">
        <v>15</v>
      </c>
      <c r="J1613">
        <v>1</v>
      </c>
      <c r="K1613" t="str">
        <f>TEXT(discount_impact_on_profit_2000_rows[[#This Row],[order date]],"mmmm")</f>
        <v>January</v>
      </c>
      <c r="L1613">
        <f>YEAR(discount_impact_on_profit_2000_rows[[#This Row],[order date]])</f>
        <v>2025</v>
      </c>
      <c r="M1613" t="str">
        <f>IF(discount_impact_on_profit_2000_rows[[#This Row],[Discount %]]=0,"Zero Discount",IF(discount_impact_on_profit_2000_rows[[#This Row],[Discount %]]&lt;=10,"Low Discount","High Discount"))</f>
        <v>High Discount</v>
      </c>
      <c r="N1613" t="str">
        <f t="shared" si="25"/>
        <v>10-20%</v>
      </c>
    </row>
    <row r="1614" spans="1:14">
      <c r="A1614" s="1">
        <v>45482</v>
      </c>
      <c r="B1614" t="s">
        <v>1676</v>
      </c>
      <c r="C1614" t="s">
        <v>53</v>
      </c>
      <c r="D1614" t="s">
        <v>54</v>
      </c>
      <c r="E1614">
        <v>2037.56</v>
      </c>
      <c r="F1614" t="s">
        <v>26</v>
      </c>
      <c r="G1614">
        <v>4523.46</v>
      </c>
      <c r="H1614">
        <v>2485.9</v>
      </c>
      <c r="I1614">
        <v>10</v>
      </c>
      <c r="J1614">
        <v>2</v>
      </c>
      <c r="K1614" t="str">
        <f>TEXT(discount_impact_on_profit_2000_rows[[#This Row],[order date]],"mmmm")</f>
        <v>July</v>
      </c>
      <c r="L1614">
        <f>YEAR(discount_impact_on_profit_2000_rows[[#This Row],[order date]])</f>
        <v>2024</v>
      </c>
      <c r="M1614" t="str">
        <f>IF(discount_impact_on_profit_2000_rows[[#This Row],[Discount %]]=0,"Zero Discount",IF(discount_impact_on_profit_2000_rows[[#This Row],[Discount %]]&lt;=10,"Low Discount","High Discount"))</f>
        <v>Low Discount</v>
      </c>
      <c r="N1614" t="str">
        <f t="shared" si="25"/>
        <v>0-10%</v>
      </c>
    </row>
    <row r="1615" spans="1:14">
      <c r="A1615" s="1">
        <v>45146</v>
      </c>
      <c r="B1615" t="s">
        <v>1677</v>
      </c>
      <c r="C1615" t="s">
        <v>11</v>
      </c>
      <c r="D1615" t="s">
        <v>12</v>
      </c>
      <c r="E1615">
        <v>5237.1000000000004</v>
      </c>
      <c r="F1615" t="s">
        <v>23</v>
      </c>
      <c r="G1615">
        <v>8407.92</v>
      </c>
      <c r="H1615">
        <v>3170.82</v>
      </c>
      <c r="I1615">
        <v>15</v>
      </c>
      <c r="J1615">
        <v>2</v>
      </c>
      <c r="K1615" t="str">
        <f>TEXT(discount_impact_on_profit_2000_rows[[#This Row],[order date]],"mmmm")</f>
        <v>August</v>
      </c>
      <c r="L1615">
        <f>YEAR(discount_impact_on_profit_2000_rows[[#This Row],[order date]])</f>
        <v>2023</v>
      </c>
      <c r="M1615" t="str">
        <f>IF(discount_impact_on_profit_2000_rows[[#This Row],[Discount %]]=0,"Zero Discount",IF(discount_impact_on_profit_2000_rows[[#This Row],[Discount %]]&lt;=10,"Low Discount","High Discount"))</f>
        <v>High Discount</v>
      </c>
      <c r="N1615" t="str">
        <f t="shared" si="25"/>
        <v>10-20%</v>
      </c>
    </row>
    <row r="1616" spans="1:14">
      <c r="A1616" s="1">
        <v>45763</v>
      </c>
      <c r="B1616" t="s">
        <v>1678</v>
      </c>
      <c r="C1616" t="s">
        <v>33</v>
      </c>
      <c r="D1616" t="s">
        <v>102</v>
      </c>
      <c r="E1616">
        <v>11228.49</v>
      </c>
      <c r="F1616" t="s">
        <v>31</v>
      </c>
      <c r="G1616">
        <v>12725.77</v>
      </c>
      <c r="H1616">
        <v>1497.28</v>
      </c>
      <c r="I1616">
        <v>20</v>
      </c>
      <c r="J1616">
        <v>3</v>
      </c>
      <c r="K1616" t="str">
        <f>TEXT(discount_impact_on_profit_2000_rows[[#This Row],[order date]],"mmmm")</f>
        <v>April</v>
      </c>
      <c r="L1616">
        <f>YEAR(discount_impact_on_profit_2000_rows[[#This Row],[order date]])</f>
        <v>2025</v>
      </c>
      <c r="M1616" t="str">
        <f>IF(discount_impact_on_profit_2000_rows[[#This Row],[Discount %]]=0,"Zero Discount",IF(discount_impact_on_profit_2000_rows[[#This Row],[Discount %]]&lt;=10,"Low Discount","High Discount"))</f>
        <v>High Discount</v>
      </c>
      <c r="N1616" t="str">
        <f t="shared" si="25"/>
        <v>10-20%</v>
      </c>
    </row>
    <row r="1617" spans="1:14">
      <c r="A1617" s="1">
        <v>45429</v>
      </c>
      <c r="B1617" t="s">
        <v>1679</v>
      </c>
      <c r="C1617" t="s">
        <v>11</v>
      </c>
      <c r="D1617" t="s">
        <v>64</v>
      </c>
      <c r="E1617">
        <v>251.7</v>
      </c>
      <c r="F1617" t="s">
        <v>31</v>
      </c>
      <c r="G1617">
        <v>634.74</v>
      </c>
      <c r="H1617">
        <v>383.04</v>
      </c>
      <c r="I1617">
        <v>0</v>
      </c>
      <c r="J1617">
        <v>2</v>
      </c>
      <c r="K1617" t="str">
        <f>TEXT(discount_impact_on_profit_2000_rows[[#This Row],[order date]],"mmmm")</f>
        <v>May</v>
      </c>
      <c r="L1617">
        <f>YEAR(discount_impact_on_profit_2000_rows[[#This Row],[order date]])</f>
        <v>2024</v>
      </c>
      <c r="M1617" t="str">
        <f>IF(discount_impact_on_profit_2000_rows[[#This Row],[Discount %]]=0,"Zero Discount",IF(discount_impact_on_profit_2000_rows[[#This Row],[Discount %]]&lt;=10,"Low Discount","High Discount"))</f>
        <v>Zero Discount</v>
      </c>
      <c r="N1617" t="str">
        <f t="shared" si="25"/>
        <v>0-10%</v>
      </c>
    </row>
    <row r="1618" spans="1:14">
      <c r="A1618" s="1">
        <v>44940</v>
      </c>
      <c r="B1618" t="s">
        <v>1680</v>
      </c>
      <c r="C1618" t="s">
        <v>15</v>
      </c>
      <c r="D1618" t="s">
        <v>84</v>
      </c>
      <c r="E1618">
        <v>6691.63</v>
      </c>
      <c r="F1618" t="s">
        <v>36</v>
      </c>
      <c r="G1618">
        <v>10454.9</v>
      </c>
      <c r="H1618">
        <v>3763.27</v>
      </c>
      <c r="I1618">
        <v>0</v>
      </c>
      <c r="J1618">
        <v>2</v>
      </c>
      <c r="K1618" t="str">
        <f>TEXT(discount_impact_on_profit_2000_rows[[#This Row],[order date]],"mmmm")</f>
        <v>January</v>
      </c>
      <c r="L1618">
        <f>YEAR(discount_impact_on_profit_2000_rows[[#This Row],[order date]])</f>
        <v>2023</v>
      </c>
      <c r="M1618" t="str">
        <f>IF(discount_impact_on_profit_2000_rows[[#This Row],[Discount %]]=0,"Zero Discount",IF(discount_impact_on_profit_2000_rows[[#This Row],[Discount %]]&lt;=10,"Low Discount","High Discount"))</f>
        <v>Zero Discount</v>
      </c>
      <c r="N1618" t="str">
        <f t="shared" si="25"/>
        <v>0-10%</v>
      </c>
    </row>
    <row r="1619" spans="1:14">
      <c r="A1619" s="1">
        <v>45383</v>
      </c>
      <c r="B1619" t="s">
        <v>1681</v>
      </c>
      <c r="C1619" t="s">
        <v>33</v>
      </c>
      <c r="D1619" t="s">
        <v>92</v>
      </c>
      <c r="E1619">
        <v>11585.59</v>
      </c>
      <c r="F1619" t="s">
        <v>36</v>
      </c>
      <c r="G1619">
        <v>15583.75</v>
      </c>
      <c r="H1619">
        <v>3998.16</v>
      </c>
      <c r="I1619">
        <v>10</v>
      </c>
      <c r="J1619">
        <v>4</v>
      </c>
      <c r="K1619" t="str">
        <f>TEXT(discount_impact_on_profit_2000_rows[[#This Row],[order date]],"mmmm")</f>
        <v>April</v>
      </c>
      <c r="L1619">
        <f>YEAR(discount_impact_on_profit_2000_rows[[#This Row],[order date]])</f>
        <v>2024</v>
      </c>
      <c r="M1619" t="str">
        <f>IF(discount_impact_on_profit_2000_rows[[#This Row],[Discount %]]=0,"Zero Discount",IF(discount_impact_on_profit_2000_rows[[#This Row],[Discount %]]&lt;=10,"Low Discount","High Discount"))</f>
        <v>Low Discount</v>
      </c>
      <c r="N1619" t="str">
        <f t="shared" si="25"/>
        <v>0-10%</v>
      </c>
    </row>
    <row r="1620" spans="1:14">
      <c r="A1620" s="1">
        <v>45874</v>
      </c>
      <c r="B1620" t="s">
        <v>1682</v>
      </c>
      <c r="C1620" t="s">
        <v>18</v>
      </c>
      <c r="D1620" t="s">
        <v>88</v>
      </c>
      <c r="E1620">
        <v>498.42</v>
      </c>
      <c r="F1620" t="s">
        <v>23</v>
      </c>
      <c r="G1620">
        <v>809.46</v>
      </c>
      <c r="H1620">
        <v>311.04000000000002</v>
      </c>
      <c r="I1620">
        <v>20</v>
      </c>
      <c r="J1620">
        <v>3</v>
      </c>
      <c r="K1620" t="str">
        <f>TEXT(discount_impact_on_profit_2000_rows[[#This Row],[order date]],"mmmm")</f>
        <v>August</v>
      </c>
      <c r="L1620">
        <f>YEAR(discount_impact_on_profit_2000_rows[[#This Row],[order date]])</f>
        <v>2025</v>
      </c>
      <c r="M1620" t="str">
        <f>IF(discount_impact_on_profit_2000_rows[[#This Row],[Discount %]]=0,"Zero Discount",IF(discount_impact_on_profit_2000_rows[[#This Row],[Discount %]]&lt;=10,"Low Discount","High Discount"))</f>
        <v>High Discount</v>
      </c>
      <c r="N1620" t="str">
        <f t="shared" si="25"/>
        <v>10-20%</v>
      </c>
    </row>
    <row r="1621" spans="1:14">
      <c r="A1621" s="1">
        <v>45853</v>
      </c>
      <c r="B1621" t="s">
        <v>1683</v>
      </c>
      <c r="C1621" t="s">
        <v>21</v>
      </c>
      <c r="D1621" t="s">
        <v>123</v>
      </c>
      <c r="E1621">
        <v>3260.88</v>
      </c>
      <c r="F1621" t="s">
        <v>36</v>
      </c>
      <c r="G1621">
        <v>3526.09</v>
      </c>
      <c r="H1621">
        <v>265.20999999999998</v>
      </c>
      <c r="I1621">
        <v>20</v>
      </c>
      <c r="J1621">
        <v>1</v>
      </c>
      <c r="K1621" t="str">
        <f>TEXT(discount_impact_on_profit_2000_rows[[#This Row],[order date]],"mmmm")</f>
        <v>July</v>
      </c>
      <c r="L1621">
        <f>YEAR(discount_impact_on_profit_2000_rows[[#This Row],[order date]])</f>
        <v>2025</v>
      </c>
      <c r="M1621" t="str">
        <f>IF(discount_impact_on_profit_2000_rows[[#This Row],[Discount %]]=0,"Zero Discount",IF(discount_impact_on_profit_2000_rows[[#This Row],[Discount %]]&lt;=10,"Low Discount","High Discount"))</f>
        <v>High Discount</v>
      </c>
      <c r="N1621" t="str">
        <f t="shared" si="25"/>
        <v>10-20%</v>
      </c>
    </row>
    <row r="1622" spans="1:14">
      <c r="A1622" s="1">
        <v>45473</v>
      </c>
      <c r="B1622" t="s">
        <v>1684</v>
      </c>
      <c r="C1622" t="s">
        <v>33</v>
      </c>
      <c r="D1622" t="s">
        <v>34</v>
      </c>
      <c r="E1622">
        <v>7559.62</v>
      </c>
      <c r="F1622" t="s">
        <v>31</v>
      </c>
      <c r="G1622">
        <v>11050.44</v>
      </c>
      <c r="H1622">
        <v>3490.82</v>
      </c>
      <c r="I1622">
        <v>0</v>
      </c>
      <c r="J1622">
        <v>3</v>
      </c>
      <c r="K1622" t="str">
        <f>TEXT(discount_impact_on_profit_2000_rows[[#This Row],[order date]],"mmmm")</f>
        <v>June</v>
      </c>
      <c r="L1622">
        <f>YEAR(discount_impact_on_profit_2000_rows[[#This Row],[order date]])</f>
        <v>2024</v>
      </c>
      <c r="M1622" t="str">
        <f>IF(discount_impact_on_profit_2000_rows[[#This Row],[Discount %]]=0,"Zero Discount",IF(discount_impact_on_profit_2000_rows[[#This Row],[Discount %]]&lt;=10,"Low Discount","High Discount"))</f>
        <v>Zero Discount</v>
      </c>
      <c r="N1622" t="str">
        <f t="shared" si="25"/>
        <v>0-10%</v>
      </c>
    </row>
    <row r="1623" spans="1:14">
      <c r="A1623" s="1">
        <v>45963</v>
      </c>
      <c r="B1623" t="s">
        <v>1685</v>
      </c>
      <c r="C1623" t="s">
        <v>11</v>
      </c>
      <c r="D1623" t="s">
        <v>25</v>
      </c>
      <c r="E1623">
        <v>7794.56</v>
      </c>
      <c r="F1623" t="s">
        <v>26</v>
      </c>
      <c r="G1623">
        <v>16679.2</v>
      </c>
      <c r="H1623">
        <v>8884.64</v>
      </c>
      <c r="I1623">
        <v>5</v>
      </c>
      <c r="J1623">
        <v>4</v>
      </c>
      <c r="K1623" t="str">
        <f>TEXT(discount_impact_on_profit_2000_rows[[#This Row],[order date]],"mmmm")</f>
        <v>November</v>
      </c>
      <c r="L1623">
        <f>YEAR(discount_impact_on_profit_2000_rows[[#This Row],[order date]])</f>
        <v>2025</v>
      </c>
      <c r="M1623" t="str">
        <f>IF(discount_impact_on_profit_2000_rows[[#This Row],[Discount %]]=0,"Zero Discount",IF(discount_impact_on_profit_2000_rows[[#This Row],[Discount %]]&lt;=10,"Low Discount","High Discount"))</f>
        <v>Low Discount</v>
      </c>
      <c r="N1623" t="str">
        <f t="shared" si="25"/>
        <v>0-10%</v>
      </c>
    </row>
    <row r="1624" spans="1:14">
      <c r="A1624" s="1">
        <v>45451</v>
      </c>
      <c r="B1624" t="s">
        <v>1686</v>
      </c>
      <c r="C1624" t="s">
        <v>21</v>
      </c>
      <c r="D1624" t="s">
        <v>57</v>
      </c>
      <c r="E1624">
        <v>4692.1499999999996</v>
      </c>
      <c r="F1624" t="s">
        <v>31</v>
      </c>
      <c r="G1624">
        <v>4849.03</v>
      </c>
      <c r="H1624">
        <v>156.88</v>
      </c>
      <c r="I1624">
        <v>15</v>
      </c>
      <c r="J1624">
        <v>5</v>
      </c>
      <c r="K1624" t="str">
        <f>TEXT(discount_impact_on_profit_2000_rows[[#This Row],[order date]],"mmmm")</f>
        <v>June</v>
      </c>
      <c r="L1624">
        <f>YEAR(discount_impact_on_profit_2000_rows[[#This Row],[order date]])</f>
        <v>2024</v>
      </c>
      <c r="M1624" t="str">
        <f>IF(discount_impact_on_profit_2000_rows[[#This Row],[Discount %]]=0,"Zero Discount",IF(discount_impact_on_profit_2000_rows[[#This Row],[Discount %]]&lt;=10,"Low Discount","High Discount"))</f>
        <v>High Discount</v>
      </c>
      <c r="N1624" t="str">
        <f t="shared" si="25"/>
        <v>10-20%</v>
      </c>
    </row>
    <row r="1625" spans="1:14">
      <c r="A1625" s="1">
        <v>45362</v>
      </c>
      <c r="B1625" t="s">
        <v>1687</v>
      </c>
      <c r="C1625" t="s">
        <v>33</v>
      </c>
      <c r="D1625" t="s">
        <v>203</v>
      </c>
      <c r="E1625">
        <v>11558.5</v>
      </c>
      <c r="F1625" t="s">
        <v>26</v>
      </c>
      <c r="G1625">
        <v>13576.01</v>
      </c>
      <c r="H1625">
        <v>2017.51</v>
      </c>
      <c r="I1625">
        <v>10</v>
      </c>
      <c r="J1625">
        <v>2</v>
      </c>
      <c r="K1625" t="str">
        <f>TEXT(discount_impact_on_profit_2000_rows[[#This Row],[order date]],"mmmm")</f>
        <v>March</v>
      </c>
      <c r="L1625">
        <f>YEAR(discount_impact_on_profit_2000_rows[[#This Row],[order date]])</f>
        <v>2024</v>
      </c>
      <c r="M1625" t="str">
        <f>IF(discount_impact_on_profit_2000_rows[[#This Row],[Discount %]]=0,"Zero Discount",IF(discount_impact_on_profit_2000_rows[[#This Row],[Discount %]]&lt;=10,"Low Discount","High Discount"))</f>
        <v>Low Discount</v>
      </c>
      <c r="N1625" t="str">
        <f t="shared" si="25"/>
        <v>0-10%</v>
      </c>
    </row>
    <row r="1626" spans="1:14">
      <c r="A1626" s="1">
        <v>45207</v>
      </c>
      <c r="B1626" t="s">
        <v>1688</v>
      </c>
      <c r="C1626" t="s">
        <v>15</v>
      </c>
      <c r="D1626" t="s">
        <v>99</v>
      </c>
      <c r="E1626">
        <v>27688.03</v>
      </c>
      <c r="F1626" t="s">
        <v>26</v>
      </c>
      <c r="G1626">
        <v>33864</v>
      </c>
      <c r="H1626">
        <v>6175.97</v>
      </c>
      <c r="I1626">
        <v>10</v>
      </c>
      <c r="J1626">
        <v>3</v>
      </c>
      <c r="K1626" t="str">
        <f>TEXT(discount_impact_on_profit_2000_rows[[#This Row],[order date]],"mmmm")</f>
        <v>October</v>
      </c>
      <c r="L1626">
        <f>YEAR(discount_impact_on_profit_2000_rows[[#This Row],[order date]])</f>
        <v>2023</v>
      </c>
      <c r="M1626" t="str">
        <f>IF(discount_impact_on_profit_2000_rows[[#This Row],[Discount %]]=0,"Zero Discount",IF(discount_impact_on_profit_2000_rows[[#This Row],[Discount %]]&lt;=10,"Low Discount","High Discount"))</f>
        <v>Low Discount</v>
      </c>
      <c r="N1626" t="str">
        <f t="shared" si="25"/>
        <v>0-10%</v>
      </c>
    </row>
    <row r="1627" spans="1:14">
      <c r="A1627" s="1">
        <v>45214</v>
      </c>
      <c r="B1627" t="s">
        <v>1689</v>
      </c>
      <c r="C1627" t="s">
        <v>15</v>
      </c>
      <c r="D1627" t="s">
        <v>86</v>
      </c>
      <c r="E1627">
        <v>10569.52</v>
      </c>
      <c r="F1627" t="s">
        <v>31</v>
      </c>
      <c r="G1627">
        <v>13352.39</v>
      </c>
      <c r="H1627">
        <v>2782.87</v>
      </c>
      <c r="I1627">
        <v>10</v>
      </c>
      <c r="J1627">
        <v>3</v>
      </c>
      <c r="K1627" t="str">
        <f>TEXT(discount_impact_on_profit_2000_rows[[#This Row],[order date]],"mmmm")</f>
        <v>October</v>
      </c>
      <c r="L1627">
        <f>YEAR(discount_impact_on_profit_2000_rows[[#This Row],[order date]])</f>
        <v>2023</v>
      </c>
      <c r="M1627" t="str">
        <f>IF(discount_impact_on_profit_2000_rows[[#This Row],[Discount %]]=0,"Zero Discount",IF(discount_impact_on_profit_2000_rows[[#This Row],[Discount %]]&lt;=10,"Low Discount","High Discount"))</f>
        <v>Low Discount</v>
      </c>
      <c r="N1627" t="str">
        <f t="shared" si="25"/>
        <v>0-10%</v>
      </c>
    </row>
    <row r="1628" spans="1:14">
      <c r="A1628" s="1">
        <v>45240</v>
      </c>
      <c r="B1628" t="s">
        <v>1690</v>
      </c>
      <c r="C1628" t="s">
        <v>11</v>
      </c>
      <c r="D1628" t="s">
        <v>30</v>
      </c>
      <c r="E1628">
        <v>245.93</v>
      </c>
      <c r="F1628" t="s">
        <v>31</v>
      </c>
      <c r="G1628">
        <v>525.66999999999996</v>
      </c>
      <c r="H1628">
        <v>279.74</v>
      </c>
      <c r="I1628">
        <v>5</v>
      </c>
      <c r="J1628">
        <v>1</v>
      </c>
      <c r="K1628" t="str">
        <f>TEXT(discount_impact_on_profit_2000_rows[[#This Row],[order date]],"mmmm")</f>
        <v>November</v>
      </c>
      <c r="L1628">
        <f>YEAR(discount_impact_on_profit_2000_rows[[#This Row],[order date]])</f>
        <v>2023</v>
      </c>
      <c r="M1628" t="str">
        <f>IF(discount_impact_on_profit_2000_rows[[#This Row],[Discount %]]=0,"Zero Discount",IF(discount_impact_on_profit_2000_rows[[#This Row],[Discount %]]&lt;=10,"Low Discount","High Discount"))</f>
        <v>Low Discount</v>
      </c>
      <c r="N1628" t="str">
        <f t="shared" si="25"/>
        <v>0-10%</v>
      </c>
    </row>
    <row r="1629" spans="1:14">
      <c r="A1629" s="1">
        <v>45395</v>
      </c>
      <c r="B1629" t="s">
        <v>1691</v>
      </c>
      <c r="C1629" t="s">
        <v>15</v>
      </c>
      <c r="D1629" t="s">
        <v>99</v>
      </c>
      <c r="E1629">
        <v>1592.13</v>
      </c>
      <c r="F1629" t="s">
        <v>13</v>
      </c>
      <c r="G1629">
        <v>2216.5500000000002</v>
      </c>
      <c r="H1629">
        <v>624.41999999999996</v>
      </c>
      <c r="I1629">
        <v>0</v>
      </c>
      <c r="J1629">
        <v>1</v>
      </c>
      <c r="K1629" t="str">
        <f>TEXT(discount_impact_on_profit_2000_rows[[#This Row],[order date]],"mmmm")</f>
        <v>April</v>
      </c>
      <c r="L1629">
        <f>YEAR(discount_impact_on_profit_2000_rows[[#This Row],[order date]])</f>
        <v>2024</v>
      </c>
      <c r="M1629" t="str">
        <f>IF(discount_impact_on_profit_2000_rows[[#This Row],[Discount %]]=0,"Zero Discount",IF(discount_impact_on_profit_2000_rows[[#This Row],[Discount %]]&lt;=10,"Low Discount","High Discount"))</f>
        <v>Zero Discount</v>
      </c>
      <c r="N1629" t="str">
        <f t="shared" si="25"/>
        <v>0-10%</v>
      </c>
    </row>
    <row r="1630" spans="1:14">
      <c r="A1630" s="1">
        <v>44944</v>
      </c>
      <c r="B1630" t="s">
        <v>1692</v>
      </c>
      <c r="C1630" t="s">
        <v>18</v>
      </c>
      <c r="D1630" t="s">
        <v>188</v>
      </c>
      <c r="E1630">
        <v>372.97</v>
      </c>
      <c r="F1630" t="s">
        <v>26</v>
      </c>
      <c r="G1630">
        <v>470.6</v>
      </c>
      <c r="H1630">
        <v>97.63</v>
      </c>
      <c r="I1630">
        <v>20</v>
      </c>
      <c r="J1630">
        <v>5</v>
      </c>
      <c r="K1630" t="str">
        <f>TEXT(discount_impact_on_profit_2000_rows[[#This Row],[order date]],"mmmm")</f>
        <v>January</v>
      </c>
      <c r="L1630">
        <f>YEAR(discount_impact_on_profit_2000_rows[[#This Row],[order date]])</f>
        <v>2023</v>
      </c>
      <c r="M1630" t="str">
        <f>IF(discount_impact_on_profit_2000_rows[[#This Row],[Discount %]]=0,"Zero Discount",IF(discount_impact_on_profit_2000_rows[[#This Row],[Discount %]]&lt;=10,"Low Discount","High Discount"))</f>
        <v>High Discount</v>
      </c>
      <c r="N1630" t="str">
        <f t="shared" si="25"/>
        <v>10-20%</v>
      </c>
    </row>
    <row r="1631" spans="1:14">
      <c r="A1631" s="1">
        <v>45519</v>
      </c>
      <c r="B1631" t="s">
        <v>1693</v>
      </c>
      <c r="C1631" t="s">
        <v>21</v>
      </c>
      <c r="D1631" t="s">
        <v>154</v>
      </c>
      <c r="E1631">
        <v>4632.7299999999996</v>
      </c>
      <c r="F1631" t="s">
        <v>26</v>
      </c>
      <c r="G1631">
        <v>5234.87</v>
      </c>
      <c r="H1631">
        <v>602.14</v>
      </c>
      <c r="I1631">
        <v>10</v>
      </c>
      <c r="J1631">
        <v>3</v>
      </c>
      <c r="K1631" t="str">
        <f>TEXT(discount_impact_on_profit_2000_rows[[#This Row],[order date]],"mmmm")</f>
        <v>August</v>
      </c>
      <c r="L1631">
        <f>YEAR(discount_impact_on_profit_2000_rows[[#This Row],[order date]])</f>
        <v>2024</v>
      </c>
      <c r="M1631" t="str">
        <f>IF(discount_impact_on_profit_2000_rows[[#This Row],[Discount %]]=0,"Zero Discount",IF(discount_impact_on_profit_2000_rows[[#This Row],[Discount %]]&lt;=10,"Low Discount","High Discount"))</f>
        <v>Low Discount</v>
      </c>
      <c r="N1631" t="str">
        <f t="shared" si="25"/>
        <v>0-10%</v>
      </c>
    </row>
    <row r="1632" spans="1:14">
      <c r="A1632" s="1">
        <v>45611</v>
      </c>
      <c r="B1632" t="s">
        <v>1694</v>
      </c>
      <c r="C1632" t="s">
        <v>53</v>
      </c>
      <c r="D1632" t="s">
        <v>78</v>
      </c>
      <c r="E1632">
        <v>5527.82</v>
      </c>
      <c r="F1632" t="s">
        <v>31</v>
      </c>
      <c r="G1632">
        <v>7518.6</v>
      </c>
      <c r="H1632">
        <v>1990.78</v>
      </c>
      <c r="I1632">
        <v>25</v>
      </c>
      <c r="J1632">
        <v>2</v>
      </c>
      <c r="K1632" t="str">
        <f>TEXT(discount_impact_on_profit_2000_rows[[#This Row],[order date]],"mmmm")</f>
        <v>November</v>
      </c>
      <c r="L1632">
        <f>YEAR(discount_impact_on_profit_2000_rows[[#This Row],[order date]])</f>
        <v>2024</v>
      </c>
      <c r="M1632" t="str">
        <f>IF(discount_impact_on_profit_2000_rows[[#This Row],[Discount %]]=0,"Zero Discount",IF(discount_impact_on_profit_2000_rows[[#This Row],[Discount %]]&lt;=10,"Low Discount","High Discount"))</f>
        <v>High Discount</v>
      </c>
      <c r="N1632" t="str">
        <f t="shared" si="25"/>
        <v>20-30%</v>
      </c>
    </row>
    <row r="1633" spans="1:14">
      <c r="A1633" s="1">
        <v>45671</v>
      </c>
      <c r="B1633" t="s">
        <v>1695</v>
      </c>
      <c r="C1633" t="s">
        <v>53</v>
      </c>
      <c r="D1633" t="s">
        <v>95</v>
      </c>
      <c r="E1633">
        <v>2409.91</v>
      </c>
      <c r="F1633" t="s">
        <v>26</v>
      </c>
      <c r="G1633">
        <v>3457.75</v>
      </c>
      <c r="H1633">
        <v>1047.8399999999999</v>
      </c>
      <c r="I1633">
        <v>15</v>
      </c>
      <c r="J1633">
        <v>2</v>
      </c>
      <c r="K1633" t="str">
        <f>TEXT(discount_impact_on_profit_2000_rows[[#This Row],[order date]],"mmmm")</f>
        <v>January</v>
      </c>
      <c r="L1633">
        <f>YEAR(discount_impact_on_profit_2000_rows[[#This Row],[order date]])</f>
        <v>2025</v>
      </c>
      <c r="M1633" t="str">
        <f>IF(discount_impact_on_profit_2000_rows[[#This Row],[Discount %]]=0,"Zero Discount",IF(discount_impact_on_profit_2000_rows[[#This Row],[Discount %]]&lt;=10,"Low Discount","High Discount"))</f>
        <v>High Discount</v>
      </c>
      <c r="N1633" t="str">
        <f t="shared" si="25"/>
        <v>10-20%</v>
      </c>
    </row>
    <row r="1634" spans="1:14">
      <c r="A1634" s="1">
        <v>45723</v>
      </c>
      <c r="B1634" t="s">
        <v>1696</v>
      </c>
      <c r="C1634" t="s">
        <v>18</v>
      </c>
      <c r="D1634" t="s">
        <v>50</v>
      </c>
      <c r="E1634">
        <v>869.35</v>
      </c>
      <c r="F1634" t="s">
        <v>13</v>
      </c>
      <c r="G1634">
        <v>1240.95</v>
      </c>
      <c r="H1634">
        <v>371.6</v>
      </c>
      <c r="I1634">
        <v>10</v>
      </c>
      <c r="J1634">
        <v>1</v>
      </c>
      <c r="K1634" t="str">
        <f>TEXT(discount_impact_on_profit_2000_rows[[#This Row],[order date]],"mmmm")</f>
        <v>March</v>
      </c>
      <c r="L1634">
        <f>YEAR(discount_impact_on_profit_2000_rows[[#This Row],[order date]])</f>
        <v>2025</v>
      </c>
      <c r="M1634" t="str">
        <f>IF(discount_impact_on_profit_2000_rows[[#This Row],[Discount %]]=0,"Zero Discount",IF(discount_impact_on_profit_2000_rows[[#This Row],[Discount %]]&lt;=10,"Low Discount","High Discount"))</f>
        <v>Low Discount</v>
      </c>
      <c r="N1634" t="str">
        <f t="shared" si="25"/>
        <v>0-10%</v>
      </c>
    </row>
    <row r="1635" spans="1:14">
      <c r="A1635" s="1">
        <v>45983</v>
      </c>
      <c r="B1635" t="s">
        <v>1697</v>
      </c>
      <c r="C1635" t="s">
        <v>53</v>
      </c>
      <c r="D1635" t="s">
        <v>70</v>
      </c>
      <c r="E1635">
        <v>5589.8</v>
      </c>
      <c r="F1635" t="s">
        <v>23</v>
      </c>
      <c r="G1635">
        <v>7761.04</v>
      </c>
      <c r="H1635">
        <v>2171.2399999999998</v>
      </c>
      <c r="I1635">
        <v>20</v>
      </c>
      <c r="J1635">
        <v>8</v>
      </c>
      <c r="K1635" t="str">
        <f>TEXT(discount_impact_on_profit_2000_rows[[#This Row],[order date]],"mmmm")</f>
        <v>November</v>
      </c>
      <c r="L1635">
        <f>YEAR(discount_impact_on_profit_2000_rows[[#This Row],[order date]])</f>
        <v>2025</v>
      </c>
      <c r="M1635" t="str">
        <f>IF(discount_impact_on_profit_2000_rows[[#This Row],[Discount %]]=0,"Zero Discount",IF(discount_impact_on_profit_2000_rows[[#This Row],[Discount %]]&lt;=10,"Low Discount","High Discount"))</f>
        <v>High Discount</v>
      </c>
      <c r="N1635" t="str">
        <f t="shared" si="25"/>
        <v>10-20%</v>
      </c>
    </row>
    <row r="1636" spans="1:14">
      <c r="A1636" s="1">
        <v>45201</v>
      </c>
      <c r="B1636" t="s">
        <v>1698</v>
      </c>
      <c r="C1636" t="s">
        <v>18</v>
      </c>
      <c r="D1636" t="s">
        <v>50</v>
      </c>
      <c r="E1636">
        <v>303.5</v>
      </c>
      <c r="F1636" t="s">
        <v>36</v>
      </c>
      <c r="G1636">
        <v>646.54</v>
      </c>
      <c r="H1636">
        <v>343.04</v>
      </c>
      <c r="I1636">
        <v>10</v>
      </c>
      <c r="J1636">
        <v>1</v>
      </c>
      <c r="K1636" t="str">
        <f>TEXT(discount_impact_on_profit_2000_rows[[#This Row],[order date]],"mmmm")</f>
        <v>October</v>
      </c>
      <c r="L1636">
        <f>YEAR(discount_impact_on_profit_2000_rows[[#This Row],[order date]])</f>
        <v>2023</v>
      </c>
      <c r="M1636" t="str">
        <f>IF(discount_impact_on_profit_2000_rows[[#This Row],[Discount %]]=0,"Zero Discount",IF(discount_impact_on_profit_2000_rows[[#This Row],[Discount %]]&lt;=10,"Low Discount","High Discount"))</f>
        <v>Low Discount</v>
      </c>
      <c r="N1636" t="str">
        <f t="shared" si="25"/>
        <v>0-10%</v>
      </c>
    </row>
    <row r="1637" spans="1:14">
      <c r="A1637" s="1">
        <v>45391</v>
      </c>
      <c r="B1637" t="s">
        <v>1699</v>
      </c>
      <c r="C1637" t="s">
        <v>53</v>
      </c>
      <c r="D1637" t="s">
        <v>113</v>
      </c>
      <c r="E1637">
        <v>3298.76</v>
      </c>
      <c r="F1637" t="s">
        <v>23</v>
      </c>
      <c r="G1637">
        <v>5365.15</v>
      </c>
      <c r="H1637">
        <v>2066.39</v>
      </c>
      <c r="I1637">
        <v>15</v>
      </c>
      <c r="J1637">
        <v>3</v>
      </c>
      <c r="K1637" t="str">
        <f>TEXT(discount_impact_on_profit_2000_rows[[#This Row],[order date]],"mmmm")</f>
        <v>April</v>
      </c>
      <c r="L1637">
        <f>YEAR(discount_impact_on_profit_2000_rows[[#This Row],[order date]])</f>
        <v>2024</v>
      </c>
      <c r="M1637" t="str">
        <f>IF(discount_impact_on_profit_2000_rows[[#This Row],[Discount %]]=0,"Zero Discount",IF(discount_impact_on_profit_2000_rows[[#This Row],[Discount %]]&lt;=10,"Low Discount","High Discount"))</f>
        <v>High Discount</v>
      </c>
      <c r="N1637" t="str">
        <f t="shared" si="25"/>
        <v>10-20%</v>
      </c>
    </row>
    <row r="1638" spans="1:14">
      <c r="A1638" s="1">
        <v>45376</v>
      </c>
      <c r="B1638" t="s">
        <v>1700</v>
      </c>
      <c r="C1638" t="s">
        <v>33</v>
      </c>
      <c r="D1638" t="s">
        <v>273</v>
      </c>
      <c r="E1638">
        <v>43427.01</v>
      </c>
      <c r="F1638" t="s">
        <v>13</v>
      </c>
      <c r="G1638">
        <v>54325.82</v>
      </c>
      <c r="H1638">
        <v>10898.81</v>
      </c>
      <c r="I1638">
        <v>10</v>
      </c>
      <c r="J1638">
        <v>4</v>
      </c>
      <c r="K1638" t="str">
        <f>TEXT(discount_impact_on_profit_2000_rows[[#This Row],[order date]],"mmmm")</f>
        <v>March</v>
      </c>
      <c r="L1638">
        <f>YEAR(discount_impact_on_profit_2000_rows[[#This Row],[order date]])</f>
        <v>2024</v>
      </c>
      <c r="M1638" t="str">
        <f>IF(discount_impact_on_profit_2000_rows[[#This Row],[Discount %]]=0,"Zero Discount",IF(discount_impact_on_profit_2000_rows[[#This Row],[Discount %]]&lt;=10,"Low Discount","High Discount"))</f>
        <v>Low Discount</v>
      </c>
      <c r="N1638" t="str">
        <f t="shared" si="25"/>
        <v>0-10%</v>
      </c>
    </row>
    <row r="1639" spans="1:14">
      <c r="A1639" s="1">
        <v>45373</v>
      </c>
      <c r="B1639" t="s">
        <v>1701</v>
      </c>
      <c r="C1639" t="s">
        <v>21</v>
      </c>
      <c r="D1639" t="s">
        <v>22</v>
      </c>
      <c r="E1639">
        <v>8888.16</v>
      </c>
      <c r="F1639" t="s">
        <v>26</v>
      </c>
      <c r="G1639">
        <v>10523.7</v>
      </c>
      <c r="H1639">
        <v>1635.54</v>
      </c>
      <c r="I1639">
        <v>5</v>
      </c>
      <c r="J1639">
        <v>2</v>
      </c>
      <c r="K1639" t="str">
        <f>TEXT(discount_impact_on_profit_2000_rows[[#This Row],[order date]],"mmmm")</f>
        <v>March</v>
      </c>
      <c r="L1639">
        <f>YEAR(discount_impact_on_profit_2000_rows[[#This Row],[order date]])</f>
        <v>2024</v>
      </c>
      <c r="M1639" t="str">
        <f>IF(discount_impact_on_profit_2000_rows[[#This Row],[Discount %]]=0,"Zero Discount",IF(discount_impact_on_profit_2000_rows[[#This Row],[Discount %]]&lt;=10,"Low Discount","High Discount"))</f>
        <v>Low Discount</v>
      </c>
      <c r="N1639" t="str">
        <f t="shared" si="25"/>
        <v>0-10%</v>
      </c>
    </row>
    <row r="1640" spans="1:14">
      <c r="A1640" s="1">
        <v>45909</v>
      </c>
      <c r="B1640" t="s">
        <v>1702</v>
      </c>
      <c r="C1640" t="s">
        <v>15</v>
      </c>
      <c r="D1640" t="s">
        <v>84</v>
      </c>
      <c r="E1640">
        <v>18084.68</v>
      </c>
      <c r="F1640" t="s">
        <v>23</v>
      </c>
      <c r="G1640">
        <v>18162.28</v>
      </c>
      <c r="H1640">
        <v>77.599999999999994</v>
      </c>
      <c r="I1640">
        <v>27</v>
      </c>
      <c r="J1640">
        <v>4</v>
      </c>
      <c r="K1640" t="str">
        <f>TEXT(discount_impact_on_profit_2000_rows[[#This Row],[order date]],"mmmm")</f>
        <v>September</v>
      </c>
      <c r="L1640">
        <f>YEAR(discount_impact_on_profit_2000_rows[[#This Row],[order date]])</f>
        <v>2025</v>
      </c>
      <c r="M1640" t="str">
        <f>IF(discount_impact_on_profit_2000_rows[[#This Row],[Discount %]]=0,"Zero Discount",IF(discount_impact_on_profit_2000_rows[[#This Row],[Discount %]]&lt;=10,"Low Discount","High Discount"))</f>
        <v>High Discount</v>
      </c>
      <c r="N1640" t="str">
        <f t="shared" si="25"/>
        <v>20-30%</v>
      </c>
    </row>
    <row r="1641" spans="1:14">
      <c r="A1641" s="1">
        <v>45425</v>
      </c>
      <c r="B1641" t="s">
        <v>1703</v>
      </c>
      <c r="C1641" t="s">
        <v>21</v>
      </c>
      <c r="D1641" t="s">
        <v>109</v>
      </c>
      <c r="E1641">
        <v>4895.8500000000004</v>
      </c>
      <c r="F1641" t="s">
        <v>26</v>
      </c>
      <c r="G1641">
        <v>5042.7299999999996</v>
      </c>
      <c r="H1641">
        <v>146.88</v>
      </c>
      <c r="I1641">
        <v>25</v>
      </c>
      <c r="J1641">
        <v>1</v>
      </c>
      <c r="K1641" t="str">
        <f>TEXT(discount_impact_on_profit_2000_rows[[#This Row],[order date]],"mmmm")</f>
        <v>May</v>
      </c>
      <c r="L1641">
        <f>YEAR(discount_impact_on_profit_2000_rows[[#This Row],[order date]])</f>
        <v>2024</v>
      </c>
      <c r="M1641" t="str">
        <f>IF(discount_impact_on_profit_2000_rows[[#This Row],[Discount %]]=0,"Zero Discount",IF(discount_impact_on_profit_2000_rows[[#This Row],[Discount %]]&lt;=10,"Low Discount","High Discount"))</f>
        <v>High Discount</v>
      </c>
      <c r="N1641" t="str">
        <f t="shared" si="25"/>
        <v>20-30%</v>
      </c>
    </row>
    <row r="1642" spans="1:14">
      <c r="A1642" s="1">
        <v>45981</v>
      </c>
      <c r="B1642" t="s">
        <v>1704</v>
      </c>
      <c r="C1642" t="s">
        <v>53</v>
      </c>
      <c r="D1642" t="s">
        <v>54</v>
      </c>
      <c r="E1642">
        <v>7167.79</v>
      </c>
      <c r="F1642" t="s">
        <v>31</v>
      </c>
      <c r="G1642">
        <v>12304.05</v>
      </c>
      <c r="H1642">
        <v>5136.26</v>
      </c>
      <c r="I1642">
        <v>5</v>
      </c>
      <c r="J1642">
        <v>5</v>
      </c>
      <c r="K1642" t="str">
        <f>TEXT(discount_impact_on_profit_2000_rows[[#This Row],[order date]],"mmmm")</f>
        <v>November</v>
      </c>
      <c r="L1642">
        <f>YEAR(discount_impact_on_profit_2000_rows[[#This Row],[order date]])</f>
        <v>2025</v>
      </c>
      <c r="M1642" t="str">
        <f>IF(discount_impact_on_profit_2000_rows[[#This Row],[Discount %]]=0,"Zero Discount",IF(discount_impact_on_profit_2000_rows[[#This Row],[Discount %]]&lt;=10,"Low Discount","High Discount"))</f>
        <v>Low Discount</v>
      </c>
      <c r="N1642" t="str">
        <f t="shared" si="25"/>
        <v>0-10%</v>
      </c>
    </row>
    <row r="1643" spans="1:14">
      <c r="A1643" s="1">
        <v>45188</v>
      </c>
      <c r="B1643" t="s">
        <v>1705</v>
      </c>
      <c r="C1643" t="s">
        <v>53</v>
      </c>
      <c r="D1643" t="s">
        <v>59</v>
      </c>
      <c r="E1643">
        <v>241.83</v>
      </c>
      <c r="F1643" t="s">
        <v>26</v>
      </c>
      <c r="G1643">
        <v>529.64</v>
      </c>
      <c r="H1643">
        <v>287.81</v>
      </c>
      <c r="I1643">
        <v>0</v>
      </c>
      <c r="J1643">
        <v>1</v>
      </c>
      <c r="K1643" t="str">
        <f>TEXT(discount_impact_on_profit_2000_rows[[#This Row],[order date]],"mmmm")</f>
        <v>September</v>
      </c>
      <c r="L1643">
        <f>YEAR(discount_impact_on_profit_2000_rows[[#This Row],[order date]])</f>
        <v>2023</v>
      </c>
      <c r="M1643" t="str">
        <f>IF(discount_impact_on_profit_2000_rows[[#This Row],[Discount %]]=0,"Zero Discount",IF(discount_impact_on_profit_2000_rows[[#This Row],[Discount %]]&lt;=10,"Low Discount","High Discount"))</f>
        <v>Zero Discount</v>
      </c>
      <c r="N1643" t="str">
        <f t="shared" si="25"/>
        <v>0-10%</v>
      </c>
    </row>
    <row r="1644" spans="1:14">
      <c r="A1644" s="1">
        <v>44985</v>
      </c>
      <c r="B1644" t="s">
        <v>1706</v>
      </c>
      <c r="C1644" t="s">
        <v>33</v>
      </c>
      <c r="D1644" t="s">
        <v>197</v>
      </c>
      <c r="E1644">
        <v>5837.78</v>
      </c>
      <c r="F1644" t="s">
        <v>13</v>
      </c>
      <c r="G1644">
        <v>6047.64</v>
      </c>
      <c r="H1644">
        <v>209.86</v>
      </c>
      <c r="I1644">
        <v>20</v>
      </c>
      <c r="J1644">
        <v>2</v>
      </c>
      <c r="K1644" t="str">
        <f>TEXT(discount_impact_on_profit_2000_rows[[#This Row],[order date]],"mmmm")</f>
        <v>February</v>
      </c>
      <c r="L1644">
        <f>YEAR(discount_impact_on_profit_2000_rows[[#This Row],[order date]])</f>
        <v>2023</v>
      </c>
      <c r="M1644" t="str">
        <f>IF(discount_impact_on_profit_2000_rows[[#This Row],[Discount %]]=0,"Zero Discount",IF(discount_impact_on_profit_2000_rows[[#This Row],[Discount %]]&lt;=10,"Low Discount","High Discount"))</f>
        <v>High Discount</v>
      </c>
      <c r="N1644" t="str">
        <f t="shared" si="25"/>
        <v>10-20%</v>
      </c>
    </row>
    <row r="1645" spans="1:14">
      <c r="A1645" s="1">
        <v>45245</v>
      </c>
      <c r="B1645" t="s">
        <v>1707</v>
      </c>
      <c r="C1645" t="s">
        <v>15</v>
      </c>
      <c r="D1645" t="s">
        <v>86</v>
      </c>
      <c r="E1645">
        <v>11423.38</v>
      </c>
      <c r="F1645" t="s">
        <v>23</v>
      </c>
      <c r="G1645">
        <v>12163.26</v>
      </c>
      <c r="H1645">
        <v>739.88</v>
      </c>
      <c r="I1645">
        <v>15</v>
      </c>
      <c r="J1645">
        <v>6</v>
      </c>
      <c r="K1645" t="str">
        <f>TEXT(discount_impact_on_profit_2000_rows[[#This Row],[order date]],"mmmm")</f>
        <v>November</v>
      </c>
      <c r="L1645">
        <f>YEAR(discount_impact_on_profit_2000_rows[[#This Row],[order date]])</f>
        <v>2023</v>
      </c>
      <c r="M1645" t="str">
        <f>IF(discount_impact_on_profit_2000_rows[[#This Row],[Discount %]]=0,"Zero Discount",IF(discount_impact_on_profit_2000_rows[[#This Row],[Discount %]]&lt;=10,"Low Discount","High Discount"))</f>
        <v>High Discount</v>
      </c>
      <c r="N1645" t="str">
        <f t="shared" si="25"/>
        <v>10-20%</v>
      </c>
    </row>
    <row r="1646" spans="1:14">
      <c r="A1646" s="1">
        <v>45063</v>
      </c>
      <c r="B1646" t="s">
        <v>1708</v>
      </c>
      <c r="C1646" t="s">
        <v>33</v>
      </c>
      <c r="D1646" t="s">
        <v>44</v>
      </c>
      <c r="E1646">
        <v>58178.59</v>
      </c>
      <c r="F1646" t="s">
        <v>31</v>
      </c>
      <c r="G1646">
        <v>81217.179999999993</v>
      </c>
      <c r="H1646">
        <v>23038.59</v>
      </c>
      <c r="I1646">
        <v>10</v>
      </c>
      <c r="J1646">
        <v>4</v>
      </c>
      <c r="K1646" t="str">
        <f>TEXT(discount_impact_on_profit_2000_rows[[#This Row],[order date]],"mmmm")</f>
        <v>May</v>
      </c>
      <c r="L1646">
        <f>YEAR(discount_impact_on_profit_2000_rows[[#This Row],[order date]])</f>
        <v>2023</v>
      </c>
      <c r="M1646" t="str">
        <f>IF(discount_impact_on_profit_2000_rows[[#This Row],[Discount %]]=0,"Zero Discount",IF(discount_impact_on_profit_2000_rows[[#This Row],[Discount %]]&lt;=10,"Low Discount","High Discount"))</f>
        <v>Low Discount</v>
      </c>
      <c r="N1646" t="str">
        <f t="shared" si="25"/>
        <v>0-10%</v>
      </c>
    </row>
    <row r="1647" spans="1:14">
      <c r="A1647" s="1">
        <v>45008</v>
      </c>
      <c r="B1647" t="s">
        <v>1709</v>
      </c>
      <c r="C1647" t="s">
        <v>11</v>
      </c>
      <c r="D1647" t="s">
        <v>12</v>
      </c>
      <c r="E1647">
        <v>1719.65</v>
      </c>
      <c r="F1647" t="s">
        <v>36</v>
      </c>
      <c r="G1647">
        <v>3120.05</v>
      </c>
      <c r="H1647">
        <v>1400.4</v>
      </c>
      <c r="I1647">
        <v>15</v>
      </c>
      <c r="J1647">
        <v>3</v>
      </c>
      <c r="K1647" t="str">
        <f>TEXT(discount_impact_on_profit_2000_rows[[#This Row],[order date]],"mmmm")</f>
        <v>March</v>
      </c>
      <c r="L1647">
        <f>YEAR(discount_impact_on_profit_2000_rows[[#This Row],[order date]])</f>
        <v>2023</v>
      </c>
      <c r="M1647" t="str">
        <f>IF(discount_impact_on_profit_2000_rows[[#This Row],[Discount %]]=0,"Zero Discount",IF(discount_impact_on_profit_2000_rows[[#This Row],[Discount %]]&lt;=10,"Low Discount","High Discount"))</f>
        <v>High Discount</v>
      </c>
      <c r="N1647" t="str">
        <f t="shared" si="25"/>
        <v>10-20%</v>
      </c>
    </row>
    <row r="1648" spans="1:14">
      <c r="A1648" s="1">
        <v>45625</v>
      </c>
      <c r="B1648" t="s">
        <v>1710</v>
      </c>
      <c r="C1648" t="s">
        <v>21</v>
      </c>
      <c r="D1648" t="s">
        <v>154</v>
      </c>
      <c r="E1648">
        <v>5932.94</v>
      </c>
      <c r="F1648" t="s">
        <v>31</v>
      </c>
      <c r="G1648">
        <v>7371.01</v>
      </c>
      <c r="H1648">
        <v>1438.07</v>
      </c>
      <c r="I1648">
        <v>5</v>
      </c>
      <c r="J1648">
        <v>1</v>
      </c>
      <c r="K1648" t="str">
        <f>TEXT(discount_impact_on_profit_2000_rows[[#This Row],[order date]],"mmmm")</f>
        <v>November</v>
      </c>
      <c r="L1648">
        <f>YEAR(discount_impact_on_profit_2000_rows[[#This Row],[order date]])</f>
        <v>2024</v>
      </c>
      <c r="M1648" t="str">
        <f>IF(discount_impact_on_profit_2000_rows[[#This Row],[Discount %]]=0,"Zero Discount",IF(discount_impact_on_profit_2000_rows[[#This Row],[Discount %]]&lt;=10,"Low Discount","High Discount"))</f>
        <v>Low Discount</v>
      </c>
      <c r="N1648" t="str">
        <f t="shared" si="25"/>
        <v>0-10%</v>
      </c>
    </row>
    <row r="1649" spans="1:14">
      <c r="A1649" s="1">
        <v>45963</v>
      </c>
      <c r="B1649" t="s">
        <v>1711</v>
      </c>
      <c r="C1649" t="s">
        <v>15</v>
      </c>
      <c r="D1649" t="s">
        <v>84</v>
      </c>
      <c r="E1649">
        <v>10863.16</v>
      </c>
      <c r="F1649" t="s">
        <v>36</v>
      </c>
      <c r="G1649">
        <v>11189.05</v>
      </c>
      <c r="H1649">
        <v>325.89</v>
      </c>
      <c r="I1649">
        <v>19</v>
      </c>
      <c r="J1649">
        <v>2</v>
      </c>
      <c r="K1649" t="str">
        <f>TEXT(discount_impact_on_profit_2000_rows[[#This Row],[order date]],"mmmm")</f>
        <v>November</v>
      </c>
      <c r="L1649">
        <f>YEAR(discount_impact_on_profit_2000_rows[[#This Row],[order date]])</f>
        <v>2025</v>
      </c>
      <c r="M1649" t="str">
        <f>IF(discount_impact_on_profit_2000_rows[[#This Row],[Discount %]]=0,"Zero Discount",IF(discount_impact_on_profit_2000_rows[[#This Row],[Discount %]]&lt;=10,"Low Discount","High Discount"))</f>
        <v>High Discount</v>
      </c>
      <c r="N1649" t="str">
        <f t="shared" si="25"/>
        <v>10-20%</v>
      </c>
    </row>
    <row r="1650" spans="1:14">
      <c r="A1650" s="1">
        <v>45568</v>
      </c>
      <c r="B1650" t="s">
        <v>1712</v>
      </c>
      <c r="C1650" t="s">
        <v>15</v>
      </c>
      <c r="D1650" t="s">
        <v>84</v>
      </c>
      <c r="E1650">
        <v>3610.58</v>
      </c>
      <c r="F1650" t="s">
        <v>36</v>
      </c>
      <c r="G1650">
        <v>4883.0600000000004</v>
      </c>
      <c r="H1650">
        <v>1272.48</v>
      </c>
      <c r="I1650">
        <v>10</v>
      </c>
      <c r="J1650">
        <v>4</v>
      </c>
      <c r="K1650" t="str">
        <f>TEXT(discount_impact_on_profit_2000_rows[[#This Row],[order date]],"mmmm")</f>
        <v>October</v>
      </c>
      <c r="L1650">
        <f>YEAR(discount_impact_on_profit_2000_rows[[#This Row],[order date]])</f>
        <v>2024</v>
      </c>
      <c r="M1650" t="str">
        <f>IF(discount_impact_on_profit_2000_rows[[#This Row],[Discount %]]=0,"Zero Discount",IF(discount_impact_on_profit_2000_rows[[#This Row],[Discount %]]&lt;=10,"Low Discount","High Discount"))</f>
        <v>Low Discount</v>
      </c>
      <c r="N1650" t="str">
        <f t="shared" si="25"/>
        <v>0-10%</v>
      </c>
    </row>
    <row r="1651" spans="1:14">
      <c r="A1651" s="1">
        <v>45552</v>
      </c>
      <c r="B1651" t="s">
        <v>1713</v>
      </c>
      <c r="C1651" t="s">
        <v>18</v>
      </c>
      <c r="D1651" t="s">
        <v>104</v>
      </c>
      <c r="E1651">
        <v>3778.07</v>
      </c>
      <c r="F1651" t="s">
        <v>13</v>
      </c>
      <c r="G1651">
        <v>4117.8999999999996</v>
      </c>
      <c r="H1651">
        <v>339.83</v>
      </c>
      <c r="I1651">
        <v>25</v>
      </c>
      <c r="J1651">
        <v>5</v>
      </c>
      <c r="K1651" t="str">
        <f>TEXT(discount_impact_on_profit_2000_rows[[#This Row],[order date]],"mmmm")</f>
        <v>September</v>
      </c>
      <c r="L1651">
        <f>YEAR(discount_impact_on_profit_2000_rows[[#This Row],[order date]])</f>
        <v>2024</v>
      </c>
      <c r="M1651" t="str">
        <f>IF(discount_impact_on_profit_2000_rows[[#This Row],[Discount %]]=0,"Zero Discount",IF(discount_impact_on_profit_2000_rows[[#This Row],[Discount %]]&lt;=10,"Low Discount","High Discount"))</f>
        <v>High Discount</v>
      </c>
      <c r="N1651" t="str">
        <f t="shared" si="25"/>
        <v>20-30%</v>
      </c>
    </row>
    <row r="1652" spans="1:14">
      <c r="A1652" s="1">
        <v>45107</v>
      </c>
      <c r="B1652" t="s">
        <v>1714</v>
      </c>
      <c r="C1652" t="s">
        <v>11</v>
      </c>
      <c r="D1652" t="s">
        <v>30</v>
      </c>
      <c r="E1652">
        <v>136.63999999999999</v>
      </c>
      <c r="F1652" t="s">
        <v>36</v>
      </c>
      <c r="G1652">
        <v>220.08</v>
      </c>
      <c r="H1652">
        <v>83.44</v>
      </c>
      <c r="I1652">
        <v>15</v>
      </c>
      <c r="J1652">
        <v>1</v>
      </c>
      <c r="K1652" t="str">
        <f>TEXT(discount_impact_on_profit_2000_rows[[#This Row],[order date]],"mmmm")</f>
        <v>June</v>
      </c>
      <c r="L1652">
        <f>YEAR(discount_impact_on_profit_2000_rows[[#This Row],[order date]])</f>
        <v>2023</v>
      </c>
      <c r="M1652" t="str">
        <f>IF(discount_impact_on_profit_2000_rows[[#This Row],[Discount %]]=0,"Zero Discount",IF(discount_impact_on_profit_2000_rows[[#This Row],[Discount %]]&lt;=10,"Low Discount","High Discount"))</f>
        <v>High Discount</v>
      </c>
      <c r="N1652" t="str">
        <f t="shared" si="25"/>
        <v>10-20%</v>
      </c>
    </row>
    <row r="1653" spans="1:14">
      <c r="A1653" s="1">
        <v>45983</v>
      </c>
      <c r="B1653" t="s">
        <v>1715</v>
      </c>
      <c r="C1653" t="s">
        <v>21</v>
      </c>
      <c r="D1653" t="s">
        <v>154</v>
      </c>
      <c r="E1653">
        <v>4733.96</v>
      </c>
      <c r="F1653" t="s">
        <v>23</v>
      </c>
      <c r="G1653">
        <v>6748.51</v>
      </c>
      <c r="H1653">
        <v>2014.55</v>
      </c>
      <c r="I1653">
        <v>5</v>
      </c>
      <c r="J1653">
        <v>2</v>
      </c>
      <c r="K1653" t="str">
        <f>TEXT(discount_impact_on_profit_2000_rows[[#This Row],[order date]],"mmmm")</f>
        <v>November</v>
      </c>
      <c r="L1653">
        <f>YEAR(discount_impact_on_profit_2000_rows[[#This Row],[order date]])</f>
        <v>2025</v>
      </c>
      <c r="M1653" t="str">
        <f>IF(discount_impact_on_profit_2000_rows[[#This Row],[Discount %]]=0,"Zero Discount",IF(discount_impact_on_profit_2000_rows[[#This Row],[Discount %]]&lt;=10,"Low Discount","High Discount"))</f>
        <v>Low Discount</v>
      </c>
      <c r="N1653" t="str">
        <f t="shared" si="25"/>
        <v>0-10%</v>
      </c>
    </row>
    <row r="1654" spans="1:14">
      <c r="A1654" s="1">
        <v>45681</v>
      </c>
      <c r="B1654" t="s">
        <v>1716</v>
      </c>
      <c r="C1654" t="s">
        <v>53</v>
      </c>
      <c r="D1654" t="s">
        <v>78</v>
      </c>
      <c r="E1654">
        <v>7961.85</v>
      </c>
      <c r="F1654" t="s">
        <v>31</v>
      </c>
      <c r="G1654">
        <v>16210.27</v>
      </c>
      <c r="H1654">
        <v>8248.42</v>
      </c>
      <c r="I1654">
        <v>0</v>
      </c>
      <c r="J1654">
        <v>8</v>
      </c>
      <c r="K1654" t="str">
        <f>TEXT(discount_impact_on_profit_2000_rows[[#This Row],[order date]],"mmmm")</f>
        <v>January</v>
      </c>
      <c r="L1654">
        <f>YEAR(discount_impact_on_profit_2000_rows[[#This Row],[order date]])</f>
        <v>2025</v>
      </c>
      <c r="M1654" t="str">
        <f>IF(discount_impact_on_profit_2000_rows[[#This Row],[Discount %]]=0,"Zero Discount",IF(discount_impact_on_profit_2000_rows[[#This Row],[Discount %]]&lt;=10,"Low Discount","High Discount"))</f>
        <v>Zero Discount</v>
      </c>
      <c r="N1654" t="str">
        <f t="shared" si="25"/>
        <v>0-10%</v>
      </c>
    </row>
    <row r="1655" spans="1:14">
      <c r="A1655" s="1">
        <v>45872</v>
      </c>
      <c r="B1655" t="s">
        <v>1717</v>
      </c>
      <c r="C1655" t="s">
        <v>18</v>
      </c>
      <c r="D1655" t="s">
        <v>104</v>
      </c>
      <c r="E1655">
        <v>489.35</v>
      </c>
      <c r="F1655" t="s">
        <v>23</v>
      </c>
      <c r="G1655">
        <v>700.79</v>
      </c>
      <c r="H1655">
        <v>211.44</v>
      </c>
      <c r="I1655">
        <v>0</v>
      </c>
      <c r="J1655">
        <v>8</v>
      </c>
      <c r="K1655" t="str">
        <f>TEXT(discount_impact_on_profit_2000_rows[[#This Row],[order date]],"mmmm")</f>
        <v>August</v>
      </c>
      <c r="L1655">
        <f>YEAR(discount_impact_on_profit_2000_rows[[#This Row],[order date]])</f>
        <v>2025</v>
      </c>
      <c r="M1655" t="str">
        <f>IF(discount_impact_on_profit_2000_rows[[#This Row],[Discount %]]=0,"Zero Discount",IF(discount_impact_on_profit_2000_rows[[#This Row],[Discount %]]&lt;=10,"Low Discount","High Discount"))</f>
        <v>Zero Discount</v>
      </c>
      <c r="N1655" t="str">
        <f t="shared" si="25"/>
        <v>0-10%</v>
      </c>
    </row>
    <row r="1656" spans="1:14">
      <c r="A1656" s="1">
        <v>45196</v>
      </c>
      <c r="B1656" t="s">
        <v>1718</v>
      </c>
      <c r="C1656" t="s">
        <v>15</v>
      </c>
      <c r="D1656" t="s">
        <v>28</v>
      </c>
      <c r="E1656">
        <v>7675.11</v>
      </c>
      <c r="F1656" t="s">
        <v>31</v>
      </c>
      <c r="G1656">
        <v>8777.41</v>
      </c>
      <c r="H1656">
        <v>1102.3</v>
      </c>
      <c r="I1656">
        <v>10</v>
      </c>
      <c r="J1656">
        <v>2</v>
      </c>
      <c r="K1656" t="str">
        <f>TEXT(discount_impact_on_profit_2000_rows[[#This Row],[order date]],"mmmm")</f>
        <v>September</v>
      </c>
      <c r="L1656">
        <f>YEAR(discount_impact_on_profit_2000_rows[[#This Row],[order date]])</f>
        <v>2023</v>
      </c>
      <c r="M1656" t="str">
        <f>IF(discount_impact_on_profit_2000_rows[[#This Row],[Discount %]]=0,"Zero Discount",IF(discount_impact_on_profit_2000_rows[[#This Row],[Discount %]]&lt;=10,"Low Discount","High Discount"))</f>
        <v>Low Discount</v>
      </c>
      <c r="N1656" t="str">
        <f t="shared" si="25"/>
        <v>0-10%</v>
      </c>
    </row>
    <row r="1657" spans="1:14">
      <c r="A1657" s="1">
        <v>45747</v>
      </c>
      <c r="B1657" t="s">
        <v>1719</v>
      </c>
      <c r="C1657" t="s">
        <v>18</v>
      </c>
      <c r="D1657" t="s">
        <v>104</v>
      </c>
      <c r="E1657">
        <v>1727.46</v>
      </c>
      <c r="F1657" t="s">
        <v>26</v>
      </c>
      <c r="G1657">
        <v>2618.79</v>
      </c>
      <c r="H1657">
        <v>891.33</v>
      </c>
      <c r="I1657">
        <v>15</v>
      </c>
      <c r="J1657">
        <v>3</v>
      </c>
      <c r="K1657" t="str">
        <f>TEXT(discount_impact_on_profit_2000_rows[[#This Row],[order date]],"mmmm")</f>
        <v>March</v>
      </c>
      <c r="L1657">
        <f>YEAR(discount_impact_on_profit_2000_rows[[#This Row],[order date]])</f>
        <v>2025</v>
      </c>
      <c r="M1657" t="str">
        <f>IF(discount_impact_on_profit_2000_rows[[#This Row],[Discount %]]=0,"Zero Discount",IF(discount_impact_on_profit_2000_rows[[#This Row],[Discount %]]&lt;=10,"Low Discount","High Discount"))</f>
        <v>High Discount</v>
      </c>
      <c r="N1657" t="str">
        <f t="shared" si="25"/>
        <v>10-20%</v>
      </c>
    </row>
    <row r="1658" spans="1:14">
      <c r="A1658" s="1">
        <v>45640</v>
      </c>
      <c r="B1658" t="s">
        <v>1720</v>
      </c>
      <c r="C1658" t="s">
        <v>21</v>
      </c>
      <c r="D1658" t="s">
        <v>109</v>
      </c>
      <c r="E1658">
        <v>34412.14</v>
      </c>
      <c r="F1658" t="s">
        <v>23</v>
      </c>
      <c r="G1658">
        <v>36557.769999999997</v>
      </c>
      <c r="H1658">
        <v>2145.63</v>
      </c>
      <c r="I1658">
        <v>15</v>
      </c>
      <c r="J1658">
        <v>10</v>
      </c>
      <c r="K1658" t="str">
        <f>TEXT(discount_impact_on_profit_2000_rows[[#This Row],[order date]],"mmmm")</f>
        <v>December</v>
      </c>
      <c r="L1658">
        <f>YEAR(discount_impact_on_profit_2000_rows[[#This Row],[order date]])</f>
        <v>2024</v>
      </c>
      <c r="M1658" t="str">
        <f>IF(discount_impact_on_profit_2000_rows[[#This Row],[Discount %]]=0,"Zero Discount",IF(discount_impact_on_profit_2000_rows[[#This Row],[Discount %]]&lt;=10,"Low Discount","High Discount"))</f>
        <v>High Discount</v>
      </c>
      <c r="N1658" t="str">
        <f t="shared" si="25"/>
        <v>10-20%</v>
      </c>
    </row>
    <row r="1659" spans="1:14">
      <c r="A1659" s="1">
        <v>45033</v>
      </c>
      <c r="B1659" t="s">
        <v>1721</v>
      </c>
      <c r="C1659" t="s">
        <v>53</v>
      </c>
      <c r="D1659" t="s">
        <v>78</v>
      </c>
      <c r="E1659">
        <v>3463.03</v>
      </c>
      <c r="F1659" t="s">
        <v>23</v>
      </c>
      <c r="G1659">
        <v>8220.69</v>
      </c>
      <c r="H1659">
        <v>4757.66</v>
      </c>
      <c r="I1659">
        <v>5</v>
      </c>
      <c r="J1659">
        <v>3</v>
      </c>
      <c r="K1659" t="str">
        <f>TEXT(discount_impact_on_profit_2000_rows[[#This Row],[order date]],"mmmm")</f>
        <v>April</v>
      </c>
      <c r="L1659">
        <f>YEAR(discount_impact_on_profit_2000_rows[[#This Row],[order date]])</f>
        <v>2023</v>
      </c>
      <c r="M1659" t="str">
        <f>IF(discount_impact_on_profit_2000_rows[[#This Row],[Discount %]]=0,"Zero Discount",IF(discount_impact_on_profit_2000_rows[[#This Row],[Discount %]]&lt;=10,"Low Discount","High Discount"))</f>
        <v>Low Discount</v>
      </c>
      <c r="N1659" t="str">
        <f t="shared" si="25"/>
        <v>0-10%</v>
      </c>
    </row>
    <row r="1660" spans="1:14">
      <c r="A1660" s="1">
        <v>45348</v>
      </c>
      <c r="B1660" t="s">
        <v>1722</v>
      </c>
      <c r="C1660" t="s">
        <v>11</v>
      </c>
      <c r="D1660" t="s">
        <v>38</v>
      </c>
      <c r="E1660">
        <v>140.41999999999999</v>
      </c>
      <c r="F1660" t="s">
        <v>31</v>
      </c>
      <c r="G1660">
        <v>246.83</v>
      </c>
      <c r="H1660">
        <v>106.41</v>
      </c>
      <c r="I1660">
        <v>10</v>
      </c>
      <c r="J1660">
        <v>1</v>
      </c>
      <c r="K1660" t="str">
        <f>TEXT(discount_impact_on_profit_2000_rows[[#This Row],[order date]],"mmmm")</f>
        <v>February</v>
      </c>
      <c r="L1660">
        <f>YEAR(discount_impact_on_profit_2000_rows[[#This Row],[order date]])</f>
        <v>2024</v>
      </c>
      <c r="M1660" t="str">
        <f>IF(discount_impact_on_profit_2000_rows[[#This Row],[Discount %]]=0,"Zero Discount",IF(discount_impact_on_profit_2000_rows[[#This Row],[Discount %]]&lt;=10,"Low Discount","High Discount"))</f>
        <v>Low Discount</v>
      </c>
      <c r="N1660" t="str">
        <f t="shared" si="25"/>
        <v>0-10%</v>
      </c>
    </row>
    <row r="1661" spans="1:14">
      <c r="A1661" s="1">
        <v>45153</v>
      </c>
      <c r="B1661" t="s">
        <v>1723</v>
      </c>
      <c r="C1661" t="s">
        <v>21</v>
      </c>
      <c r="D1661" t="s">
        <v>109</v>
      </c>
      <c r="E1661">
        <v>1657.43</v>
      </c>
      <c r="F1661" t="s">
        <v>36</v>
      </c>
      <c r="G1661">
        <v>1757.35</v>
      </c>
      <c r="H1661">
        <v>99.92</v>
      </c>
      <c r="I1661">
        <v>10</v>
      </c>
      <c r="J1661">
        <v>1</v>
      </c>
      <c r="K1661" t="str">
        <f>TEXT(discount_impact_on_profit_2000_rows[[#This Row],[order date]],"mmmm")</f>
        <v>August</v>
      </c>
      <c r="L1661">
        <f>YEAR(discount_impact_on_profit_2000_rows[[#This Row],[order date]])</f>
        <v>2023</v>
      </c>
      <c r="M1661" t="str">
        <f>IF(discount_impact_on_profit_2000_rows[[#This Row],[Discount %]]=0,"Zero Discount",IF(discount_impact_on_profit_2000_rows[[#This Row],[Discount %]]&lt;=10,"Low Discount","High Discount"))</f>
        <v>Low Discount</v>
      </c>
      <c r="N1661" t="str">
        <f t="shared" si="25"/>
        <v>0-10%</v>
      </c>
    </row>
    <row r="1662" spans="1:14">
      <c r="A1662" s="1">
        <v>45756</v>
      </c>
      <c r="B1662" t="s">
        <v>1724</v>
      </c>
      <c r="C1662" t="s">
        <v>18</v>
      </c>
      <c r="D1662" t="s">
        <v>42</v>
      </c>
      <c r="E1662">
        <v>461.27</v>
      </c>
      <c r="F1662" t="s">
        <v>23</v>
      </c>
      <c r="G1662">
        <v>694.24</v>
      </c>
      <c r="H1662">
        <v>232.97</v>
      </c>
      <c r="I1662">
        <v>25</v>
      </c>
      <c r="J1662">
        <v>1</v>
      </c>
      <c r="K1662" t="str">
        <f>TEXT(discount_impact_on_profit_2000_rows[[#This Row],[order date]],"mmmm")</f>
        <v>April</v>
      </c>
      <c r="L1662">
        <f>YEAR(discount_impact_on_profit_2000_rows[[#This Row],[order date]])</f>
        <v>2025</v>
      </c>
      <c r="M1662" t="str">
        <f>IF(discount_impact_on_profit_2000_rows[[#This Row],[Discount %]]=0,"Zero Discount",IF(discount_impact_on_profit_2000_rows[[#This Row],[Discount %]]&lt;=10,"Low Discount","High Discount"))</f>
        <v>High Discount</v>
      </c>
      <c r="N1662" t="str">
        <f t="shared" si="25"/>
        <v>20-30%</v>
      </c>
    </row>
    <row r="1663" spans="1:14">
      <c r="A1663" s="1">
        <v>45959</v>
      </c>
      <c r="B1663" t="s">
        <v>1725</v>
      </c>
      <c r="C1663" t="s">
        <v>53</v>
      </c>
      <c r="D1663" t="s">
        <v>54</v>
      </c>
      <c r="E1663">
        <v>1918.17</v>
      </c>
      <c r="F1663" t="s">
        <v>23</v>
      </c>
      <c r="G1663">
        <v>2455.66</v>
      </c>
      <c r="H1663">
        <v>537.49</v>
      </c>
      <c r="I1663">
        <v>15</v>
      </c>
      <c r="J1663">
        <v>1</v>
      </c>
      <c r="K1663" t="str">
        <f>TEXT(discount_impact_on_profit_2000_rows[[#This Row],[order date]],"mmmm")</f>
        <v>October</v>
      </c>
      <c r="L1663">
        <f>YEAR(discount_impact_on_profit_2000_rows[[#This Row],[order date]])</f>
        <v>2025</v>
      </c>
      <c r="M1663" t="str">
        <f>IF(discount_impact_on_profit_2000_rows[[#This Row],[Discount %]]=0,"Zero Discount",IF(discount_impact_on_profit_2000_rows[[#This Row],[Discount %]]&lt;=10,"Low Discount","High Discount"))</f>
        <v>High Discount</v>
      </c>
      <c r="N1663" t="str">
        <f t="shared" si="25"/>
        <v>10-20%</v>
      </c>
    </row>
    <row r="1664" spans="1:14">
      <c r="A1664" s="1">
        <v>45935</v>
      </c>
      <c r="B1664" t="s">
        <v>1726</v>
      </c>
      <c r="C1664" t="s">
        <v>15</v>
      </c>
      <c r="D1664" t="s">
        <v>28</v>
      </c>
      <c r="E1664">
        <v>32974.050000000003</v>
      </c>
      <c r="F1664" t="s">
        <v>31</v>
      </c>
      <c r="G1664">
        <v>41078.49</v>
      </c>
      <c r="H1664">
        <v>8104.44</v>
      </c>
      <c r="I1664">
        <v>20</v>
      </c>
      <c r="J1664">
        <v>4</v>
      </c>
      <c r="K1664" t="str">
        <f>TEXT(discount_impact_on_profit_2000_rows[[#This Row],[order date]],"mmmm")</f>
        <v>October</v>
      </c>
      <c r="L1664">
        <f>YEAR(discount_impact_on_profit_2000_rows[[#This Row],[order date]])</f>
        <v>2025</v>
      </c>
      <c r="M1664" t="str">
        <f>IF(discount_impact_on_profit_2000_rows[[#This Row],[Discount %]]=0,"Zero Discount",IF(discount_impact_on_profit_2000_rows[[#This Row],[Discount %]]&lt;=10,"Low Discount","High Discount"))</f>
        <v>High Discount</v>
      </c>
      <c r="N1664" t="str">
        <f t="shared" si="25"/>
        <v>10-20%</v>
      </c>
    </row>
    <row r="1665" spans="1:14">
      <c r="A1665" s="1">
        <v>45439</v>
      </c>
      <c r="B1665" t="s">
        <v>1727</v>
      </c>
      <c r="C1665" t="s">
        <v>11</v>
      </c>
      <c r="D1665" t="s">
        <v>38</v>
      </c>
      <c r="E1665">
        <v>837.78</v>
      </c>
      <c r="F1665" t="s">
        <v>13</v>
      </c>
      <c r="G1665">
        <v>1815.55</v>
      </c>
      <c r="H1665">
        <v>977.77</v>
      </c>
      <c r="I1665">
        <v>15</v>
      </c>
      <c r="J1665">
        <v>4</v>
      </c>
      <c r="K1665" t="str">
        <f>TEXT(discount_impact_on_profit_2000_rows[[#This Row],[order date]],"mmmm")</f>
        <v>May</v>
      </c>
      <c r="L1665">
        <f>YEAR(discount_impact_on_profit_2000_rows[[#This Row],[order date]])</f>
        <v>2024</v>
      </c>
      <c r="M1665" t="str">
        <f>IF(discount_impact_on_profit_2000_rows[[#This Row],[Discount %]]=0,"Zero Discount",IF(discount_impact_on_profit_2000_rows[[#This Row],[Discount %]]&lt;=10,"Low Discount","High Discount"))</f>
        <v>High Discount</v>
      </c>
      <c r="N1665" t="str">
        <f t="shared" si="25"/>
        <v>10-20%</v>
      </c>
    </row>
    <row r="1666" spans="1:14">
      <c r="A1666" s="1">
        <v>45531</v>
      </c>
      <c r="B1666" t="s">
        <v>1728</v>
      </c>
      <c r="C1666" t="s">
        <v>11</v>
      </c>
      <c r="D1666" t="s">
        <v>80</v>
      </c>
      <c r="E1666">
        <v>1381.36</v>
      </c>
      <c r="F1666" t="s">
        <v>26</v>
      </c>
      <c r="G1666">
        <v>3456.03</v>
      </c>
      <c r="H1666">
        <v>2074.67</v>
      </c>
      <c r="I1666">
        <v>0</v>
      </c>
      <c r="J1666">
        <v>1</v>
      </c>
      <c r="K1666" t="str">
        <f>TEXT(discount_impact_on_profit_2000_rows[[#This Row],[order date]],"mmmm")</f>
        <v>August</v>
      </c>
      <c r="L1666">
        <f>YEAR(discount_impact_on_profit_2000_rows[[#This Row],[order date]])</f>
        <v>2024</v>
      </c>
      <c r="M1666" t="str">
        <f>IF(discount_impact_on_profit_2000_rows[[#This Row],[Discount %]]=0,"Zero Discount",IF(discount_impact_on_profit_2000_rows[[#This Row],[Discount %]]&lt;=10,"Low Discount","High Discount"))</f>
        <v>Zero Discount</v>
      </c>
      <c r="N1666" t="str">
        <f t="shared" ref="N1666:N1729" si="26">IF(I1666&lt;=10,"0-10%",IF(I1666&lt;=20,"10-20%",IF(I1666&lt;=30,"20-30%","30%+")))</f>
        <v>0-10%</v>
      </c>
    </row>
    <row r="1667" spans="1:14">
      <c r="A1667" s="1">
        <v>45986</v>
      </c>
      <c r="B1667" t="s">
        <v>1729</v>
      </c>
      <c r="C1667" t="s">
        <v>18</v>
      </c>
      <c r="D1667" t="s">
        <v>50</v>
      </c>
      <c r="E1667">
        <v>4181.87</v>
      </c>
      <c r="F1667" t="s">
        <v>13</v>
      </c>
      <c r="G1667">
        <v>6235.88</v>
      </c>
      <c r="H1667">
        <v>2054.0100000000002</v>
      </c>
      <c r="I1667">
        <v>0</v>
      </c>
      <c r="J1667">
        <v>4</v>
      </c>
      <c r="K1667" t="str">
        <f>TEXT(discount_impact_on_profit_2000_rows[[#This Row],[order date]],"mmmm")</f>
        <v>November</v>
      </c>
      <c r="L1667">
        <f>YEAR(discount_impact_on_profit_2000_rows[[#This Row],[order date]])</f>
        <v>2025</v>
      </c>
      <c r="M1667" t="str">
        <f>IF(discount_impact_on_profit_2000_rows[[#This Row],[Discount %]]=0,"Zero Discount",IF(discount_impact_on_profit_2000_rows[[#This Row],[Discount %]]&lt;=10,"Low Discount","High Discount"))</f>
        <v>Zero Discount</v>
      </c>
      <c r="N1667" t="str">
        <f t="shared" si="26"/>
        <v>0-10%</v>
      </c>
    </row>
    <row r="1668" spans="1:14">
      <c r="A1668" s="1">
        <v>45785</v>
      </c>
      <c r="B1668" t="s">
        <v>1730</v>
      </c>
      <c r="C1668" t="s">
        <v>15</v>
      </c>
      <c r="D1668" t="s">
        <v>16</v>
      </c>
      <c r="E1668">
        <v>11351.47</v>
      </c>
      <c r="F1668" t="s">
        <v>13</v>
      </c>
      <c r="G1668">
        <v>14458.64</v>
      </c>
      <c r="H1668">
        <v>3107.17</v>
      </c>
      <c r="I1668">
        <v>0</v>
      </c>
      <c r="J1668">
        <v>1</v>
      </c>
      <c r="K1668" t="str">
        <f>TEXT(discount_impact_on_profit_2000_rows[[#This Row],[order date]],"mmmm")</f>
        <v>May</v>
      </c>
      <c r="L1668">
        <f>YEAR(discount_impact_on_profit_2000_rows[[#This Row],[order date]])</f>
        <v>2025</v>
      </c>
      <c r="M1668" t="str">
        <f>IF(discount_impact_on_profit_2000_rows[[#This Row],[Discount %]]=0,"Zero Discount",IF(discount_impact_on_profit_2000_rows[[#This Row],[Discount %]]&lt;=10,"Low Discount","High Discount"))</f>
        <v>Zero Discount</v>
      </c>
      <c r="N1668" t="str">
        <f t="shared" si="26"/>
        <v>0-10%</v>
      </c>
    </row>
    <row r="1669" spans="1:14">
      <c r="A1669" s="1">
        <v>45860</v>
      </c>
      <c r="B1669" t="s">
        <v>1731</v>
      </c>
      <c r="C1669" t="s">
        <v>18</v>
      </c>
      <c r="D1669" t="s">
        <v>88</v>
      </c>
      <c r="E1669">
        <v>1016.89</v>
      </c>
      <c r="F1669" t="s">
        <v>13</v>
      </c>
      <c r="G1669">
        <v>1466.74</v>
      </c>
      <c r="H1669">
        <v>449.85</v>
      </c>
      <c r="I1669">
        <v>0</v>
      </c>
      <c r="J1669">
        <v>5</v>
      </c>
      <c r="K1669" t="str">
        <f>TEXT(discount_impact_on_profit_2000_rows[[#This Row],[order date]],"mmmm")</f>
        <v>July</v>
      </c>
      <c r="L1669">
        <f>YEAR(discount_impact_on_profit_2000_rows[[#This Row],[order date]])</f>
        <v>2025</v>
      </c>
      <c r="M1669" t="str">
        <f>IF(discount_impact_on_profit_2000_rows[[#This Row],[Discount %]]=0,"Zero Discount",IF(discount_impact_on_profit_2000_rows[[#This Row],[Discount %]]&lt;=10,"Low Discount","High Discount"))</f>
        <v>Zero Discount</v>
      </c>
      <c r="N1669" t="str">
        <f t="shared" si="26"/>
        <v>0-10%</v>
      </c>
    </row>
    <row r="1670" spans="1:14">
      <c r="A1670" s="1">
        <v>45962</v>
      </c>
      <c r="B1670" t="s">
        <v>1732</v>
      </c>
      <c r="C1670" t="s">
        <v>11</v>
      </c>
      <c r="D1670" t="s">
        <v>30</v>
      </c>
      <c r="E1670">
        <v>1013.32</v>
      </c>
      <c r="F1670" t="s">
        <v>26</v>
      </c>
      <c r="G1670">
        <v>1296.95</v>
      </c>
      <c r="H1670">
        <v>283.63</v>
      </c>
      <c r="I1670">
        <v>20</v>
      </c>
      <c r="J1670">
        <v>2</v>
      </c>
      <c r="K1670" t="str">
        <f>TEXT(discount_impact_on_profit_2000_rows[[#This Row],[order date]],"mmmm")</f>
        <v>November</v>
      </c>
      <c r="L1670">
        <f>YEAR(discount_impact_on_profit_2000_rows[[#This Row],[order date]])</f>
        <v>2025</v>
      </c>
      <c r="M1670" t="str">
        <f>IF(discount_impact_on_profit_2000_rows[[#This Row],[Discount %]]=0,"Zero Discount",IF(discount_impact_on_profit_2000_rows[[#This Row],[Discount %]]&lt;=10,"Low Discount","High Discount"))</f>
        <v>High Discount</v>
      </c>
      <c r="N1670" t="str">
        <f t="shared" si="26"/>
        <v>10-20%</v>
      </c>
    </row>
    <row r="1671" spans="1:14">
      <c r="A1671" s="1">
        <v>45340</v>
      </c>
      <c r="B1671" t="s">
        <v>1733</v>
      </c>
      <c r="C1671" t="s">
        <v>53</v>
      </c>
      <c r="D1671" t="s">
        <v>95</v>
      </c>
      <c r="E1671">
        <v>8412.27</v>
      </c>
      <c r="F1671" t="s">
        <v>23</v>
      </c>
      <c r="G1671">
        <v>13432.84</v>
      </c>
      <c r="H1671">
        <v>5020.57</v>
      </c>
      <c r="I1671">
        <v>0</v>
      </c>
      <c r="J1671">
        <v>5</v>
      </c>
      <c r="K1671" t="str">
        <f>TEXT(discount_impact_on_profit_2000_rows[[#This Row],[order date]],"mmmm")</f>
        <v>February</v>
      </c>
      <c r="L1671">
        <f>YEAR(discount_impact_on_profit_2000_rows[[#This Row],[order date]])</f>
        <v>2024</v>
      </c>
      <c r="M1671" t="str">
        <f>IF(discount_impact_on_profit_2000_rows[[#This Row],[Discount %]]=0,"Zero Discount",IF(discount_impact_on_profit_2000_rows[[#This Row],[Discount %]]&lt;=10,"Low Discount","High Discount"))</f>
        <v>Zero Discount</v>
      </c>
      <c r="N1671" t="str">
        <f t="shared" si="26"/>
        <v>0-10%</v>
      </c>
    </row>
    <row r="1672" spans="1:14">
      <c r="A1672" s="1">
        <v>45560</v>
      </c>
      <c r="B1672" t="s">
        <v>1734</v>
      </c>
      <c r="C1672" t="s">
        <v>53</v>
      </c>
      <c r="D1672" t="s">
        <v>54</v>
      </c>
      <c r="E1672">
        <v>5390.66</v>
      </c>
      <c r="F1672" t="s">
        <v>31</v>
      </c>
      <c r="G1672">
        <v>8323</v>
      </c>
      <c r="H1672">
        <v>2932.34</v>
      </c>
      <c r="I1672">
        <v>15</v>
      </c>
      <c r="J1672">
        <v>3</v>
      </c>
      <c r="K1672" t="str">
        <f>TEXT(discount_impact_on_profit_2000_rows[[#This Row],[order date]],"mmmm")</f>
        <v>September</v>
      </c>
      <c r="L1672">
        <f>YEAR(discount_impact_on_profit_2000_rows[[#This Row],[order date]])</f>
        <v>2024</v>
      </c>
      <c r="M1672" t="str">
        <f>IF(discount_impact_on_profit_2000_rows[[#This Row],[Discount %]]=0,"Zero Discount",IF(discount_impact_on_profit_2000_rows[[#This Row],[Discount %]]&lt;=10,"Low Discount","High Discount"))</f>
        <v>High Discount</v>
      </c>
      <c r="N1672" t="str">
        <f t="shared" si="26"/>
        <v>10-20%</v>
      </c>
    </row>
    <row r="1673" spans="1:14">
      <c r="A1673" s="1">
        <v>45913</v>
      </c>
      <c r="B1673" t="s">
        <v>1735</v>
      </c>
      <c r="C1673" t="s">
        <v>15</v>
      </c>
      <c r="D1673" t="s">
        <v>16</v>
      </c>
      <c r="E1673">
        <v>8590.9</v>
      </c>
      <c r="F1673" t="s">
        <v>13</v>
      </c>
      <c r="G1673">
        <v>10344.82</v>
      </c>
      <c r="H1673">
        <v>1753.92</v>
      </c>
      <c r="I1673">
        <v>5</v>
      </c>
      <c r="J1673">
        <v>2</v>
      </c>
      <c r="K1673" t="str">
        <f>TEXT(discount_impact_on_profit_2000_rows[[#This Row],[order date]],"mmmm")</f>
        <v>September</v>
      </c>
      <c r="L1673">
        <f>YEAR(discount_impact_on_profit_2000_rows[[#This Row],[order date]])</f>
        <v>2025</v>
      </c>
      <c r="M1673" t="str">
        <f>IF(discount_impact_on_profit_2000_rows[[#This Row],[Discount %]]=0,"Zero Discount",IF(discount_impact_on_profit_2000_rows[[#This Row],[Discount %]]&lt;=10,"Low Discount","High Discount"))</f>
        <v>Low Discount</v>
      </c>
      <c r="N1673" t="str">
        <f t="shared" si="26"/>
        <v>0-10%</v>
      </c>
    </row>
    <row r="1674" spans="1:14">
      <c r="A1674" s="1">
        <v>45764</v>
      </c>
      <c r="B1674" t="s">
        <v>1736</v>
      </c>
      <c r="C1674" t="s">
        <v>11</v>
      </c>
      <c r="D1674" t="s">
        <v>207</v>
      </c>
      <c r="E1674">
        <v>405.64</v>
      </c>
      <c r="F1674" t="s">
        <v>26</v>
      </c>
      <c r="G1674">
        <v>678.58</v>
      </c>
      <c r="H1674">
        <v>272.94</v>
      </c>
      <c r="I1674">
        <v>10</v>
      </c>
      <c r="J1674">
        <v>1</v>
      </c>
      <c r="K1674" t="str">
        <f>TEXT(discount_impact_on_profit_2000_rows[[#This Row],[order date]],"mmmm")</f>
        <v>April</v>
      </c>
      <c r="L1674">
        <f>YEAR(discount_impact_on_profit_2000_rows[[#This Row],[order date]])</f>
        <v>2025</v>
      </c>
      <c r="M1674" t="str">
        <f>IF(discount_impact_on_profit_2000_rows[[#This Row],[Discount %]]=0,"Zero Discount",IF(discount_impact_on_profit_2000_rows[[#This Row],[Discount %]]&lt;=10,"Low Discount","High Discount"))</f>
        <v>Low Discount</v>
      </c>
      <c r="N1674" t="str">
        <f t="shared" si="26"/>
        <v>0-10%</v>
      </c>
    </row>
    <row r="1675" spans="1:14">
      <c r="A1675" s="1">
        <v>45460</v>
      </c>
      <c r="B1675" t="s">
        <v>1737</v>
      </c>
      <c r="C1675" t="s">
        <v>15</v>
      </c>
      <c r="D1675" t="s">
        <v>16</v>
      </c>
      <c r="E1675">
        <v>12282.44</v>
      </c>
      <c r="F1675" t="s">
        <v>26</v>
      </c>
      <c r="G1675">
        <v>15648.45</v>
      </c>
      <c r="H1675">
        <v>3366.01</v>
      </c>
      <c r="I1675">
        <v>10</v>
      </c>
      <c r="J1675">
        <v>8</v>
      </c>
      <c r="K1675" t="str">
        <f>TEXT(discount_impact_on_profit_2000_rows[[#This Row],[order date]],"mmmm")</f>
        <v>June</v>
      </c>
      <c r="L1675">
        <f>YEAR(discount_impact_on_profit_2000_rows[[#This Row],[order date]])</f>
        <v>2024</v>
      </c>
      <c r="M1675" t="str">
        <f>IF(discount_impact_on_profit_2000_rows[[#This Row],[Discount %]]=0,"Zero Discount",IF(discount_impact_on_profit_2000_rows[[#This Row],[Discount %]]&lt;=10,"Low Discount","High Discount"))</f>
        <v>Low Discount</v>
      </c>
      <c r="N1675" t="str">
        <f t="shared" si="26"/>
        <v>0-10%</v>
      </c>
    </row>
    <row r="1676" spans="1:14">
      <c r="A1676" s="1">
        <v>45104</v>
      </c>
      <c r="B1676" t="s">
        <v>1738</v>
      </c>
      <c r="C1676" t="s">
        <v>18</v>
      </c>
      <c r="D1676" t="s">
        <v>88</v>
      </c>
      <c r="E1676">
        <v>1516.02</v>
      </c>
      <c r="F1676" t="s">
        <v>26</v>
      </c>
      <c r="G1676">
        <v>2737.73</v>
      </c>
      <c r="H1676">
        <v>1221.71</v>
      </c>
      <c r="I1676">
        <v>20</v>
      </c>
      <c r="J1676">
        <v>3</v>
      </c>
      <c r="K1676" t="str">
        <f>TEXT(discount_impact_on_profit_2000_rows[[#This Row],[order date]],"mmmm")</f>
        <v>June</v>
      </c>
      <c r="L1676">
        <f>YEAR(discount_impact_on_profit_2000_rows[[#This Row],[order date]])</f>
        <v>2023</v>
      </c>
      <c r="M1676" t="str">
        <f>IF(discount_impact_on_profit_2000_rows[[#This Row],[Discount %]]=0,"Zero Discount",IF(discount_impact_on_profit_2000_rows[[#This Row],[Discount %]]&lt;=10,"Low Discount","High Discount"))</f>
        <v>High Discount</v>
      </c>
      <c r="N1676" t="str">
        <f t="shared" si="26"/>
        <v>10-20%</v>
      </c>
    </row>
    <row r="1677" spans="1:14">
      <c r="A1677" s="1">
        <v>45788</v>
      </c>
      <c r="B1677" t="s">
        <v>1739</v>
      </c>
      <c r="C1677" t="s">
        <v>53</v>
      </c>
      <c r="D1677" t="s">
        <v>70</v>
      </c>
      <c r="E1677">
        <v>1938.17</v>
      </c>
      <c r="F1677" t="s">
        <v>26</v>
      </c>
      <c r="G1677">
        <v>4550.3100000000004</v>
      </c>
      <c r="H1677">
        <v>2612.14</v>
      </c>
      <c r="I1677">
        <v>0</v>
      </c>
      <c r="J1677">
        <v>1</v>
      </c>
      <c r="K1677" t="str">
        <f>TEXT(discount_impact_on_profit_2000_rows[[#This Row],[order date]],"mmmm")</f>
        <v>May</v>
      </c>
      <c r="L1677">
        <f>YEAR(discount_impact_on_profit_2000_rows[[#This Row],[order date]])</f>
        <v>2025</v>
      </c>
      <c r="M1677" t="str">
        <f>IF(discount_impact_on_profit_2000_rows[[#This Row],[Discount %]]=0,"Zero Discount",IF(discount_impact_on_profit_2000_rows[[#This Row],[Discount %]]&lt;=10,"Low Discount","High Discount"))</f>
        <v>Zero Discount</v>
      </c>
      <c r="N1677" t="str">
        <f t="shared" si="26"/>
        <v>0-10%</v>
      </c>
    </row>
    <row r="1678" spans="1:14">
      <c r="A1678" s="1">
        <v>45972</v>
      </c>
      <c r="B1678" t="s">
        <v>1740</v>
      </c>
      <c r="C1678" t="s">
        <v>15</v>
      </c>
      <c r="D1678" t="s">
        <v>84</v>
      </c>
      <c r="E1678">
        <v>7453.67</v>
      </c>
      <c r="F1678" t="s">
        <v>36</v>
      </c>
      <c r="G1678">
        <v>9159.57</v>
      </c>
      <c r="H1678">
        <v>1705.9</v>
      </c>
      <c r="I1678">
        <v>5</v>
      </c>
      <c r="J1678">
        <v>2</v>
      </c>
      <c r="K1678" t="str">
        <f>TEXT(discount_impact_on_profit_2000_rows[[#This Row],[order date]],"mmmm")</f>
        <v>November</v>
      </c>
      <c r="L1678">
        <f>YEAR(discount_impact_on_profit_2000_rows[[#This Row],[order date]])</f>
        <v>2025</v>
      </c>
      <c r="M1678" t="str">
        <f>IF(discount_impact_on_profit_2000_rows[[#This Row],[Discount %]]=0,"Zero Discount",IF(discount_impact_on_profit_2000_rows[[#This Row],[Discount %]]&lt;=10,"Low Discount","High Discount"))</f>
        <v>Low Discount</v>
      </c>
      <c r="N1678" t="str">
        <f t="shared" si="26"/>
        <v>0-10%</v>
      </c>
    </row>
    <row r="1679" spans="1:14">
      <c r="A1679" s="1">
        <v>45236</v>
      </c>
      <c r="B1679" t="s">
        <v>1741</v>
      </c>
      <c r="C1679" t="s">
        <v>18</v>
      </c>
      <c r="D1679" t="s">
        <v>188</v>
      </c>
      <c r="E1679">
        <v>91.02</v>
      </c>
      <c r="F1679" t="s">
        <v>23</v>
      </c>
      <c r="G1679">
        <v>197.15</v>
      </c>
      <c r="H1679">
        <v>106.13</v>
      </c>
      <c r="I1679">
        <v>5</v>
      </c>
      <c r="J1679">
        <v>2</v>
      </c>
      <c r="K1679" t="str">
        <f>TEXT(discount_impact_on_profit_2000_rows[[#This Row],[order date]],"mmmm")</f>
        <v>November</v>
      </c>
      <c r="L1679">
        <f>YEAR(discount_impact_on_profit_2000_rows[[#This Row],[order date]])</f>
        <v>2023</v>
      </c>
      <c r="M1679" t="str">
        <f>IF(discount_impact_on_profit_2000_rows[[#This Row],[Discount %]]=0,"Zero Discount",IF(discount_impact_on_profit_2000_rows[[#This Row],[Discount %]]&lt;=10,"Low Discount","High Discount"))</f>
        <v>Low Discount</v>
      </c>
      <c r="N1679" t="str">
        <f t="shared" si="26"/>
        <v>0-10%</v>
      </c>
    </row>
    <row r="1680" spans="1:14">
      <c r="A1680" s="1">
        <v>45570</v>
      </c>
      <c r="B1680" t="s">
        <v>1742</v>
      </c>
      <c r="C1680" t="s">
        <v>21</v>
      </c>
      <c r="D1680" t="s">
        <v>97</v>
      </c>
      <c r="E1680">
        <v>11207.92</v>
      </c>
      <c r="F1680" t="s">
        <v>36</v>
      </c>
      <c r="G1680">
        <v>13806.11</v>
      </c>
      <c r="H1680">
        <v>2598.19</v>
      </c>
      <c r="I1680">
        <v>0</v>
      </c>
      <c r="J1680">
        <v>4</v>
      </c>
      <c r="K1680" t="str">
        <f>TEXT(discount_impact_on_profit_2000_rows[[#This Row],[order date]],"mmmm")</f>
        <v>October</v>
      </c>
      <c r="L1680">
        <f>YEAR(discount_impact_on_profit_2000_rows[[#This Row],[order date]])</f>
        <v>2024</v>
      </c>
      <c r="M1680" t="str">
        <f>IF(discount_impact_on_profit_2000_rows[[#This Row],[Discount %]]=0,"Zero Discount",IF(discount_impact_on_profit_2000_rows[[#This Row],[Discount %]]&lt;=10,"Low Discount","High Discount"))</f>
        <v>Zero Discount</v>
      </c>
      <c r="N1680" t="str">
        <f t="shared" si="26"/>
        <v>0-10%</v>
      </c>
    </row>
    <row r="1681" spans="1:14">
      <c r="A1681" s="1">
        <v>44967</v>
      </c>
      <c r="B1681" t="s">
        <v>1743</v>
      </c>
      <c r="C1681" t="s">
        <v>18</v>
      </c>
      <c r="D1681" t="s">
        <v>140</v>
      </c>
      <c r="E1681">
        <v>526.32000000000005</v>
      </c>
      <c r="F1681" t="s">
        <v>36</v>
      </c>
      <c r="G1681">
        <v>988.61</v>
      </c>
      <c r="H1681">
        <v>462.29</v>
      </c>
      <c r="I1681">
        <v>10</v>
      </c>
      <c r="J1681">
        <v>2</v>
      </c>
      <c r="K1681" t="str">
        <f>TEXT(discount_impact_on_profit_2000_rows[[#This Row],[order date]],"mmmm")</f>
        <v>February</v>
      </c>
      <c r="L1681">
        <f>YEAR(discount_impact_on_profit_2000_rows[[#This Row],[order date]])</f>
        <v>2023</v>
      </c>
      <c r="M1681" t="str">
        <f>IF(discount_impact_on_profit_2000_rows[[#This Row],[Discount %]]=0,"Zero Discount",IF(discount_impact_on_profit_2000_rows[[#This Row],[Discount %]]&lt;=10,"Low Discount","High Discount"))</f>
        <v>Low Discount</v>
      </c>
      <c r="N1681" t="str">
        <f t="shared" si="26"/>
        <v>0-10%</v>
      </c>
    </row>
    <row r="1682" spans="1:14">
      <c r="A1682" s="1">
        <v>44927</v>
      </c>
      <c r="B1682" t="s">
        <v>1744</v>
      </c>
      <c r="C1682" t="s">
        <v>21</v>
      </c>
      <c r="D1682" t="s">
        <v>154</v>
      </c>
      <c r="E1682">
        <v>5635.89</v>
      </c>
      <c r="F1682" t="s">
        <v>13</v>
      </c>
      <c r="G1682">
        <v>7137.79</v>
      </c>
      <c r="H1682">
        <v>1501.9</v>
      </c>
      <c r="I1682">
        <v>0</v>
      </c>
      <c r="J1682">
        <v>3</v>
      </c>
      <c r="K1682" t="str">
        <f>TEXT(discount_impact_on_profit_2000_rows[[#This Row],[order date]],"mmmm")</f>
        <v>January</v>
      </c>
      <c r="L1682">
        <f>YEAR(discount_impact_on_profit_2000_rows[[#This Row],[order date]])</f>
        <v>2023</v>
      </c>
      <c r="M1682" t="str">
        <f>IF(discount_impact_on_profit_2000_rows[[#This Row],[Discount %]]=0,"Zero Discount",IF(discount_impact_on_profit_2000_rows[[#This Row],[Discount %]]&lt;=10,"Low Discount","High Discount"))</f>
        <v>Zero Discount</v>
      </c>
      <c r="N1682" t="str">
        <f t="shared" si="26"/>
        <v>0-10%</v>
      </c>
    </row>
    <row r="1683" spans="1:14">
      <c r="A1683" s="1">
        <v>45776</v>
      </c>
      <c r="B1683" t="s">
        <v>1745</v>
      </c>
      <c r="C1683" t="s">
        <v>15</v>
      </c>
      <c r="D1683" t="s">
        <v>28</v>
      </c>
      <c r="E1683">
        <v>9528.43</v>
      </c>
      <c r="F1683" t="s">
        <v>36</v>
      </c>
      <c r="G1683">
        <v>12460.03</v>
      </c>
      <c r="H1683">
        <v>2931.6</v>
      </c>
      <c r="I1683">
        <v>5</v>
      </c>
      <c r="J1683">
        <v>5</v>
      </c>
      <c r="K1683" t="str">
        <f>TEXT(discount_impact_on_profit_2000_rows[[#This Row],[order date]],"mmmm")</f>
        <v>April</v>
      </c>
      <c r="L1683">
        <f>YEAR(discount_impact_on_profit_2000_rows[[#This Row],[order date]])</f>
        <v>2025</v>
      </c>
      <c r="M1683" t="str">
        <f>IF(discount_impact_on_profit_2000_rows[[#This Row],[Discount %]]=0,"Zero Discount",IF(discount_impact_on_profit_2000_rows[[#This Row],[Discount %]]&lt;=10,"Low Discount","High Discount"))</f>
        <v>Low Discount</v>
      </c>
      <c r="N1683" t="str">
        <f t="shared" si="26"/>
        <v>0-10%</v>
      </c>
    </row>
    <row r="1684" spans="1:14">
      <c r="A1684" s="1">
        <v>45154</v>
      </c>
      <c r="B1684" t="s">
        <v>1746</v>
      </c>
      <c r="C1684" t="s">
        <v>21</v>
      </c>
      <c r="D1684" t="s">
        <v>57</v>
      </c>
      <c r="E1684">
        <v>23239.91</v>
      </c>
      <c r="F1684" t="s">
        <v>36</v>
      </c>
      <c r="G1684">
        <v>26885.48</v>
      </c>
      <c r="H1684">
        <v>3645.57</v>
      </c>
      <c r="I1684">
        <v>10</v>
      </c>
      <c r="J1684">
        <v>4</v>
      </c>
      <c r="K1684" t="str">
        <f>TEXT(discount_impact_on_profit_2000_rows[[#This Row],[order date]],"mmmm")</f>
        <v>August</v>
      </c>
      <c r="L1684">
        <f>YEAR(discount_impact_on_profit_2000_rows[[#This Row],[order date]])</f>
        <v>2023</v>
      </c>
      <c r="M1684" t="str">
        <f>IF(discount_impact_on_profit_2000_rows[[#This Row],[Discount %]]=0,"Zero Discount",IF(discount_impact_on_profit_2000_rows[[#This Row],[Discount %]]&lt;=10,"Low Discount","High Discount"))</f>
        <v>Low Discount</v>
      </c>
      <c r="N1684" t="str">
        <f t="shared" si="26"/>
        <v>0-10%</v>
      </c>
    </row>
    <row r="1685" spans="1:14">
      <c r="A1685" s="1">
        <v>45724</v>
      </c>
      <c r="B1685" t="s">
        <v>1747</v>
      </c>
      <c r="C1685" t="s">
        <v>15</v>
      </c>
      <c r="D1685" t="s">
        <v>86</v>
      </c>
      <c r="E1685">
        <v>11468.04</v>
      </c>
      <c r="F1685" t="s">
        <v>31</v>
      </c>
      <c r="G1685">
        <v>16916.39</v>
      </c>
      <c r="H1685">
        <v>5448.35</v>
      </c>
      <c r="I1685">
        <v>0</v>
      </c>
      <c r="J1685">
        <v>2</v>
      </c>
      <c r="K1685" t="str">
        <f>TEXT(discount_impact_on_profit_2000_rows[[#This Row],[order date]],"mmmm")</f>
        <v>March</v>
      </c>
      <c r="L1685">
        <f>YEAR(discount_impact_on_profit_2000_rows[[#This Row],[order date]])</f>
        <v>2025</v>
      </c>
      <c r="M1685" t="str">
        <f>IF(discount_impact_on_profit_2000_rows[[#This Row],[Discount %]]=0,"Zero Discount",IF(discount_impact_on_profit_2000_rows[[#This Row],[Discount %]]&lt;=10,"Low Discount","High Discount"))</f>
        <v>Zero Discount</v>
      </c>
      <c r="N1685" t="str">
        <f t="shared" si="26"/>
        <v>0-10%</v>
      </c>
    </row>
    <row r="1686" spans="1:14">
      <c r="A1686" s="1">
        <v>45659</v>
      </c>
      <c r="B1686" t="s">
        <v>1748</v>
      </c>
      <c r="C1686" t="s">
        <v>18</v>
      </c>
      <c r="D1686" t="s">
        <v>50</v>
      </c>
      <c r="E1686">
        <v>2788.99</v>
      </c>
      <c r="F1686" t="s">
        <v>26</v>
      </c>
      <c r="G1686">
        <v>4202.1000000000004</v>
      </c>
      <c r="H1686">
        <v>1413.11</v>
      </c>
      <c r="I1686">
        <v>5</v>
      </c>
      <c r="J1686">
        <v>3</v>
      </c>
      <c r="K1686" t="str">
        <f>TEXT(discount_impact_on_profit_2000_rows[[#This Row],[order date]],"mmmm")</f>
        <v>January</v>
      </c>
      <c r="L1686">
        <f>YEAR(discount_impact_on_profit_2000_rows[[#This Row],[order date]])</f>
        <v>2025</v>
      </c>
      <c r="M1686" t="str">
        <f>IF(discount_impact_on_profit_2000_rows[[#This Row],[Discount %]]=0,"Zero Discount",IF(discount_impact_on_profit_2000_rows[[#This Row],[Discount %]]&lt;=10,"Low Discount","High Discount"))</f>
        <v>Low Discount</v>
      </c>
      <c r="N1686" t="str">
        <f t="shared" si="26"/>
        <v>0-10%</v>
      </c>
    </row>
    <row r="1687" spans="1:14">
      <c r="A1687" s="1">
        <v>45366</v>
      </c>
      <c r="B1687" t="s">
        <v>1749</v>
      </c>
      <c r="C1687" t="s">
        <v>15</v>
      </c>
      <c r="D1687" t="s">
        <v>86</v>
      </c>
      <c r="E1687">
        <v>2393.54</v>
      </c>
      <c r="F1687" t="s">
        <v>23</v>
      </c>
      <c r="G1687">
        <v>2900.14</v>
      </c>
      <c r="H1687">
        <v>506.6</v>
      </c>
      <c r="I1687">
        <v>15</v>
      </c>
      <c r="J1687">
        <v>1</v>
      </c>
      <c r="K1687" t="str">
        <f>TEXT(discount_impact_on_profit_2000_rows[[#This Row],[order date]],"mmmm")</f>
        <v>March</v>
      </c>
      <c r="L1687">
        <f>YEAR(discount_impact_on_profit_2000_rows[[#This Row],[order date]])</f>
        <v>2024</v>
      </c>
      <c r="M1687" t="str">
        <f>IF(discount_impact_on_profit_2000_rows[[#This Row],[Discount %]]=0,"Zero Discount",IF(discount_impact_on_profit_2000_rows[[#This Row],[Discount %]]&lt;=10,"Low Discount","High Discount"))</f>
        <v>High Discount</v>
      </c>
      <c r="N1687" t="str">
        <f t="shared" si="26"/>
        <v>10-20%</v>
      </c>
    </row>
    <row r="1688" spans="1:14">
      <c r="A1688" s="1">
        <v>45098</v>
      </c>
      <c r="B1688" t="s">
        <v>1750</v>
      </c>
      <c r="C1688" t="s">
        <v>33</v>
      </c>
      <c r="D1688" t="s">
        <v>44</v>
      </c>
      <c r="E1688">
        <v>24662.639999999999</v>
      </c>
      <c r="F1688" t="s">
        <v>23</v>
      </c>
      <c r="G1688">
        <v>28952.560000000001</v>
      </c>
      <c r="H1688">
        <v>4289.92</v>
      </c>
      <c r="I1688">
        <v>10</v>
      </c>
      <c r="J1688">
        <v>2</v>
      </c>
      <c r="K1688" t="str">
        <f>TEXT(discount_impact_on_profit_2000_rows[[#This Row],[order date]],"mmmm")</f>
        <v>June</v>
      </c>
      <c r="L1688">
        <f>YEAR(discount_impact_on_profit_2000_rows[[#This Row],[order date]])</f>
        <v>2023</v>
      </c>
      <c r="M1688" t="str">
        <f>IF(discount_impact_on_profit_2000_rows[[#This Row],[Discount %]]=0,"Zero Discount",IF(discount_impact_on_profit_2000_rows[[#This Row],[Discount %]]&lt;=10,"Low Discount","High Discount"))</f>
        <v>Low Discount</v>
      </c>
      <c r="N1688" t="str">
        <f t="shared" si="26"/>
        <v>0-10%</v>
      </c>
    </row>
    <row r="1689" spans="1:14">
      <c r="A1689" s="1">
        <v>45489</v>
      </c>
      <c r="B1689" t="s">
        <v>1751</v>
      </c>
      <c r="C1689" t="s">
        <v>18</v>
      </c>
      <c r="D1689" t="s">
        <v>140</v>
      </c>
      <c r="E1689">
        <v>189.71</v>
      </c>
      <c r="F1689" t="s">
        <v>36</v>
      </c>
      <c r="G1689">
        <v>275.5</v>
      </c>
      <c r="H1689">
        <v>85.79</v>
      </c>
      <c r="I1689">
        <v>15</v>
      </c>
      <c r="J1689">
        <v>2</v>
      </c>
      <c r="K1689" t="str">
        <f>TEXT(discount_impact_on_profit_2000_rows[[#This Row],[order date]],"mmmm")</f>
        <v>July</v>
      </c>
      <c r="L1689">
        <f>YEAR(discount_impact_on_profit_2000_rows[[#This Row],[order date]])</f>
        <v>2024</v>
      </c>
      <c r="M1689" t="str">
        <f>IF(discount_impact_on_profit_2000_rows[[#This Row],[Discount %]]=0,"Zero Discount",IF(discount_impact_on_profit_2000_rows[[#This Row],[Discount %]]&lt;=10,"Low Discount","High Discount"))</f>
        <v>High Discount</v>
      </c>
      <c r="N1689" t="str">
        <f t="shared" si="26"/>
        <v>10-20%</v>
      </c>
    </row>
    <row r="1690" spans="1:14">
      <c r="A1690" s="1">
        <v>45240</v>
      </c>
      <c r="B1690" t="s">
        <v>1752</v>
      </c>
      <c r="C1690" t="s">
        <v>33</v>
      </c>
      <c r="D1690" t="s">
        <v>34</v>
      </c>
      <c r="E1690">
        <v>3433.66</v>
      </c>
      <c r="F1690" t="s">
        <v>13</v>
      </c>
      <c r="G1690">
        <v>4342.3599999999997</v>
      </c>
      <c r="H1690">
        <v>908.7</v>
      </c>
      <c r="I1690">
        <v>10</v>
      </c>
      <c r="J1690">
        <v>1</v>
      </c>
      <c r="K1690" t="str">
        <f>TEXT(discount_impact_on_profit_2000_rows[[#This Row],[order date]],"mmmm")</f>
        <v>November</v>
      </c>
      <c r="L1690">
        <f>YEAR(discount_impact_on_profit_2000_rows[[#This Row],[order date]])</f>
        <v>2023</v>
      </c>
      <c r="M1690" t="str">
        <f>IF(discount_impact_on_profit_2000_rows[[#This Row],[Discount %]]=0,"Zero Discount",IF(discount_impact_on_profit_2000_rows[[#This Row],[Discount %]]&lt;=10,"Low Discount","High Discount"))</f>
        <v>Low Discount</v>
      </c>
      <c r="N1690" t="str">
        <f t="shared" si="26"/>
        <v>0-10%</v>
      </c>
    </row>
    <row r="1691" spans="1:14">
      <c r="A1691" s="1">
        <v>45831</v>
      </c>
      <c r="B1691" t="s">
        <v>1753</v>
      </c>
      <c r="C1691" t="s">
        <v>21</v>
      </c>
      <c r="D1691" t="s">
        <v>82</v>
      </c>
      <c r="E1691">
        <v>5056.3</v>
      </c>
      <c r="F1691" t="s">
        <v>23</v>
      </c>
      <c r="G1691">
        <v>5207.99</v>
      </c>
      <c r="H1691">
        <v>151.69</v>
      </c>
      <c r="I1691">
        <v>28</v>
      </c>
      <c r="J1691">
        <v>5</v>
      </c>
      <c r="K1691" t="str">
        <f>TEXT(discount_impact_on_profit_2000_rows[[#This Row],[order date]],"mmmm")</f>
        <v>June</v>
      </c>
      <c r="L1691">
        <f>YEAR(discount_impact_on_profit_2000_rows[[#This Row],[order date]])</f>
        <v>2025</v>
      </c>
      <c r="M1691" t="str">
        <f>IF(discount_impact_on_profit_2000_rows[[#This Row],[Discount %]]=0,"Zero Discount",IF(discount_impact_on_profit_2000_rows[[#This Row],[Discount %]]&lt;=10,"Low Discount","High Discount"))</f>
        <v>High Discount</v>
      </c>
      <c r="N1691" t="str">
        <f t="shared" si="26"/>
        <v>20-30%</v>
      </c>
    </row>
    <row r="1692" spans="1:14">
      <c r="A1692" s="1">
        <v>45684</v>
      </c>
      <c r="B1692" t="s">
        <v>1754</v>
      </c>
      <c r="C1692" t="s">
        <v>18</v>
      </c>
      <c r="D1692" t="s">
        <v>50</v>
      </c>
      <c r="E1692">
        <v>248.63</v>
      </c>
      <c r="F1692" t="s">
        <v>13</v>
      </c>
      <c r="G1692">
        <v>408.06</v>
      </c>
      <c r="H1692">
        <v>159.43</v>
      </c>
      <c r="I1692">
        <v>10</v>
      </c>
      <c r="J1692">
        <v>2</v>
      </c>
      <c r="K1692" t="str">
        <f>TEXT(discount_impact_on_profit_2000_rows[[#This Row],[order date]],"mmmm")</f>
        <v>January</v>
      </c>
      <c r="L1692">
        <f>YEAR(discount_impact_on_profit_2000_rows[[#This Row],[order date]])</f>
        <v>2025</v>
      </c>
      <c r="M1692" t="str">
        <f>IF(discount_impact_on_profit_2000_rows[[#This Row],[Discount %]]=0,"Zero Discount",IF(discount_impact_on_profit_2000_rows[[#This Row],[Discount %]]&lt;=10,"Low Discount","High Discount"))</f>
        <v>Low Discount</v>
      </c>
      <c r="N1692" t="str">
        <f t="shared" si="26"/>
        <v>0-10%</v>
      </c>
    </row>
    <row r="1693" spans="1:14">
      <c r="A1693" s="1">
        <v>45851</v>
      </c>
      <c r="B1693" t="s">
        <v>1755</v>
      </c>
      <c r="C1693" t="s">
        <v>11</v>
      </c>
      <c r="D1693" t="s">
        <v>80</v>
      </c>
      <c r="E1693">
        <v>4697.0600000000004</v>
      </c>
      <c r="F1693" t="s">
        <v>13</v>
      </c>
      <c r="G1693">
        <v>9275.4599999999991</v>
      </c>
      <c r="H1693">
        <v>4578.3999999999996</v>
      </c>
      <c r="I1693">
        <v>10</v>
      </c>
      <c r="J1693">
        <v>2</v>
      </c>
      <c r="K1693" t="str">
        <f>TEXT(discount_impact_on_profit_2000_rows[[#This Row],[order date]],"mmmm")</f>
        <v>July</v>
      </c>
      <c r="L1693">
        <f>YEAR(discount_impact_on_profit_2000_rows[[#This Row],[order date]])</f>
        <v>2025</v>
      </c>
      <c r="M1693" t="str">
        <f>IF(discount_impact_on_profit_2000_rows[[#This Row],[Discount %]]=0,"Zero Discount",IF(discount_impact_on_profit_2000_rows[[#This Row],[Discount %]]&lt;=10,"Low Discount","High Discount"))</f>
        <v>Low Discount</v>
      </c>
      <c r="N1693" t="str">
        <f t="shared" si="26"/>
        <v>0-10%</v>
      </c>
    </row>
    <row r="1694" spans="1:14">
      <c r="A1694" s="1">
        <v>45982</v>
      </c>
      <c r="B1694" t="s">
        <v>1756</v>
      </c>
      <c r="C1694" t="s">
        <v>21</v>
      </c>
      <c r="D1694" t="s">
        <v>109</v>
      </c>
      <c r="E1694">
        <v>2135.65</v>
      </c>
      <c r="F1694" t="s">
        <v>23</v>
      </c>
      <c r="G1694">
        <v>2767.57</v>
      </c>
      <c r="H1694">
        <v>631.91999999999996</v>
      </c>
      <c r="I1694">
        <v>0</v>
      </c>
      <c r="J1694">
        <v>3</v>
      </c>
      <c r="K1694" t="str">
        <f>TEXT(discount_impact_on_profit_2000_rows[[#This Row],[order date]],"mmmm")</f>
        <v>November</v>
      </c>
      <c r="L1694">
        <f>YEAR(discount_impact_on_profit_2000_rows[[#This Row],[order date]])</f>
        <v>2025</v>
      </c>
      <c r="M1694" t="str">
        <f>IF(discount_impact_on_profit_2000_rows[[#This Row],[Discount %]]=0,"Zero Discount",IF(discount_impact_on_profit_2000_rows[[#This Row],[Discount %]]&lt;=10,"Low Discount","High Discount"))</f>
        <v>Zero Discount</v>
      </c>
      <c r="N1694" t="str">
        <f t="shared" si="26"/>
        <v>0-10%</v>
      </c>
    </row>
    <row r="1695" spans="1:14">
      <c r="A1695" s="1">
        <v>45879</v>
      </c>
      <c r="B1695" t="s">
        <v>1757</v>
      </c>
      <c r="C1695" t="s">
        <v>21</v>
      </c>
      <c r="D1695" t="s">
        <v>154</v>
      </c>
      <c r="E1695">
        <v>20306.88</v>
      </c>
      <c r="F1695" t="s">
        <v>26</v>
      </c>
      <c r="G1695">
        <v>27423.88</v>
      </c>
      <c r="H1695">
        <v>7117</v>
      </c>
      <c r="I1695">
        <v>5</v>
      </c>
      <c r="J1695">
        <v>4</v>
      </c>
      <c r="K1695" t="str">
        <f>TEXT(discount_impact_on_profit_2000_rows[[#This Row],[order date]],"mmmm")</f>
        <v>August</v>
      </c>
      <c r="L1695">
        <f>YEAR(discount_impact_on_profit_2000_rows[[#This Row],[order date]])</f>
        <v>2025</v>
      </c>
      <c r="M1695" t="str">
        <f>IF(discount_impact_on_profit_2000_rows[[#This Row],[Discount %]]=0,"Zero Discount",IF(discount_impact_on_profit_2000_rows[[#This Row],[Discount %]]&lt;=10,"Low Discount","High Discount"))</f>
        <v>Low Discount</v>
      </c>
      <c r="N1695" t="str">
        <f t="shared" si="26"/>
        <v>0-10%</v>
      </c>
    </row>
    <row r="1696" spans="1:14">
      <c r="A1696" s="1">
        <v>45515</v>
      </c>
      <c r="B1696" t="s">
        <v>1758</v>
      </c>
      <c r="C1696" t="s">
        <v>11</v>
      </c>
      <c r="D1696" t="s">
        <v>30</v>
      </c>
      <c r="E1696">
        <v>603.11</v>
      </c>
      <c r="F1696" t="s">
        <v>31</v>
      </c>
      <c r="G1696">
        <v>996.38</v>
      </c>
      <c r="H1696">
        <v>393.27</v>
      </c>
      <c r="I1696">
        <v>0</v>
      </c>
      <c r="J1696">
        <v>1</v>
      </c>
      <c r="K1696" t="str">
        <f>TEXT(discount_impact_on_profit_2000_rows[[#This Row],[order date]],"mmmm")</f>
        <v>August</v>
      </c>
      <c r="L1696">
        <f>YEAR(discount_impact_on_profit_2000_rows[[#This Row],[order date]])</f>
        <v>2024</v>
      </c>
      <c r="M1696" t="str">
        <f>IF(discount_impact_on_profit_2000_rows[[#This Row],[Discount %]]=0,"Zero Discount",IF(discount_impact_on_profit_2000_rows[[#This Row],[Discount %]]&lt;=10,"Low Discount","High Discount"))</f>
        <v>Zero Discount</v>
      </c>
      <c r="N1696" t="str">
        <f t="shared" si="26"/>
        <v>0-10%</v>
      </c>
    </row>
    <row r="1697" spans="1:14">
      <c r="A1697" s="1">
        <v>45176</v>
      </c>
      <c r="B1697" t="s">
        <v>1759</v>
      </c>
      <c r="C1697" t="s">
        <v>15</v>
      </c>
      <c r="D1697" t="s">
        <v>86</v>
      </c>
      <c r="E1697">
        <v>7289.25</v>
      </c>
      <c r="F1697" t="s">
        <v>26</v>
      </c>
      <c r="G1697">
        <v>8297.8799999999992</v>
      </c>
      <c r="H1697">
        <v>1008.63</v>
      </c>
      <c r="I1697">
        <v>20</v>
      </c>
      <c r="J1697">
        <v>2</v>
      </c>
      <c r="K1697" t="str">
        <f>TEXT(discount_impact_on_profit_2000_rows[[#This Row],[order date]],"mmmm")</f>
        <v>September</v>
      </c>
      <c r="L1697">
        <f>YEAR(discount_impact_on_profit_2000_rows[[#This Row],[order date]])</f>
        <v>2023</v>
      </c>
      <c r="M1697" t="str">
        <f>IF(discount_impact_on_profit_2000_rows[[#This Row],[Discount %]]=0,"Zero Discount",IF(discount_impact_on_profit_2000_rows[[#This Row],[Discount %]]&lt;=10,"Low Discount","High Discount"))</f>
        <v>High Discount</v>
      </c>
      <c r="N1697" t="str">
        <f t="shared" si="26"/>
        <v>10-20%</v>
      </c>
    </row>
    <row r="1698" spans="1:14">
      <c r="A1698" s="1">
        <v>45759</v>
      </c>
      <c r="B1698" t="s">
        <v>1760</v>
      </c>
      <c r="C1698" t="s">
        <v>21</v>
      </c>
      <c r="D1698" t="s">
        <v>109</v>
      </c>
      <c r="E1698">
        <v>2362.5300000000002</v>
      </c>
      <c r="F1698" t="s">
        <v>13</v>
      </c>
      <c r="G1698">
        <v>2366.52</v>
      </c>
      <c r="H1698">
        <v>3.99</v>
      </c>
      <c r="I1698">
        <v>21</v>
      </c>
      <c r="J1698">
        <v>2</v>
      </c>
      <c r="K1698" t="str">
        <f>TEXT(discount_impact_on_profit_2000_rows[[#This Row],[order date]],"mmmm")</f>
        <v>April</v>
      </c>
      <c r="L1698">
        <f>YEAR(discount_impact_on_profit_2000_rows[[#This Row],[order date]])</f>
        <v>2025</v>
      </c>
      <c r="M1698" t="str">
        <f>IF(discount_impact_on_profit_2000_rows[[#This Row],[Discount %]]=0,"Zero Discount",IF(discount_impact_on_profit_2000_rows[[#This Row],[Discount %]]&lt;=10,"Low Discount","High Discount"))</f>
        <v>High Discount</v>
      </c>
      <c r="N1698" t="str">
        <f t="shared" si="26"/>
        <v>20-30%</v>
      </c>
    </row>
    <row r="1699" spans="1:14">
      <c r="A1699" s="1">
        <v>45564</v>
      </c>
      <c r="B1699" t="s">
        <v>1761</v>
      </c>
      <c r="C1699" t="s">
        <v>15</v>
      </c>
      <c r="D1699" t="s">
        <v>84</v>
      </c>
      <c r="E1699">
        <v>2287.85</v>
      </c>
      <c r="F1699" t="s">
        <v>23</v>
      </c>
      <c r="G1699">
        <v>2885.5</v>
      </c>
      <c r="H1699">
        <v>597.65</v>
      </c>
      <c r="I1699">
        <v>20</v>
      </c>
      <c r="J1699">
        <v>2</v>
      </c>
      <c r="K1699" t="str">
        <f>TEXT(discount_impact_on_profit_2000_rows[[#This Row],[order date]],"mmmm")</f>
        <v>September</v>
      </c>
      <c r="L1699">
        <f>YEAR(discount_impact_on_profit_2000_rows[[#This Row],[order date]])</f>
        <v>2024</v>
      </c>
      <c r="M1699" t="str">
        <f>IF(discount_impact_on_profit_2000_rows[[#This Row],[Discount %]]=0,"Zero Discount",IF(discount_impact_on_profit_2000_rows[[#This Row],[Discount %]]&lt;=10,"Low Discount","High Discount"))</f>
        <v>High Discount</v>
      </c>
      <c r="N1699" t="str">
        <f t="shared" si="26"/>
        <v>10-20%</v>
      </c>
    </row>
    <row r="1700" spans="1:14">
      <c r="A1700" s="1">
        <v>45199</v>
      </c>
      <c r="B1700" t="s">
        <v>1762</v>
      </c>
      <c r="C1700" t="s">
        <v>53</v>
      </c>
      <c r="D1700" t="s">
        <v>59</v>
      </c>
      <c r="E1700">
        <v>534.49</v>
      </c>
      <c r="F1700" t="s">
        <v>36</v>
      </c>
      <c r="G1700">
        <v>862.46</v>
      </c>
      <c r="H1700">
        <v>327.97</v>
      </c>
      <c r="I1700">
        <v>0</v>
      </c>
      <c r="J1700">
        <v>1</v>
      </c>
      <c r="K1700" t="str">
        <f>TEXT(discount_impact_on_profit_2000_rows[[#This Row],[order date]],"mmmm")</f>
        <v>September</v>
      </c>
      <c r="L1700">
        <f>YEAR(discount_impact_on_profit_2000_rows[[#This Row],[order date]])</f>
        <v>2023</v>
      </c>
      <c r="M1700" t="str">
        <f>IF(discount_impact_on_profit_2000_rows[[#This Row],[Discount %]]=0,"Zero Discount",IF(discount_impact_on_profit_2000_rows[[#This Row],[Discount %]]&lt;=10,"Low Discount","High Discount"))</f>
        <v>Zero Discount</v>
      </c>
      <c r="N1700" t="str">
        <f t="shared" si="26"/>
        <v>0-10%</v>
      </c>
    </row>
    <row r="1701" spans="1:14">
      <c r="A1701" s="1">
        <v>45421</v>
      </c>
      <c r="B1701" t="s">
        <v>1763</v>
      </c>
      <c r="C1701" t="s">
        <v>18</v>
      </c>
      <c r="D1701" t="s">
        <v>42</v>
      </c>
      <c r="E1701">
        <v>503.25</v>
      </c>
      <c r="F1701" t="s">
        <v>26</v>
      </c>
      <c r="G1701">
        <v>522.04</v>
      </c>
      <c r="H1701">
        <v>18.79</v>
      </c>
      <c r="I1701">
        <v>30</v>
      </c>
      <c r="J1701">
        <v>5</v>
      </c>
      <c r="K1701" t="str">
        <f>TEXT(discount_impact_on_profit_2000_rows[[#This Row],[order date]],"mmmm")</f>
        <v>May</v>
      </c>
      <c r="L1701">
        <f>YEAR(discount_impact_on_profit_2000_rows[[#This Row],[order date]])</f>
        <v>2024</v>
      </c>
      <c r="M1701" t="str">
        <f>IF(discount_impact_on_profit_2000_rows[[#This Row],[Discount %]]=0,"Zero Discount",IF(discount_impact_on_profit_2000_rows[[#This Row],[Discount %]]&lt;=10,"Low Discount","High Discount"))</f>
        <v>High Discount</v>
      </c>
      <c r="N1701" t="str">
        <f t="shared" si="26"/>
        <v>20-30%</v>
      </c>
    </row>
    <row r="1702" spans="1:14">
      <c r="A1702" s="1">
        <v>45868</v>
      </c>
      <c r="B1702" t="s">
        <v>1764</v>
      </c>
      <c r="C1702" t="s">
        <v>33</v>
      </c>
      <c r="D1702" t="s">
        <v>92</v>
      </c>
      <c r="E1702">
        <v>13180.47</v>
      </c>
      <c r="F1702" t="s">
        <v>31</v>
      </c>
      <c r="G1702">
        <v>17323.900000000001</v>
      </c>
      <c r="H1702">
        <v>4143.43</v>
      </c>
      <c r="I1702">
        <v>20</v>
      </c>
      <c r="J1702">
        <v>1</v>
      </c>
      <c r="K1702" t="str">
        <f>TEXT(discount_impact_on_profit_2000_rows[[#This Row],[order date]],"mmmm")</f>
        <v>July</v>
      </c>
      <c r="L1702">
        <f>YEAR(discount_impact_on_profit_2000_rows[[#This Row],[order date]])</f>
        <v>2025</v>
      </c>
      <c r="M1702" t="str">
        <f>IF(discount_impact_on_profit_2000_rows[[#This Row],[Discount %]]=0,"Zero Discount",IF(discount_impact_on_profit_2000_rows[[#This Row],[Discount %]]&lt;=10,"Low Discount","High Discount"))</f>
        <v>High Discount</v>
      </c>
      <c r="N1702" t="str">
        <f t="shared" si="26"/>
        <v>10-20%</v>
      </c>
    </row>
    <row r="1703" spans="1:14">
      <c r="A1703" s="1">
        <v>46007</v>
      </c>
      <c r="B1703" t="s">
        <v>1765</v>
      </c>
      <c r="C1703" t="s">
        <v>21</v>
      </c>
      <c r="D1703" t="s">
        <v>123</v>
      </c>
      <c r="E1703">
        <v>39034.32</v>
      </c>
      <c r="F1703" t="s">
        <v>36</v>
      </c>
      <c r="G1703">
        <v>52779.17</v>
      </c>
      <c r="H1703">
        <v>13744.85</v>
      </c>
      <c r="I1703">
        <v>5</v>
      </c>
      <c r="J1703">
        <v>6</v>
      </c>
      <c r="K1703" t="str">
        <f>TEXT(discount_impact_on_profit_2000_rows[[#This Row],[order date]],"mmmm")</f>
        <v>December</v>
      </c>
      <c r="L1703">
        <f>YEAR(discount_impact_on_profit_2000_rows[[#This Row],[order date]])</f>
        <v>2025</v>
      </c>
      <c r="M1703" t="str">
        <f>IF(discount_impact_on_profit_2000_rows[[#This Row],[Discount %]]=0,"Zero Discount",IF(discount_impact_on_profit_2000_rows[[#This Row],[Discount %]]&lt;=10,"Low Discount","High Discount"))</f>
        <v>Low Discount</v>
      </c>
      <c r="N1703" t="str">
        <f t="shared" si="26"/>
        <v>0-10%</v>
      </c>
    </row>
    <row r="1704" spans="1:14">
      <c r="A1704" s="1">
        <v>45226</v>
      </c>
      <c r="B1704" t="s">
        <v>1766</v>
      </c>
      <c r="C1704" t="s">
        <v>21</v>
      </c>
      <c r="D1704" t="s">
        <v>97</v>
      </c>
      <c r="E1704">
        <v>3148.75</v>
      </c>
      <c r="F1704" t="s">
        <v>31</v>
      </c>
      <c r="G1704">
        <v>4198.63</v>
      </c>
      <c r="H1704">
        <v>1049.8800000000001</v>
      </c>
      <c r="I1704">
        <v>5</v>
      </c>
      <c r="J1704">
        <v>3</v>
      </c>
      <c r="K1704" t="str">
        <f>TEXT(discount_impact_on_profit_2000_rows[[#This Row],[order date]],"mmmm")</f>
        <v>October</v>
      </c>
      <c r="L1704">
        <f>YEAR(discount_impact_on_profit_2000_rows[[#This Row],[order date]])</f>
        <v>2023</v>
      </c>
      <c r="M1704" t="str">
        <f>IF(discount_impact_on_profit_2000_rows[[#This Row],[Discount %]]=0,"Zero Discount",IF(discount_impact_on_profit_2000_rows[[#This Row],[Discount %]]&lt;=10,"Low Discount","High Discount"))</f>
        <v>Low Discount</v>
      </c>
      <c r="N1704" t="str">
        <f t="shared" si="26"/>
        <v>0-10%</v>
      </c>
    </row>
    <row r="1705" spans="1:14">
      <c r="A1705" s="1">
        <v>45346</v>
      </c>
      <c r="B1705" t="s">
        <v>1767</v>
      </c>
      <c r="C1705" t="s">
        <v>11</v>
      </c>
      <c r="D1705" t="s">
        <v>38</v>
      </c>
      <c r="E1705">
        <v>8377.5</v>
      </c>
      <c r="F1705" t="s">
        <v>31</v>
      </c>
      <c r="G1705">
        <v>13647.96</v>
      </c>
      <c r="H1705">
        <v>5270.46</v>
      </c>
      <c r="I1705">
        <v>15</v>
      </c>
      <c r="J1705">
        <v>4</v>
      </c>
      <c r="K1705" t="str">
        <f>TEXT(discount_impact_on_profit_2000_rows[[#This Row],[order date]],"mmmm")</f>
        <v>February</v>
      </c>
      <c r="L1705">
        <f>YEAR(discount_impact_on_profit_2000_rows[[#This Row],[order date]])</f>
        <v>2024</v>
      </c>
      <c r="M1705" t="str">
        <f>IF(discount_impact_on_profit_2000_rows[[#This Row],[Discount %]]=0,"Zero Discount",IF(discount_impact_on_profit_2000_rows[[#This Row],[Discount %]]&lt;=10,"Low Discount","High Discount"))</f>
        <v>High Discount</v>
      </c>
      <c r="N1705" t="str">
        <f t="shared" si="26"/>
        <v>10-20%</v>
      </c>
    </row>
    <row r="1706" spans="1:14">
      <c r="A1706" s="1">
        <v>45846</v>
      </c>
      <c r="B1706" t="s">
        <v>1768</v>
      </c>
      <c r="C1706" t="s">
        <v>21</v>
      </c>
      <c r="D1706" t="s">
        <v>46</v>
      </c>
      <c r="E1706">
        <v>4567.88</v>
      </c>
      <c r="F1706" t="s">
        <v>13</v>
      </c>
      <c r="G1706">
        <v>5290.31</v>
      </c>
      <c r="H1706">
        <v>722.43</v>
      </c>
      <c r="I1706">
        <v>10</v>
      </c>
      <c r="J1706">
        <v>5</v>
      </c>
      <c r="K1706" t="str">
        <f>TEXT(discount_impact_on_profit_2000_rows[[#This Row],[order date]],"mmmm")</f>
        <v>July</v>
      </c>
      <c r="L1706">
        <f>YEAR(discount_impact_on_profit_2000_rows[[#This Row],[order date]])</f>
        <v>2025</v>
      </c>
      <c r="M1706" t="str">
        <f>IF(discount_impact_on_profit_2000_rows[[#This Row],[Discount %]]=0,"Zero Discount",IF(discount_impact_on_profit_2000_rows[[#This Row],[Discount %]]&lt;=10,"Low Discount","High Discount"))</f>
        <v>Low Discount</v>
      </c>
      <c r="N1706" t="str">
        <f t="shared" si="26"/>
        <v>0-10%</v>
      </c>
    </row>
    <row r="1707" spans="1:14">
      <c r="A1707" s="1">
        <v>45173</v>
      </c>
      <c r="B1707" t="s">
        <v>1769</v>
      </c>
      <c r="C1707" t="s">
        <v>15</v>
      </c>
      <c r="D1707" t="s">
        <v>86</v>
      </c>
      <c r="E1707">
        <v>28191.22</v>
      </c>
      <c r="F1707" t="s">
        <v>23</v>
      </c>
      <c r="G1707">
        <v>28289.599999999999</v>
      </c>
      <c r="H1707">
        <v>98.38</v>
      </c>
      <c r="I1707">
        <v>24</v>
      </c>
      <c r="J1707">
        <v>4</v>
      </c>
      <c r="K1707" t="str">
        <f>TEXT(discount_impact_on_profit_2000_rows[[#This Row],[order date]],"mmmm")</f>
        <v>September</v>
      </c>
      <c r="L1707">
        <f>YEAR(discount_impact_on_profit_2000_rows[[#This Row],[order date]])</f>
        <v>2023</v>
      </c>
      <c r="M1707" t="str">
        <f>IF(discount_impact_on_profit_2000_rows[[#This Row],[Discount %]]=0,"Zero Discount",IF(discount_impact_on_profit_2000_rows[[#This Row],[Discount %]]&lt;=10,"Low Discount","High Discount"))</f>
        <v>High Discount</v>
      </c>
      <c r="N1707" t="str">
        <f t="shared" si="26"/>
        <v>20-30%</v>
      </c>
    </row>
    <row r="1708" spans="1:14">
      <c r="A1708" s="1">
        <v>45964</v>
      </c>
      <c r="B1708" t="s">
        <v>1770</v>
      </c>
      <c r="C1708" t="s">
        <v>18</v>
      </c>
      <c r="D1708" t="s">
        <v>19</v>
      </c>
      <c r="E1708">
        <v>506.39</v>
      </c>
      <c r="F1708" t="s">
        <v>26</v>
      </c>
      <c r="G1708">
        <v>777.44</v>
      </c>
      <c r="H1708">
        <v>271.05</v>
      </c>
      <c r="I1708">
        <v>10</v>
      </c>
      <c r="J1708">
        <v>10</v>
      </c>
      <c r="K1708" t="str">
        <f>TEXT(discount_impact_on_profit_2000_rows[[#This Row],[order date]],"mmmm")</f>
        <v>November</v>
      </c>
      <c r="L1708">
        <f>YEAR(discount_impact_on_profit_2000_rows[[#This Row],[order date]])</f>
        <v>2025</v>
      </c>
      <c r="M1708" t="str">
        <f>IF(discount_impact_on_profit_2000_rows[[#This Row],[Discount %]]=0,"Zero Discount",IF(discount_impact_on_profit_2000_rows[[#This Row],[Discount %]]&lt;=10,"Low Discount","High Discount"))</f>
        <v>Low Discount</v>
      </c>
      <c r="N1708" t="str">
        <f t="shared" si="26"/>
        <v>0-10%</v>
      </c>
    </row>
    <row r="1709" spans="1:14">
      <c r="A1709" s="1">
        <v>45352</v>
      </c>
      <c r="B1709" t="s">
        <v>1771</v>
      </c>
      <c r="C1709" t="s">
        <v>11</v>
      </c>
      <c r="D1709" t="s">
        <v>25</v>
      </c>
      <c r="E1709">
        <v>1411.09</v>
      </c>
      <c r="F1709" t="s">
        <v>13</v>
      </c>
      <c r="G1709">
        <v>1772.05</v>
      </c>
      <c r="H1709">
        <v>360.96</v>
      </c>
      <c r="I1709">
        <v>20</v>
      </c>
      <c r="J1709">
        <v>1</v>
      </c>
      <c r="K1709" t="str">
        <f>TEXT(discount_impact_on_profit_2000_rows[[#This Row],[order date]],"mmmm")</f>
        <v>March</v>
      </c>
      <c r="L1709">
        <f>YEAR(discount_impact_on_profit_2000_rows[[#This Row],[order date]])</f>
        <v>2024</v>
      </c>
      <c r="M1709" t="str">
        <f>IF(discount_impact_on_profit_2000_rows[[#This Row],[Discount %]]=0,"Zero Discount",IF(discount_impact_on_profit_2000_rows[[#This Row],[Discount %]]&lt;=10,"Low Discount","High Discount"))</f>
        <v>High Discount</v>
      </c>
      <c r="N1709" t="str">
        <f t="shared" si="26"/>
        <v>10-20%</v>
      </c>
    </row>
    <row r="1710" spans="1:14">
      <c r="A1710" s="1">
        <v>45407</v>
      </c>
      <c r="B1710" t="s">
        <v>1772</v>
      </c>
      <c r="C1710" t="s">
        <v>15</v>
      </c>
      <c r="D1710" t="s">
        <v>76</v>
      </c>
      <c r="E1710">
        <v>6758.22</v>
      </c>
      <c r="F1710" t="s">
        <v>31</v>
      </c>
      <c r="G1710">
        <v>6961.72</v>
      </c>
      <c r="H1710">
        <v>203.5</v>
      </c>
      <c r="I1710">
        <v>25</v>
      </c>
      <c r="J1710">
        <v>3</v>
      </c>
      <c r="K1710" t="str">
        <f>TEXT(discount_impact_on_profit_2000_rows[[#This Row],[order date]],"mmmm")</f>
        <v>April</v>
      </c>
      <c r="L1710">
        <f>YEAR(discount_impact_on_profit_2000_rows[[#This Row],[order date]])</f>
        <v>2024</v>
      </c>
      <c r="M1710" t="str">
        <f>IF(discount_impact_on_profit_2000_rows[[#This Row],[Discount %]]=0,"Zero Discount",IF(discount_impact_on_profit_2000_rows[[#This Row],[Discount %]]&lt;=10,"Low Discount","High Discount"))</f>
        <v>High Discount</v>
      </c>
      <c r="N1710" t="str">
        <f t="shared" si="26"/>
        <v>20-30%</v>
      </c>
    </row>
    <row r="1711" spans="1:14">
      <c r="A1711" s="1">
        <v>45979</v>
      </c>
      <c r="B1711" t="s">
        <v>1773</v>
      </c>
      <c r="C1711" t="s">
        <v>11</v>
      </c>
      <c r="D1711" t="s">
        <v>38</v>
      </c>
      <c r="E1711">
        <v>799.66</v>
      </c>
      <c r="F1711" t="s">
        <v>23</v>
      </c>
      <c r="G1711">
        <v>1734.57</v>
      </c>
      <c r="H1711">
        <v>934.91</v>
      </c>
      <c r="I1711">
        <v>10</v>
      </c>
      <c r="J1711">
        <v>1</v>
      </c>
      <c r="K1711" t="str">
        <f>TEXT(discount_impact_on_profit_2000_rows[[#This Row],[order date]],"mmmm")</f>
        <v>November</v>
      </c>
      <c r="L1711">
        <f>YEAR(discount_impact_on_profit_2000_rows[[#This Row],[order date]])</f>
        <v>2025</v>
      </c>
      <c r="M1711" t="str">
        <f>IF(discount_impact_on_profit_2000_rows[[#This Row],[Discount %]]=0,"Zero Discount",IF(discount_impact_on_profit_2000_rows[[#This Row],[Discount %]]&lt;=10,"Low Discount","High Discount"))</f>
        <v>Low Discount</v>
      </c>
      <c r="N1711" t="str">
        <f t="shared" si="26"/>
        <v>0-10%</v>
      </c>
    </row>
    <row r="1712" spans="1:14">
      <c r="A1712" s="1">
        <v>45669</v>
      </c>
      <c r="B1712" t="s">
        <v>1774</v>
      </c>
      <c r="C1712" t="s">
        <v>18</v>
      </c>
      <c r="D1712" t="s">
        <v>42</v>
      </c>
      <c r="E1712">
        <v>95.83</v>
      </c>
      <c r="F1712" t="s">
        <v>13</v>
      </c>
      <c r="G1712">
        <v>195.77</v>
      </c>
      <c r="H1712">
        <v>99.94</v>
      </c>
      <c r="I1712">
        <v>5</v>
      </c>
      <c r="J1712">
        <v>1</v>
      </c>
      <c r="K1712" t="str">
        <f>TEXT(discount_impact_on_profit_2000_rows[[#This Row],[order date]],"mmmm")</f>
        <v>January</v>
      </c>
      <c r="L1712">
        <f>YEAR(discount_impact_on_profit_2000_rows[[#This Row],[order date]])</f>
        <v>2025</v>
      </c>
      <c r="M1712" t="str">
        <f>IF(discount_impact_on_profit_2000_rows[[#This Row],[Discount %]]=0,"Zero Discount",IF(discount_impact_on_profit_2000_rows[[#This Row],[Discount %]]&lt;=10,"Low Discount","High Discount"))</f>
        <v>Low Discount</v>
      </c>
      <c r="N1712" t="str">
        <f t="shared" si="26"/>
        <v>0-10%</v>
      </c>
    </row>
    <row r="1713" spans="1:14">
      <c r="A1713" s="1">
        <v>45944</v>
      </c>
      <c r="B1713" t="s">
        <v>1775</v>
      </c>
      <c r="C1713" t="s">
        <v>33</v>
      </c>
      <c r="D1713" t="s">
        <v>273</v>
      </c>
      <c r="E1713">
        <v>13738.56</v>
      </c>
      <c r="F1713" t="s">
        <v>23</v>
      </c>
      <c r="G1713">
        <v>16903.25</v>
      </c>
      <c r="H1713">
        <v>3164.69</v>
      </c>
      <c r="I1713">
        <v>20</v>
      </c>
      <c r="J1713">
        <v>1</v>
      </c>
      <c r="K1713" t="str">
        <f>TEXT(discount_impact_on_profit_2000_rows[[#This Row],[order date]],"mmmm")</f>
        <v>October</v>
      </c>
      <c r="L1713">
        <f>YEAR(discount_impact_on_profit_2000_rows[[#This Row],[order date]])</f>
        <v>2025</v>
      </c>
      <c r="M1713" t="str">
        <f>IF(discount_impact_on_profit_2000_rows[[#This Row],[Discount %]]=0,"Zero Discount",IF(discount_impact_on_profit_2000_rows[[#This Row],[Discount %]]&lt;=10,"Low Discount","High Discount"))</f>
        <v>High Discount</v>
      </c>
      <c r="N1713" t="str">
        <f t="shared" si="26"/>
        <v>10-20%</v>
      </c>
    </row>
    <row r="1714" spans="1:14">
      <c r="A1714" s="1">
        <v>45213</v>
      </c>
      <c r="B1714" t="s">
        <v>1776</v>
      </c>
      <c r="C1714" t="s">
        <v>18</v>
      </c>
      <c r="D1714" t="s">
        <v>88</v>
      </c>
      <c r="E1714">
        <v>369.27</v>
      </c>
      <c r="F1714" t="s">
        <v>23</v>
      </c>
      <c r="G1714">
        <v>380.83</v>
      </c>
      <c r="H1714">
        <v>11.56</v>
      </c>
      <c r="I1714">
        <v>30</v>
      </c>
      <c r="J1714">
        <v>4</v>
      </c>
      <c r="K1714" t="str">
        <f>TEXT(discount_impact_on_profit_2000_rows[[#This Row],[order date]],"mmmm")</f>
        <v>October</v>
      </c>
      <c r="L1714">
        <f>YEAR(discount_impact_on_profit_2000_rows[[#This Row],[order date]])</f>
        <v>2023</v>
      </c>
      <c r="M1714" t="str">
        <f>IF(discount_impact_on_profit_2000_rows[[#This Row],[Discount %]]=0,"Zero Discount",IF(discount_impact_on_profit_2000_rows[[#This Row],[Discount %]]&lt;=10,"Low Discount","High Discount"))</f>
        <v>High Discount</v>
      </c>
      <c r="N1714" t="str">
        <f t="shared" si="26"/>
        <v>20-30%</v>
      </c>
    </row>
    <row r="1715" spans="1:14">
      <c r="A1715" s="1">
        <v>45988</v>
      </c>
      <c r="B1715" t="s">
        <v>1777</v>
      </c>
      <c r="C1715" t="s">
        <v>33</v>
      </c>
      <c r="D1715" t="s">
        <v>44</v>
      </c>
      <c r="E1715">
        <v>55513.35</v>
      </c>
      <c r="F1715" t="s">
        <v>31</v>
      </c>
      <c r="G1715">
        <v>76812.28</v>
      </c>
      <c r="H1715">
        <v>21298.93</v>
      </c>
      <c r="I1715">
        <v>0</v>
      </c>
      <c r="J1715">
        <v>4</v>
      </c>
      <c r="K1715" t="str">
        <f>TEXT(discount_impact_on_profit_2000_rows[[#This Row],[order date]],"mmmm")</f>
        <v>November</v>
      </c>
      <c r="L1715">
        <f>YEAR(discount_impact_on_profit_2000_rows[[#This Row],[order date]])</f>
        <v>2025</v>
      </c>
      <c r="M1715" t="str">
        <f>IF(discount_impact_on_profit_2000_rows[[#This Row],[Discount %]]=0,"Zero Discount",IF(discount_impact_on_profit_2000_rows[[#This Row],[Discount %]]&lt;=10,"Low Discount","High Discount"))</f>
        <v>Zero Discount</v>
      </c>
      <c r="N1715" t="str">
        <f t="shared" si="26"/>
        <v>0-10%</v>
      </c>
    </row>
    <row r="1716" spans="1:14">
      <c r="A1716" s="1">
        <v>45315</v>
      </c>
      <c r="B1716" t="s">
        <v>1778</v>
      </c>
      <c r="C1716" t="s">
        <v>18</v>
      </c>
      <c r="D1716" t="s">
        <v>188</v>
      </c>
      <c r="E1716">
        <v>831.85</v>
      </c>
      <c r="F1716" t="s">
        <v>26</v>
      </c>
      <c r="G1716">
        <v>1352.74</v>
      </c>
      <c r="H1716">
        <v>520.89</v>
      </c>
      <c r="I1716">
        <v>0</v>
      </c>
      <c r="J1716">
        <v>2</v>
      </c>
      <c r="K1716" t="str">
        <f>TEXT(discount_impact_on_profit_2000_rows[[#This Row],[order date]],"mmmm")</f>
        <v>January</v>
      </c>
      <c r="L1716">
        <f>YEAR(discount_impact_on_profit_2000_rows[[#This Row],[order date]])</f>
        <v>2024</v>
      </c>
      <c r="M1716" t="str">
        <f>IF(discount_impact_on_profit_2000_rows[[#This Row],[Discount %]]=0,"Zero Discount",IF(discount_impact_on_profit_2000_rows[[#This Row],[Discount %]]&lt;=10,"Low Discount","High Discount"))</f>
        <v>Zero Discount</v>
      </c>
      <c r="N1716" t="str">
        <f t="shared" si="26"/>
        <v>0-10%</v>
      </c>
    </row>
    <row r="1717" spans="1:14">
      <c r="A1717" s="1">
        <v>45051</v>
      </c>
      <c r="B1717" t="s">
        <v>1779</v>
      </c>
      <c r="C1717" t="s">
        <v>15</v>
      </c>
      <c r="D1717" t="s">
        <v>84</v>
      </c>
      <c r="E1717">
        <v>45557.11</v>
      </c>
      <c r="F1717" t="s">
        <v>23</v>
      </c>
      <c r="G1717">
        <v>51215.63</v>
      </c>
      <c r="H1717">
        <v>5658.52</v>
      </c>
      <c r="I1717">
        <v>15</v>
      </c>
      <c r="J1717">
        <v>5</v>
      </c>
      <c r="K1717" t="str">
        <f>TEXT(discount_impact_on_profit_2000_rows[[#This Row],[order date]],"mmmm")</f>
        <v>May</v>
      </c>
      <c r="L1717">
        <f>YEAR(discount_impact_on_profit_2000_rows[[#This Row],[order date]])</f>
        <v>2023</v>
      </c>
      <c r="M1717" t="str">
        <f>IF(discount_impact_on_profit_2000_rows[[#This Row],[Discount %]]=0,"Zero Discount",IF(discount_impact_on_profit_2000_rows[[#This Row],[Discount %]]&lt;=10,"Low Discount","High Discount"))</f>
        <v>High Discount</v>
      </c>
      <c r="N1717" t="str">
        <f t="shared" si="26"/>
        <v>10-20%</v>
      </c>
    </row>
    <row r="1718" spans="1:14">
      <c r="A1718" s="1">
        <v>45633</v>
      </c>
      <c r="B1718" t="s">
        <v>1780</v>
      </c>
      <c r="C1718" t="s">
        <v>21</v>
      </c>
      <c r="D1718" t="s">
        <v>109</v>
      </c>
      <c r="E1718">
        <v>6254.76</v>
      </c>
      <c r="F1718" t="s">
        <v>23</v>
      </c>
      <c r="G1718">
        <v>6996.1</v>
      </c>
      <c r="H1718">
        <v>741.34</v>
      </c>
      <c r="I1718">
        <v>5</v>
      </c>
      <c r="J1718">
        <v>2</v>
      </c>
      <c r="K1718" t="str">
        <f>TEXT(discount_impact_on_profit_2000_rows[[#This Row],[order date]],"mmmm")</f>
        <v>December</v>
      </c>
      <c r="L1718">
        <f>YEAR(discount_impact_on_profit_2000_rows[[#This Row],[order date]])</f>
        <v>2024</v>
      </c>
      <c r="M1718" t="str">
        <f>IF(discount_impact_on_profit_2000_rows[[#This Row],[Discount %]]=0,"Zero Discount",IF(discount_impact_on_profit_2000_rows[[#This Row],[Discount %]]&lt;=10,"Low Discount","High Discount"))</f>
        <v>Low Discount</v>
      </c>
      <c r="N1718" t="str">
        <f t="shared" si="26"/>
        <v>0-10%</v>
      </c>
    </row>
    <row r="1719" spans="1:14">
      <c r="A1719" s="1">
        <v>45368</v>
      </c>
      <c r="B1719" t="s">
        <v>1781</v>
      </c>
      <c r="C1719" t="s">
        <v>21</v>
      </c>
      <c r="D1719" t="s">
        <v>97</v>
      </c>
      <c r="E1719">
        <v>65304.57</v>
      </c>
      <c r="F1719" t="s">
        <v>36</v>
      </c>
      <c r="G1719">
        <v>75958.460000000006</v>
      </c>
      <c r="H1719">
        <v>10653.89</v>
      </c>
      <c r="I1719">
        <v>0</v>
      </c>
      <c r="J1719">
        <v>6</v>
      </c>
      <c r="K1719" t="str">
        <f>TEXT(discount_impact_on_profit_2000_rows[[#This Row],[order date]],"mmmm")</f>
        <v>March</v>
      </c>
      <c r="L1719">
        <f>YEAR(discount_impact_on_profit_2000_rows[[#This Row],[order date]])</f>
        <v>2024</v>
      </c>
      <c r="M1719" t="str">
        <f>IF(discount_impact_on_profit_2000_rows[[#This Row],[Discount %]]=0,"Zero Discount",IF(discount_impact_on_profit_2000_rows[[#This Row],[Discount %]]&lt;=10,"Low Discount","High Discount"))</f>
        <v>Zero Discount</v>
      </c>
      <c r="N1719" t="str">
        <f t="shared" si="26"/>
        <v>0-10%</v>
      </c>
    </row>
    <row r="1720" spans="1:14">
      <c r="A1720" s="1">
        <v>45731</v>
      </c>
      <c r="B1720" t="s">
        <v>1782</v>
      </c>
      <c r="C1720" t="s">
        <v>21</v>
      </c>
      <c r="D1720" t="s">
        <v>82</v>
      </c>
      <c r="E1720">
        <v>1553.07</v>
      </c>
      <c r="F1720" t="s">
        <v>13</v>
      </c>
      <c r="G1720">
        <v>1985.69</v>
      </c>
      <c r="H1720">
        <v>432.62</v>
      </c>
      <c r="I1720">
        <v>10</v>
      </c>
      <c r="J1720">
        <v>1</v>
      </c>
      <c r="K1720" t="str">
        <f>TEXT(discount_impact_on_profit_2000_rows[[#This Row],[order date]],"mmmm")</f>
        <v>March</v>
      </c>
      <c r="L1720">
        <f>YEAR(discount_impact_on_profit_2000_rows[[#This Row],[order date]])</f>
        <v>2025</v>
      </c>
      <c r="M1720" t="str">
        <f>IF(discount_impact_on_profit_2000_rows[[#This Row],[Discount %]]=0,"Zero Discount",IF(discount_impact_on_profit_2000_rows[[#This Row],[Discount %]]&lt;=10,"Low Discount","High Discount"))</f>
        <v>Low Discount</v>
      </c>
      <c r="N1720" t="str">
        <f t="shared" si="26"/>
        <v>0-10%</v>
      </c>
    </row>
    <row r="1721" spans="1:14">
      <c r="A1721" s="1">
        <v>44962</v>
      </c>
      <c r="B1721" t="s">
        <v>1783</v>
      </c>
      <c r="C1721" t="s">
        <v>15</v>
      </c>
      <c r="D1721" t="s">
        <v>76</v>
      </c>
      <c r="E1721">
        <v>20328.7</v>
      </c>
      <c r="F1721" t="s">
        <v>36</v>
      </c>
      <c r="G1721">
        <v>25453.42</v>
      </c>
      <c r="H1721">
        <v>5124.72</v>
      </c>
      <c r="I1721">
        <v>0</v>
      </c>
      <c r="J1721">
        <v>6</v>
      </c>
      <c r="K1721" t="str">
        <f>TEXT(discount_impact_on_profit_2000_rows[[#This Row],[order date]],"mmmm")</f>
        <v>February</v>
      </c>
      <c r="L1721">
        <f>YEAR(discount_impact_on_profit_2000_rows[[#This Row],[order date]])</f>
        <v>2023</v>
      </c>
      <c r="M1721" t="str">
        <f>IF(discount_impact_on_profit_2000_rows[[#This Row],[Discount %]]=0,"Zero Discount",IF(discount_impact_on_profit_2000_rows[[#This Row],[Discount %]]&lt;=10,"Low Discount","High Discount"))</f>
        <v>Zero Discount</v>
      </c>
      <c r="N1721" t="str">
        <f t="shared" si="26"/>
        <v>0-10%</v>
      </c>
    </row>
    <row r="1722" spans="1:14">
      <c r="A1722" s="1">
        <v>45760</v>
      </c>
      <c r="B1722" t="s">
        <v>1784</v>
      </c>
      <c r="C1722" t="s">
        <v>11</v>
      </c>
      <c r="D1722" t="s">
        <v>38</v>
      </c>
      <c r="E1722">
        <v>152.30000000000001</v>
      </c>
      <c r="F1722" t="s">
        <v>31</v>
      </c>
      <c r="G1722">
        <v>358.61</v>
      </c>
      <c r="H1722">
        <v>206.31</v>
      </c>
      <c r="I1722">
        <v>0</v>
      </c>
      <c r="J1722">
        <v>1</v>
      </c>
      <c r="K1722" t="str">
        <f>TEXT(discount_impact_on_profit_2000_rows[[#This Row],[order date]],"mmmm")</f>
        <v>April</v>
      </c>
      <c r="L1722">
        <f>YEAR(discount_impact_on_profit_2000_rows[[#This Row],[order date]])</f>
        <v>2025</v>
      </c>
      <c r="M1722" t="str">
        <f>IF(discount_impact_on_profit_2000_rows[[#This Row],[Discount %]]=0,"Zero Discount",IF(discount_impact_on_profit_2000_rows[[#This Row],[Discount %]]&lt;=10,"Low Discount","High Discount"))</f>
        <v>Zero Discount</v>
      </c>
      <c r="N1722" t="str">
        <f t="shared" si="26"/>
        <v>0-10%</v>
      </c>
    </row>
    <row r="1723" spans="1:14">
      <c r="A1723" s="1">
        <v>45019</v>
      </c>
      <c r="B1723" t="s">
        <v>1785</v>
      </c>
      <c r="C1723" t="s">
        <v>21</v>
      </c>
      <c r="D1723" t="s">
        <v>123</v>
      </c>
      <c r="E1723">
        <v>14471.82</v>
      </c>
      <c r="F1723" t="s">
        <v>26</v>
      </c>
      <c r="G1723">
        <v>14905.97</v>
      </c>
      <c r="H1723">
        <v>434.15</v>
      </c>
      <c r="I1723">
        <v>17</v>
      </c>
      <c r="J1723">
        <v>2</v>
      </c>
      <c r="K1723" t="str">
        <f>TEXT(discount_impact_on_profit_2000_rows[[#This Row],[order date]],"mmmm")</f>
        <v>April</v>
      </c>
      <c r="L1723">
        <f>YEAR(discount_impact_on_profit_2000_rows[[#This Row],[order date]])</f>
        <v>2023</v>
      </c>
      <c r="M1723" t="str">
        <f>IF(discount_impact_on_profit_2000_rows[[#This Row],[Discount %]]=0,"Zero Discount",IF(discount_impact_on_profit_2000_rows[[#This Row],[Discount %]]&lt;=10,"Low Discount","High Discount"))</f>
        <v>High Discount</v>
      </c>
      <c r="N1723" t="str">
        <f t="shared" si="26"/>
        <v>10-20%</v>
      </c>
    </row>
    <row r="1724" spans="1:14">
      <c r="A1724" s="1">
        <v>45863</v>
      </c>
      <c r="B1724" t="s">
        <v>1786</v>
      </c>
      <c r="C1724" t="s">
        <v>33</v>
      </c>
      <c r="D1724" t="s">
        <v>197</v>
      </c>
      <c r="E1724">
        <v>2340.14</v>
      </c>
      <c r="F1724" t="s">
        <v>23</v>
      </c>
      <c r="G1724">
        <v>3583.66</v>
      </c>
      <c r="H1724">
        <v>1243.52</v>
      </c>
      <c r="I1724">
        <v>0</v>
      </c>
      <c r="J1724">
        <v>1</v>
      </c>
      <c r="K1724" t="str">
        <f>TEXT(discount_impact_on_profit_2000_rows[[#This Row],[order date]],"mmmm")</f>
        <v>July</v>
      </c>
      <c r="L1724">
        <f>YEAR(discount_impact_on_profit_2000_rows[[#This Row],[order date]])</f>
        <v>2025</v>
      </c>
      <c r="M1724" t="str">
        <f>IF(discount_impact_on_profit_2000_rows[[#This Row],[Discount %]]=0,"Zero Discount",IF(discount_impact_on_profit_2000_rows[[#This Row],[Discount %]]&lt;=10,"Low Discount","High Discount"))</f>
        <v>Zero Discount</v>
      </c>
      <c r="N1724" t="str">
        <f t="shared" si="26"/>
        <v>0-10%</v>
      </c>
    </row>
    <row r="1725" spans="1:14">
      <c r="A1725" s="1">
        <v>45615</v>
      </c>
      <c r="B1725" t="s">
        <v>1787</v>
      </c>
      <c r="C1725" t="s">
        <v>53</v>
      </c>
      <c r="D1725" t="s">
        <v>59</v>
      </c>
      <c r="E1725">
        <v>1310.78</v>
      </c>
      <c r="F1725" t="s">
        <v>13</v>
      </c>
      <c r="G1725">
        <v>2770.45</v>
      </c>
      <c r="H1725">
        <v>1459.67</v>
      </c>
      <c r="I1725">
        <v>5</v>
      </c>
      <c r="J1725">
        <v>2</v>
      </c>
      <c r="K1725" t="str">
        <f>TEXT(discount_impact_on_profit_2000_rows[[#This Row],[order date]],"mmmm")</f>
        <v>November</v>
      </c>
      <c r="L1725">
        <f>YEAR(discount_impact_on_profit_2000_rows[[#This Row],[order date]])</f>
        <v>2024</v>
      </c>
      <c r="M1725" t="str">
        <f>IF(discount_impact_on_profit_2000_rows[[#This Row],[Discount %]]=0,"Zero Discount",IF(discount_impact_on_profit_2000_rows[[#This Row],[Discount %]]&lt;=10,"Low Discount","High Discount"))</f>
        <v>Low Discount</v>
      </c>
      <c r="N1725" t="str">
        <f t="shared" si="26"/>
        <v>0-10%</v>
      </c>
    </row>
    <row r="1726" spans="1:14">
      <c r="A1726" s="1">
        <v>45075</v>
      </c>
      <c r="B1726" t="s">
        <v>1788</v>
      </c>
      <c r="C1726" t="s">
        <v>15</v>
      </c>
      <c r="D1726" t="s">
        <v>16</v>
      </c>
      <c r="E1726">
        <v>2933.23</v>
      </c>
      <c r="F1726" t="s">
        <v>36</v>
      </c>
      <c r="G1726">
        <v>3166.74</v>
      </c>
      <c r="H1726">
        <v>233.51</v>
      </c>
      <c r="I1726">
        <v>15</v>
      </c>
      <c r="J1726">
        <v>2</v>
      </c>
      <c r="K1726" t="str">
        <f>TEXT(discount_impact_on_profit_2000_rows[[#This Row],[order date]],"mmmm")</f>
        <v>May</v>
      </c>
      <c r="L1726">
        <f>YEAR(discount_impact_on_profit_2000_rows[[#This Row],[order date]])</f>
        <v>2023</v>
      </c>
      <c r="M1726" t="str">
        <f>IF(discount_impact_on_profit_2000_rows[[#This Row],[Discount %]]=0,"Zero Discount",IF(discount_impact_on_profit_2000_rows[[#This Row],[Discount %]]&lt;=10,"Low Discount","High Discount"))</f>
        <v>High Discount</v>
      </c>
      <c r="N1726" t="str">
        <f t="shared" si="26"/>
        <v>10-20%</v>
      </c>
    </row>
    <row r="1727" spans="1:14">
      <c r="A1727" s="1">
        <v>45481</v>
      </c>
      <c r="B1727" t="s">
        <v>1789</v>
      </c>
      <c r="C1727" t="s">
        <v>18</v>
      </c>
      <c r="D1727" t="s">
        <v>42</v>
      </c>
      <c r="E1727">
        <v>696.52</v>
      </c>
      <c r="F1727" t="s">
        <v>31</v>
      </c>
      <c r="G1727">
        <v>1049.7</v>
      </c>
      <c r="H1727">
        <v>353.18</v>
      </c>
      <c r="I1727">
        <v>20</v>
      </c>
      <c r="J1727">
        <v>1</v>
      </c>
      <c r="K1727" t="str">
        <f>TEXT(discount_impact_on_profit_2000_rows[[#This Row],[order date]],"mmmm")</f>
        <v>July</v>
      </c>
      <c r="L1727">
        <f>YEAR(discount_impact_on_profit_2000_rows[[#This Row],[order date]])</f>
        <v>2024</v>
      </c>
      <c r="M1727" t="str">
        <f>IF(discount_impact_on_profit_2000_rows[[#This Row],[Discount %]]=0,"Zero Discount",IF(discount_impact_on_profit_2000_rows[[#This Row],[Discount %]]&lt;=10,"Low Discount","High Discount"))</f>
        <v>High Discount</v>
      </c>
      <c r="N1727" t="str">
        <f t="shared" si="26"/>
        <v>10-20%</v>
      </c>
    </row>
    <row r="1728" spans="1:14">
      <c r="A1728" s="1">
        <v>45753</v>
      </c>
      <c r="B1728" t="s">
        <v>1790</v>
      </c>
      <c r="C1728" t="s">
        <v>33</v>
      </c>
      <c r="D1728" t="s">
        <v>34</v>
      </c>
      <c r="E1728">
        <v>16148.63</v>
      </c>
      <c r="F1728" t="s">
        <v>31</v>
      </c>
      <c r="G1728">
        <v>16633.09</v>
      </c>
      <c r="H1728">
        <v>484.46</v>
      </c>
      <c r="I1728">
        <v>22</v>
      </c>
      <c r="J1728">
        <v>2</v>
      </c>
      <c r="K1728" t="str">
        <f>TEXT(discount_impact_on_profit_2000_rows[[#This Row],[order date]],"mmmm")</f>
        <v>April</v>
      </c>
      <c r="L1728">
        <f>YEAR(discount_impact_on_profit_2000_rows[[#This Row],[order date]])</f>
        <v>2025</v>
      </c>
      <c r="M1728" t="str">
        <f>IF(discount_impact_on_profit_2000_rows[[#This Row],[Discount %]]=0,"Zero Discount",IF(discount_impact_on_profit_2000_rows[[#This Row],[Discount %]]&lt;=10,"Low Discount","High Discount"))</f>
        <v>High Discount</v>
      </c>
      <c r="N1728" t="str">
        <f t="shared" si="26"/>
        <v>20-30%</v>
      </c>
    </row>
    <row r="1729" spans="1:14">
      <c r="A1729" s="1">
        <v>45972</v>
      </c>
      <c r="B1729" t="s">
        <v>1791</v>
      </c>
      <c r="C1729" t="s">
        <v>53</v>
      </c>
      <c r="D1729" t="s">
        <v>54</v>
      </c>
      <c r="E1729">
        <v>1699.97</v>
      </c>
      <c r="F1729" t="s">
        <v>36</v>
      </c>
      <c r="G1729">
        <v>2662.63</v>
      </c>
      <c r="H1729">
        <v>962.66</v>
      </c>
      <c r="I1729">
        <v>25</v>
      </c>
      <c r="J1729">
        <v>2</v>
      </c>
      <c r="K1729" t="str">
        <f>TEXT(discount_impact_on_profit_2000_rows[[#This Row],[order date]],"mmmm")</f>
        <v>November</v>
      </c>
      <c r="L1729">
        <f>YEAR(discount_impact_on_profit_2000_rows[[#This Row],[order date]])</f>
        <v>2025</v>
      </c>
      <c r="M1729" t="str">
        <f>IF(discount_impact_on_profit_2000_rows[[#This Row],[Discount %]]=0,"Zero Discount",IF(discount_impact_on_profit_2000_rows[[#This Row],[Discount %]]&lt;=10,"Low Discount","High Discount"))</f>
        <v>High Discount</v>
      </c>
      <c r="N1729" t="str">
        <f t="shared" si="26"/>
        <v>20-30%</v>
      </c>
    </row>
    <row r="1730" spans="1:14">
      <c r="A1730" s="1">
        <v>45679</v>
      </c>
      <c r="B1730" t="s">
        <v>1792</v>
      </c>
      <c r="C1730" t="s">
        <v>21</v>
      </c>
      <c r="D1730" t="s">
        <v>154</v>
      </c>
      <c r="E1730">
        <v>10000.24</v>
      </c>
      <c r="F1730" t="s">
        <v>26</v>
      </c>
      <c r="G1730">
        <v>10340.35</v>
      </c>
      <c r="H1730">
        <v>340.11</v>
      </c>
      <c r="I1730">
        <v>15</v>
      </c>
      <c r="J1730">
        <v>6</v>
      </c>
      <c r="K1730" t="str">
        <f>TEXT(discount_impact_on_profit_2000_rows[[#This Row],[order date]],"mmmm")</f>
        <v>January</v>
      </c>
      <c r="L1730">
        <f>YEAR(discount_impact_on_profit_2000_rows[[#This Row],[order date]])</f>
        <v>2025</v>
      </c>
      <c r="M1730" t="str">
        <f>IF(discount_impact_on_profit_2000_rows[[#This Row],[Discount %]]=0,"Zero Discount",IF(discount_impact_on_profit_2000_rows[[#This Row],[Discount %]]&lt;=10,"Low Discount","High Discount"))</f>
        <v>High Discount</v>
      </c>
      <c r="N1730" t="str">
        <f t="shared" ref="N1730:N1793" si="27">IF(I1730&lt;=10,"0-10%",IF(I1730&lt;=20,"10-20%",IF(I1730&lt;=30,"20-30%","30%+")))</f>
        <v>10-20%</v>
      </c>
    </row>
    <row r="1731" spans="1:14">
      <c r="A1731" s="1">
        <v>45803</v>
      </c>
      <c r="B1731" t="s">
        <v>1793</v>
      </c>
      <c r="C1731" t="s">
        <v>11</v>
      </c>
      <c r="D1731" t="s">
        <v>80</v>
      </c>
      <c r="E1731">
        <v>678.61</v>
      </c>
      <c r="F1731" t="s">
        <v>13</v>
      </c>
      <c r="G1731">
        <v>1312.57</v>
      </c>
      <c r="H1731">
        <v>633.96</v>
      </c>
      <c r="I1731">
        <v>15</v>
      </c>
      <c r="J1731">
        <v>4</v>
      </c>
      <c r="K1731" t="str">
        <f>TEXT(discount_impact_on_profit_2000_rows[[#This Row],[order date]],"mmmm")</f>
        <v>May</v>
      </c>
      <c r="L1731">
        <f>YEAR(discount_impact_on_profit_2000_rows[[#This Row],[order date]])</f>
        <v>2025</v>
      </c>
      <c r="M1731" t="str">
        <f>IF(discount_impact_on_profit_2000_rows[[#This Row],[Discount %]]=0,"Zero Discount",IF(discount_impact_on_profit_2000_rows[[#This Row],[Discount %]]&lt;=10,"Low Discount","High Discount"))</f>
        <v>High Discount</v>
      </c>
      <c r="N1731" t="str">
        <f t="shared" si="27"/>
        <v>10-20%</v>
      </c>
    </row>
    <row r="1732" spans="1:14">
      <c r="A1732" s="1">
        <v>45490</v>
      </c>
      <c r="B1732" t="s">
        <v>1794</v>
      </c>
      <c r="C1732" t="s">
        <v>18</v>
      </c>
      <c r="D1732" t="s">
        <v>104</v>
      </c>
      <c r="E1732">
        <v>1792.61</v>
      </c>
      <c r="F1732" t="s">
        <v>26</v>
      </c>
      <c r="G1732">
        <v>2856.28</v>
      </c>
      <c r="H1732">
        <v>1063.67</v>
      </c>
      <c r="I1732">
        <v>20</v>
      </c>
      <c r="J1732">
        <v>2</v>
      </c>
      <c r="K1732" t="str">
        <f>TEXT(discount_impact_on_profit_2000_rows[[#This Row],[order date]],"mmmm")</f>
        <v>July</v>
      </c>
      <c r="L1732">
        <f>YEAR(discount_impact_on_profit_2000_rows[[#This Row],[order date]])</f>
        <v>2024</v>
      </c>
      <c r="M1732" t="str">
        <f>IF(discount_impact_on_profit_2000_rows[[#This Row],[Discount %]]=0,"Zero Discount",IF(discount_impact_on_profit_2000_rows[[#This Row],[Discount %]]&lt;=10,"Low Discount","High Discount"))</f>
        <v>High Discount</v>
      </c>
      <c r="N1732" t="str">
        <f t="shared" si="27"/>
        <v>10-20%</v>
      </c>
    </row>
    <row r="1733" spans="1:14">
      <c r="A1733" s="1">
        <v>45281</v>
      </c>
      <c r="B1733" t="s">
        <v>1795</v>
      </c>
      <c r="C1733" t="s">
        <v>21</v>
      </c>
      <c r="D1733" t="s">
        <v>22</v>
      </c>
      <c r="E1733">
        <v>6548.82</v>
      </c>
      <c r="F1733" t="s">
        <v>26</v>
      </c>
      <c r="G1733">
        <v>9673.32</v>
      </c>
      <c r="H1733">
        <v>3124.5</v>
      </c>
      <c r="I1733">
        <v>0</v>
      </c>
      <c r="J1733">
        <v>3</v>
      </c>
      <c r="K1733" t="str">
        <f>TEXT(discount_impact_on_profit_2000_rows[[#This Row],[order date]],"mmmm")</f>
        <v>December</v>
      </c>
      <c r="L1733">
        <f>YEAR(discount_impact_on_profit_2000_rows[[#This Row],[order date]])</f>
        <v>2023</v>
      </c>
      <c r="M1733" t="str">
        <f>IF(discount_impact_on_profit_2000_rows[[#This Row],[Discount %]]=0,"Zero Discount",IF(discount_impact_on_profit_2000_rows[[#This Row],[Discount %]]&lt;=10,"Low Discount","High Discount"))</f>
        <v>Zero Discount</v>
      </c>
      <c r="N1733" t="str">
        <f t="shared" si="27"/>
        <v>0-10%</v>
      </c>
    </row>
    <row r="1734" spans="1:14">
      <c r="A1734" s="1">
        <v>45254</v>
      </c>
      <c r="B1734" t="s">
        <v>1796</v>
      </c>
      <c r="C1734" t="s">
        <v>15</v>
      </c>
      <c r="D1734" t="s">
        <v>84</v>
      </c>
      <c r="E1734">
        <v>7652.47</v>
      </c>
      <c r="F1734" t="s">
        <v>26</v>
      </c>
      <c r="G1734">
        <v>9670.73</v>
      </c>
      <c r="H1734">
        <v>2018.26</v>
      </c>
      <c r="I1734">
        <v>5</v>
      </c>
      <c r="J1734">
        <v>4</v>
      </c>
      <c r="K1734" t="str">
        <f>TEXT(discount_impact_on_profit_2000_rows[[#This Row],[order date]],"mmmm")</f>
        <v>November</v>
      </c>
      <c r="L1734">
        <f>YEAR(discount_impact_on_profit_2000_rows[[#This Row],[order date]])</f>
        <v>2023</v>
      </c>
      <c r="M1734" t="str">
        <f>IF(discount_impact_on_profit_2000_rows[[#This Row],[Discount %]]=0,"Zero Discount",IF(discount_impact_on_profit_2000_rows[[#This Row],[Discount %]]&lt;=10,"Low Discount","High Discount"))</f>
        <v>Low Discount</v>
      </c>
      <c r="N1734" t="str">
        <f t="shared" si="27"/>
        <v>0-10%</v>
      </c>
    </row>
    <row r="1735" spans="1:14">
      <c r="A1735" s="1">
        <v>45974</v>
      </c>
      <c r="B1735" t="s">
        <v>1797</v>
      </c>
      <c r="C1735" t="s">
        <v>33</v>
      </c>
      <c r="D1735" t="s">
        <v>34</v>
      </c>
      <c r="E1735">
        <v>5747.41</v>
      </c>
      <c r="F1735" t="s">
        <v>13</v>
      </c>
      <c r="G1735">
        <v>8075.71</v>
      </c>
      <c r="H1735">
        <v>2328.3000000000002</v>
      </c>
      <c r="I1735">
        <v>0</v>
      </c>
      <c r="J1735">
        <v>4</v>
      </c>
      <c r="K1735" t="str">
        <f>TEXT(discount_impact_on_profit_2000_rows[[#This Row],[order date]],"mmmm")</f>
        <v>November</v>
      </c>
      <c r="L1735">
        <f>YEAR(discount_impact_on_profit_2000_rows[[#This Row],[order date]])</f>
        <v>2025</v>
      </c>
      <c r="M1735" t="str">
        <f>IF(discount_impact_on_profit_2000_rows[[#This Row],[Discount %]]=0,"Zero Discount",IF(discount_impact_on_profit_2000_rows[[#This Row],[Discount %]]&lt;=10,"Low Discount","High Discount"))</f>
        <v>Zero Discount</v>
      </c>
      <c r="N1735" t="str">
        <f t="shared" si="27"/>
        <v>0-10%</v>
      </c>
    </row>
    <row r="1736" spans="1:14">
      <c r="A1736" s="1">
        <v>45924</v>
      </c>
      <c r="B1736" t="s">
        <v>1798</v>
      </c>
      <c r="C1736" t="s">
        <v>18</v>
      </c>
      <c r="D1736" t="s">
        <v>50</v>
      </c>
      <c r="E1736">
        <v>1274.48</v>
      </c>
      <c r="F1736" t="s">
        <v>36</v>
      </c>
      <c r="G1736">
        <v>2648.13</v>
      </c>
      <c r="H1736">
        <v>1373.65</v>
      </c>
      <c r="I1736">
        <v>5</v>
      </c>
      <c r="J1736">
        <v>2</v>
      </c>
      <c r="K1736" t="str">
        <f>TEXT(discount_impact_on_profit_2000_rows[[#This Row],[order date]],"mmmm")</f>
        <v>September</v>
      </c>
      <c r="L1736">
        <f>YEAR(discount_impact_on_profit_2000_rows[[#This Row],[order date]])</f>
        <v>2025</v>
      </c>
      <c r="M1736" t="str">
        <f>IF(discount_impact_on_profit_2000_rows[[#This Row],[Discount %]]=0,"Zero Discount",IF(discount_impact_on_profit_2000_rows[[#This Row],[Discount %]]&lt;=10,"Low Discount","High Discount"))</f>
        <v>Low Discount</v>
      </c>
      <c r="N1736" t="str">
        <f t="shared" si="27"/>
        <v>0-10%</v>
      </c>
    </row>
    <row r="1737" spans="1:14">
      <c r="A1737" s="1">
        <v>45552</v>
      </c>
      <c r="B1737" t="s">
        <v>1799</v>
      </c>
      <c r="C1737" t="s">
        <v>53</v>
      </c>
      <c r="D1737" t="s">
        <v>95</v>
      </c>
      <c r="E1737">
        <v>1731.8</v>
      </c>
      <c r="F1737" t="s">
        <v>23</v>
      </c>
      <c r="G1737">
        <v>2274.88</v>
      </c>
      <c r="H1737">
        <v>543.08000000000004</v>
      </c>
      <c r="I1737">
        <v>20</v>
      </c>
      <c r="J1737">
        <v>3</v>
      </c>
      <c r="K1737" t="str">
        <f>TEXT(discount_impact_on_profit_2000_rows[[#This Row],[order date]],"mmmm")</f>
        <v>September</v>
      </c>
      <c r="L1737">
        <f>YEAR(discount_impact_on_profit_2000_rows[[#This Row],[order date]])</f>
        <v>2024</v>
      </c>
      <c r="M1737" t="str">
        <f>IF(discount_impact_on_profit_2000_rows[[#This Row],[Discount %]]=0,"Zero Discount",IF(discount_impact_on_profit_2000_rows[[#This Row],[Discount %]]&lt;=10,"Low Discount","High Discount"))</f>
        <v>High Discount</v>
      </c>
      <c r="N1737" t="str">
        <f t="shared" si="27"/>
        <v>10-20%</v>
      </c>
    </row>
    <row r="1738" spans="1:14">
      <c r="A1738" s="1">
        <v>45896</v>
      </c>
      <c r="B1738" t="s">
        <v>1800</v>
      </c>
      <c r="C1738" t="s">
        <v>15</v>
      </c>
      <c r="D1738" t="s">
        <v>86</v>
      </c>
      <c r="E1738">
        <v>18590.73</v>
      </c>
      <c r="F1738" t="s">
        <v>13</v>
      </c>
      <c r="G1738">
        <v>21470.66</v>
      </c>
      <c r="H1738">
        <v>2879.93</v>
      </c>
      <c r="I1738">
        <v>10</v>
      </c>
      <c r="J1738">
        <v>3</v>
      </c>
      <c r="K1738" t="str">
        <f>TEXT(discount_impact_on_profit_2000_rows[[#This Row],[order date]],"mmmm")</f>
        <v>August</v>
      </c>
      <c r="L1738">
        <f>YEAR(discount_impact_on_profit_2000_rows[[#This Row],[order date]])</f>
        <v>2025</v>
      </c>
      <c r="M1738" t="str">
        <f>IF(discount_impact_on_profit_2000_rows[[#This Row],[Discount %]]=0,"Zero Discount",IF(discount_impact_on_profit_2000_rows[[#This Row],[Discount %]]&lt;=10,"Low Discount","High Discount"))</f>
        <v>Low Discount</v>
      </c>
      <c r="N1738" t="str">
        <f t="shared" si="27"/>
        <v>0-10%</v>
      </c>
    </row>
    <row r="1739" spans="1:14">
      <c r="A1739" s="1">
        <v>45410</v>
      </c>
      <c r="B1739" t="s">
        <v>1801</v>
      </c>
      <c r="C1739" t="s">
        <v>53</v>
      </c>
      <c r="D1739" t="s">
        <v>95</v>
      </c>
      <c r="E1739">
        <v>589.39</v>
      </c>
      <c r="F1739" t="s">
        <v>23</v>
      </c>
      <c r="G1739">
        <v>998.46</v>
      </c>
      <c r="H1739">
        <v>409.07</v>
      </c>
      <c r="I1739">
        <v>10</v>
      </c>
      <c r="J1739">
        <v>2</v>
      </c>
      <c r="K1739" t="str">
        <f>TEXT(discount_impact_on_profit_2000_rows[[#This Row],[order date]],"mmmm")</f>
        <v>April</v>
      </c>
      <c r="L1739">
        <f>YEAR(discount_impact_on_profit_2000_rows[[#This Row],[order date]])</f>
        <v>2024</v>
      </c>
      <c r="M1739" t="str">
        <f>IF(discount_impact_on_profit_2000_rows[[#This Row],[Discount %]]=0,"Zero Discount",IF(discount_impact_on_profit_2000_rows[[#This Row],[Discount %]]&lt;=10,"Low Discount","High Discount"))</f>
        <v>Low Discount</v>
      </c>
      <c r="N1739" t="str">
        <f t="shared" si="27"/>
        <v>0-10%</v>
      </c>
    </row>
    <row r="1740" spans="1:14">
      <c r="A1740" s="1">
        <v>45593</v>
      </c>
      <c r="B1740" t="s">
        <v>1802</v>
      </c>
      <c r="C1740" t="s">
        <v>21</v>
      </c>
      <c r="D1740" t="s">
        <v>97</v>
      </c>
      <c r="E1740">
        <v>17327.310000000001</v>
      </c>
      <c r="F1740" t="s">
        <v>13</v>
      </c>
      <c r="G1740">
        <v>21862.36</v>
      </c>
      <c r="H1740">
        <v>4535.05</v>
      </c>
      <c r="I1740">
        <v>0</v>
      </c>
      <c r="J1740">
        <v>4</v>
      </c>
      <c r="K1740" t="str">
        <f>TEXT(discount_impact_on_profit_2000_rows[[#This Row],[order date]],"mmmm")</f>
        <v>October</v>
      </c>
      <c r="L1740">
        <f>YEAR(discount_impact_on_profit_2000_rows[[#This Row],[order date]])</f>
        <v>2024</v>
      </c>
      <c r="M1740" t="str">
        <f>IF(discount_impact_on_profit_2000_rows[[#This Row],[Discount %]]=0,"Zero Discount",IF(discount_impact_on_profit_2000_rows[[#This Row],[Discount %]]&lt;=10,"Low Discount","High Discount"))</f>
        <v>Zero Discount</v>
      </c>
      <c r="N1740" t="str">
        <f t="shared" si="27"/>
        <v>0-10%</v>
      </c>
    </row>
    <row r="1741" spans="1:14">
      <c r="A1741" s="1">
        <v>45340</v>
      </c>
      <c r="B1741" t="s">
        <v>1803</v>
      </c>
      <c r="C1741" t="s">
        <v>18</v>
      </c>
      <c r="D1741" t="s">
        <v>140</v>
      </c>
      <c r="E1741">
        <v>139.04</v>
      </c>
      <c r="F1741" t="s">
        <v>36</v>
      </c>
      <c r="G1741">
        <v>227.59</v>
      </c>
      <c r="H1741">
        <v>88.55</v>
      </c>
      <c r="I1741">
        <v>10</v>
      </c>
      <c r="J1741">
        <v>3</v>
      </c>
      <c r="K1741" t="str">
        <f>TEXT(discount_impact_on_profit_2000_rows[[#This Row],[order date]],"mmmm")</f>
        <v>February</v>
      </c>
      <c r="L1741">
        <f>YEAR(discount_impact_on_profit_2000_rows[[#This Row],[order date]])</f>
        <v>2024</v>
      </c>
      <c r="M1741" t="str">
        <f>IF(discount_impact_on_profit_2000_rows[[#This Row],[Discount %]]=0,"Zero Discount",IF(discount_impact_on_profit_2000_rows[[#This Row],[Discount %]]&lt;=10,"Low Discount","High Discount"))</f>
        <v>Low Discount</v>
      </c>
      <c r="N1741" t="str">
        <f t="shared" si="27"/>
        <v>0-10%</v>
      </c>
    </row>
    <row r="1742" spans="1:14">
      <c r="A1742" s="1">
        <v>45181</v>
      </c>
      <c r="B1742" t="s">
        <v>1804</v>
      </c>
      <c r="C1742" t="s">
        <v>15</v>
      </c>
      <c r="D1742" t="s">
        <v>84</v>
      </c>
      <c r="E1742">
        <v>51917.41</v>
      </c>
      <c r="F1742" t="s">
        <v>13</v>
      </c>
      <c r="G1742">
        <v>52223.3</v>
      </c>
      <c r="H1742">
        <v>305.89</v>
      </c>
      <c r="I1742">
        <v>22</v>
      </c>
      <c r="J1742">
        <v>5</v>
      </c>
      <c r="K1742" t="str">
        <f>TEXT(discount_impact_on_profit_2000_rows[[#This Row],[order date]],"mmmm")</f>
        <v>September</v>
      </c>
      <c r="L1742">
        <f>YEAR(discount_impact_on_profit_2000_rows[[#This Row],[order date]])</f>
        <v>2023</v>
      </c>
      <c r="M1742" t="str">
        <f>IF(discount_impact_on_profit_2000_rows[[#This Row],[Discount %]]=0,"Zero Discount",IF(discount_impact_on_profit_2000_rows[[#This Row],[Discount %]]&lt;=10,"Low Discount","High Discount"))</f>
        <v>High Discount</v>
      </c>
      <c r="N1742" t="str">
        <f t="shared" si="27"/>
        <v>20-30%</v>
      </c>
    </row>
    <row r="1743" spans="1:14">
      <c r="A1743" s="1">
        <v>45193</v>
      </c>
      <c r="B1743" t="s">
        <v>1805</v>
      </c>
      <c r="C1743" t="s">
        <v>21</v>
      </c>
      <c r="D1743" t="s">
        <v>97</v>
      </c>
      <c r="E1743">
        <v>23541.08</v>
      </c>
      <c r="F1743" t="s">
        <v>13</v>
      </c>
      <c r="G1743">
        <v>25242.98</v>
      </c>
      <c r="H1743">
        <v>1701.9</v>
      </c>
      <c r="I1743">
        <v>20</v>
      </c>
      <c r="J1743">
        <v>2</v>
      </c>
      <c r="K1743" t="str">
        <f>TEXT(discount_impact_on_profit_2000_rows[[#This Row],[order date]],"mmmm")</f>
        <v>September</v>
      </c>
      <c r="L1743">
        <f>YEAR(discount_impact_on_profit_2000_rows[[#This Row],[order date]])</f>
        <v>2023</v>
      </c>
      <c r="M1743" t="str">
        <f>IF(discount_impact_on_profit_2000_rows[[#This Row],[Discount %]]=0,"Zero Discount",IF(discount_impact_on_profit_2000_rows[[#This Row],[Discount %]]&lt;=10,"Low Discount","High Discount"))</f>
        <v>High Discount</v>
      </c>
      <c r="N1743" t="str">
        <f t="shared" si="27"/>
        <v>10-20%</v>
      </c>
    </row>
    <row r="1744" spans="1:14">
      <c r="A1744" s="1">
        <v>45037</v>
      </c>
      <c r="B1744" t="s">
        <v>1806</v>
      </c>
      <c r="C1744" t="s">
        <v>53</v>
      </c>
      <c r="D1744" t="s">
        <v>78</v>
      </c>
      <c r="E1744">
        <v>13722.12</v>
      </c>
      <c r="F1744" t="s">
        <v>36</v>
      </c>
      <c r="G1744">
        <v>34090.080000000002</v>
      </c>
      <c r="H1744">
        <v>20367.96</v>
      </c>
      <c r="I1744">
        <v>0</v>
      </c>
      <c r="J1744">
        <v>10</v>
      </c>
      <c r="K1744" t="str">
        <f>TEXT(discount_impact_on_profit_2000_rows[[#This Row],[order date]],"mmmm")</f>
        <v>April</v>
      </c>
      <c r="L1744">
        <f>YEAR(discount_impact_on_profit_2000_rows[[#This Row],[order date]])</f>
        <v>2023</v>
      </c>
      <c r="M1744" t="str">
        <f>IF(discount_impact_on_profit_2000_rows[[#This Row],[Discount %]]=0,"Zero Discount",IF(discount_impact_on_profit_2000_rows[[#This Row],[Discount %]]&lt;=10,"Low Discount","High Discount"))</f>
        <v>Zero Discount</v>
      </c>
      <c r="N1744" t="str">
        <f t="shared" si="27"/>
        <v>0-10%</v>
      </c>
    </row>
    <row r="1745" spans="1:14">
      <c r="A1745" s="1">
        <v>46003</v>
      </c>
      <c r="B1745" t="s">
        <v>1807</v>
      </c>
      <c r="C1745" t="s">
        <v>21</v>
      </c>
      <c r="D1745" t="s">
        <v>154</v>
      </c>
      <c r="E1745">
        <v>14293.87</v>
      </c>
      <c r="F1745" t="s">
        <v>31</v>
      </c>
      <c r="G1745">
        <v>16516.75</v>
      </c>
      <c r="H1745">
        <v>2222.88</v>
      </c>
      <c r="I1745">
        <v>10</v>
      </c>
      <c r="J1745">
        <v>4</v>
      </c>
      <c r="K1745" t="str">
        <f>TEXT(discount_impact_on_profit_2000_rows[[#This Row],[order date]],"mmmm")</f>
        <v>December</v>
      </c>
      <c r="L1745">
        <f>YEAR(discount_impact_on_profit_2000_rows[[#This Row],[order date]])</f>
        <v>2025</v>
      </c>
      <c r="M1745" t="str">
        <f>IF(discount_impact_on_profit_2000_rows[[#This Row],[Discount %]]=0,"Zero Discount",IF(discount_impact_on_profit_2000_rows[[#This Row],[Discount %]]&lt;=10,"Low Discount","High Discount"))</f>
        <v>Low Discount</v>
      </c>
      <c r="N1745" t="str">
        <f t="shared" si="27"/>
        <v>0-10%</v>
      </c>
    </row>
    <row r="1746" spans="1:14">
      <c r="A1746" s="1">
        <v>46021</v>
      </c>
      <c r="B1746" t="s">
        <v>1808</v>
      </c>
      <c r="C1746" t="s">
        <v>21</v>
      </c>
      <c r="D1746" t="s">
        <v>82</v>
      </c>
      <c r="E1746">
        <v>6899.24</v>
      </c>
      <c r="F1746" t="s">
        <v>26</v>
      </c>
      <c r="G1746">
        <v>7421.03</v>
      </c>
      <c r="H1746">
        <v>521.79</v>
      </c>
      <c r="I1746">
        <v>20</v>
      </c>
      <c r="J1746">
        <v>5</v>
      </c>
      <c r="K1746" t="str">
        <f>TEXT(discount_impact_on_profit_2000_rows[[#This Row],[order date]],"mmmm")</f>
        <v>December</v>
      </c>
      <c r="L1746">
        <f>YEAR(discount_impact_on_profit_2000_rows[[#This Row],[order date]])</f>
        <v>2025</v>
      </c>
      <c r="M1746" t="str">
        <f>IF(discount_impact_on_profit_2000_rows[[#This Row],[Discount %]]=0,"Zero Discount",IF(discount_impact_on_profit_2000_rows[[#This Row],[Discount %]]&lt;=10,"Low Discount","High Discount"))</f>
        <v>High Discount</v>
      </c>
      <c r="N1746" t="str">
        <f t="shared" si="27"/>
        <v>10-20%</v>
      </c>
    </row>
    <row r="1747" spans="1:14">
      <c r="A1747" s="1">
        <v>44988</v>
      </c>
      <c r="B1747" t="s">
        <v>1809</v>
      </c>
      <c r="C1747" t="s">
        <v>53</v>
      </c>
      <c r="D1747" t="s">
        <v>95</v>
      </c>
      <c r="E1747">
        <v>6172.67</v>
      </c>
      <c r="F1747" t="s">
        <v>13</v>
      </c>
      <c r="G1747">
        <v>9655.58</v>
      </c>
      <c r="H1747">
        <v>3482.91</v>
      </c>
      <c r="I1747">
        <v>10</v>
      </c>
      <c r="J1747">
        <v>2</v>
      </c>
      <c r="K1747" t="str">
        <f>TEXT(discount_impact_on_profit_2000_rows[[#This Row],[order date]],"mmmm")</f>
        <v>March</v>
      </c>
      <c r="L1747">
        <f>YEAR(discount_impact_on_profit_2000_rows[[#This Row],[order date]])</f>
        <v>2023</v>
      </c>
      <c r="M1747" t="str">
        <f>IF(discount_impact_on_profit_2000_rows[[#This Row],[Discount %]]=0,"Zero Discount",IF(discount_impact_on_profit_2000_rows[[#This Row],[Discount %]]&lt;=10,"Low Discount","High Discount"))</f>
        <v>Low Discount</v>
      </c>
      <c r="N1747" t="str">
        <f t="shared" si="27"/>
        <v>0-10%</v>
      </c>
    </row>
    <row r="1748" spans="1:14">
      <c r="A1748" s="1">
        <v>45204</v>
      </c>
      <c r="B1748" t="s">
        <v>1810</v>
      </c>
      <c r="C1748" t="s">
        <v>15</v>
      </c>
      <c r="D1748" t="s">
        <v>86</v>
      </c>
      <c r="E1748">
        <v>7859.81</v>
      </c>
      <c r="F1748" t="s">
        <v>23</v>
      </c>
      <c r="G1748">
        <v>9607.56</v>
      </c>
      <c r="H1748">
        <v>1747.75</v>
      </c>
      <c r="I1748">
        <v>5</v>
      </c>
      <c r="J1748">
        <v>2</v>
      </c>
      <c r="K1748" t="str">
        <f>TEXT(discount_impact_on_profit_2000_rows[[#This Row],[order date]],"mmmm")</f>
        <v>October</v>
      </c>
      <c r="L1748">
        <f>YEAR(discount_impact_on_profit_2000_rows[[#This Row],[order date]])</f>
        <v>2023</v>
      </c>
      <c r="M1748" t="str">
        <f>IF(discount_impact_on_profit_2000_rows[[#This Row],[Discount %]]=0,"Zero Discount",IF(discount_impact_on_profit_2000_rows[[#This Row],[Discount %]]&lt;=10,"Low Discount","High Discount"))</f>
        <v>Low Discount</v>
      </c>
      <c r="N1748" t="str">
        <f t="shared" si="27"/>
        <v>0-10%</v>
      </c>
    </row>
    <row r="1749" spans="1:14">
      <c r="A1749" s="1">
        <v>45904</v>
      </c>
      <c r="B1749" t="s">
        <v>1811</v>
      </c>
      <c r="C1749" t="s">
        <v>33</v>
      </c>
      <c r="D1749" t="s">
        <v>34</v>
      </c>
      <c r="E1749">
        <v>6863.16</v>
      </c>
      <c r="F1749" t="s">
        <v>26</v>
      </c>
      <c r="G1749">
        <v>9038</v>
      </c>
      <c r="H1749">
        <v>2174.84</v>
      </c>
      <c r="I1749">
        <v>10</v>
      </c>
      <c r="J1749">
        <v>2</v>
      </c>
      <c r="K1749" t="str">
        <f>TEXT(discount_impact_on_profit_2000_rows[[#This Row],[order date]],"mmmm")</f>
        <v>September</v>
      </c>
      <c r="L1749">
        <f>YEAR(discount_impact_on_profit_2000_rows[[#This Row],[order date]])</f>
        <v>2025</v>
      </c>
      <c r="M1749" t="str">
        <f>IF(discount_impact_on_profit_2000_rows[[#This Row],[Discount %]]=0,"Zero Discount",IF(discount_impact_on_profit_2000_rows[[#This Row],[Discount %]]&lt;=10,"Low Discount","High Discount"))</f>
        <v>Low Discount</v>
      </c>
      <c r="N1749" t="str">
        <f t="shared" si="27"/>
        <v>0-10%</v>
      </c>
    </row>
    <row r="1750" spans="1:14">
      <c r="A1750" s="1">
        <v>44963</v>
      </c>
      <c r="B1750" t="s">
        <v>1812</v>
      </c>
      <c r="C1750" t="s">
        <v>15</v>
      </c>
      <c r="D1750" t="s">
        <v>84</v>
      </c>
      <c r="E1750">
        <v>24907.19</v>
      </c>
      <c r="F1750" t="s">
        <v>36</v>
      </c>
      <c r="G1750">
        <v>32106.55</v>
      </c>
      <c r="H1750">
        <v>7199.36</v>
      </c>
      <c r="I1750">
        <v>10</v>
      </c>
      <c r="J1750">
        <v>4</v>
      </c>
      <c r="K1750" t="str">
        <f>TEXT(discount_impact_on_profit_2000_rows[[#This Row],[order date]],"mmmm")</f>
        <v>February</v>
      </c>
      <c r="L1750">
        <f>YEAR(discount_impact_on_profit_2000_rows[[#This Row],[order date]])</f>
        <v>2023</v>
      </c>
      <c r="M1750" t="str">
        <f>IF(discount_impact_on_profit_2000_rows[[#This Row],[Discount %]]=0,"Zero Discount",IF(discount_impact_on_profit_2000_rows[[#This Row],[Discount %]]&lt;=10,"Low Discount","High Discount"))</f>
        <v>Low Discount</v>
      </c>
      <c r="N1750" t="str">
        <f t="shared" si="27"/>
        <v>0-10%</v>
      </c>
    </row>
    <row r="1751" spans="1:14">
      <c r="A1751" s="1">
        <v>45806</v>
      </c>
      <c r="B1751" t="s">
        <v>1813</v>
      </c>
      <c r="C1751" t="s">
        <v>53</v>
      </c>
      <c r="D1751" t="s">
        <v>54</v>
      </c>
      <c r="E1751">
        <v>1043.33</v>
      </c>
      <c r="F1751" t="s">
        <v>26</v>
      </c>
      <c r="G1751">
        <v>1329.52</v>
      </c>
      <c r="H1751">
        <v>286.19</v>
      </c>
      <c r="I1751">
        <v>30</v>
      </c>
      <c r="J1751">
        <v>1</v>
      </c>
      <c r="K1751" t="str">
        <f>TEXT(discount_impact_on_profit_2000_rows[[#This Row],[order date]],"mmmm")</f>
        <v>May</v>
      </c>
      <c r="L1751">
        <f>YEAR(discount_impact_on_profit_2000_rows[[#This Row],[order date]])</f>
        <v>2025</v>
      </c>
      <c r="M1751" t="str">
        <f>IF(discount_impact_on_profit_2000_rows[[#This Row],[Discount %]]=0,"Zero Discount",IF(discount_impact_on_profit_2000_rows[[#This Row],[Discount %]]&lt;=10,"Low Discount","High Discount"))</f>
        <v>High Discount</v>
      </c>
      <c r="N1751" t="str">
        <f t="shared" si="27"/>
        <v>20-30%</v>
      </c>
    </row>
    <row r="1752" spans="1:14">
      <c r="A1752" s="1">
        <v>45838</v>
      </c>
      <c r="B1752" t="s">
        <v>1814</v>
      </c>
      <c r="C1752" t="s">
        <v>11</v>
      </c>
      <c r="D1752" t="s">
        <v>12</v>
      </c>
      <c r="E1752">
        <v>5314.17</v>
      </c>
      <c r="F1752" t="s">
        <v>26</v>
      </c>
      <c r="G1752">
        <v>9529.02</v>
      </c>
      <c r="H1752">
        <v>4214.8500000000004</v>
      </c>
      <c r="I1752">
        <v>5</v>
      </c>
      <c r="J1752">
        <v>2</v>
      </c>
      <c r="K1752" t="str">
        <f>TEXT(discount_impact_on_profit_2000_rows[[#This Row],[order date]],"mmmm")</f>
        <v>June</v>
      </c>
      <c r="L1752">
        <f>YEAR(discount_impact_on_profit_2000_rows[[#This Row],[order date]])</f>
        <v>2025</v>
      </c>
      <c r="M1752" t="str">
        <f>IF(discount_impact_on_profit_2000_rows[[#This Row],[Discount %]]=0,"Zero Discount",IF(discount_impact_on_profit_2000_rows[[#This Row],[Discount %]]&lt;=10,"Low Discount","High Discount"))</f>
        <v>Low Discount</v>
      </c>
      <c r="N1752" t="str">
        <f t="shared" si="27"/>
        <v>0-10%</v>
      </c>
    </row>
    <row r="1753" spans="1:14">
      <c r="A1753" s="1">
        <v>45106</v>
      </c>
      <c r="B1753" t="s">
        <v>1815</v>
      </c>
      <c r="C1753" t="s">
        <v>18</v>
      </c>
      <c r="D1753" t="s">
        <v>88</v>
      </c>
      <c r="E1753">
        <v>144.65</v>
      </c>
      <c r="F1753" t="s">
        <v>36</v>
      </c>
      <c r="G1753">
        <v>161.52000000000001</v>
      </c>
      <c r="H1753">
        <v>16.87</v>
      </c>
      <c r="I1753">
        <v>30</v>
      </c>
      <c r="J1753">
        <v>2</v>
      </c>
      <c r="K1753" t="str">
        <f>TEXT(discount_impact_on_profit_2000_rows[[#This Row],[order date]],"mmmm")</f>
        <v>June</v>
      </c>
      <c r="L1753">
        <f>YEAR(discount_impact_on_profit_2000_rows[[#This Row],[order date]])</f>
        <v>2023</v>
      </c>
      <c r="M1753" t="str">
        <f>IF(discount_impact_on_profit_2000_rows[[#This Row],[Discount %]]=0,"Zero Discount",IF(discount_impact_on_profit_2000_rows[[#This Row],[Discount %]]&lt;=10,"Low Discount","High Discount"))</f>
        <v>High Discount</v>
      </c>
      <c r="N1753" t="str">
        <f t="shared" si="27"/>
        <v>20-30%</v>
      </c>
    </row>
    <row r="1754" spans="1:14">
      <c r="A1754" s="1">
        <v>45345</v>
      </c>
      <c r="B1754" t="s">
        <v>1816</v>
      </c>
      <c r="C1754" t="s">
        <v>33</v>
      </c>
      <c r="D1754" t="s">
        <v>34</v>
      </c>
      <c r="E1754">
        <v>34103.64</v>
      </c>
      <c r="F1754" t="s">
        <v>23</v>
      </c>
      <c r="G1754">
        <v>43366</v>
      </c>
      <c r="H1754">
        <v>9262.36</v>
      </c>
      <c r="I1754">
        <v>5</v>
      </c>
      <c r="J1754">
        <v>2</v>
      </c>
      <c r="K1754" t="str">
        <f>TEXT(discount_impact_on_profit_2000_rows[[#This Row],[order date]],"mmmm")</f>
        <v>February</v>
      </c>
      <c r="L1754">
        <f>YEAR(discount_impact_on_profit_2000_rows[[#This Row],[order date]])</f>
        <v>2024</v>
      </c>
      <c r="M1754" t="str">
        <f>IF(discount_impact_on_profit_2000_rows[[#This Row],[Discount %]]=0,"Zero Discount",IF(discount_impact_on_profit_2000_rows[[#This Row],[Discount %]]&lt;=10,"Low Discount","High Discount"))</f>
        <v>Low Discount</v>
      </c>
      <c r="N1754" t="str">
        <f t="shared" si="27"/>
        <v>0-10%</v>
      </c>
    </row>
    <row r="1755" spans="1:14">
      <c r="A1755" s="1">
        <v>45543</v>
      </c>
      <c r="B1755" t="s">
        <v>1817</v>
      </c>
      <c r="C1755" t="s">
        <v>21</v>
      </c>
      <c r="D1755" t="s">
        <v>22</v>
      </c>
      <c r="E1755">
        <v>62847.98</v>
      </c>
      <c r="F1755" t="s">
        <v>26</v>
      </c>
      <c r="G1755">
        <v>77386.97</v>
      </c>
      <c r="H1755">
        <v>14538.99</v>
      </c>
      <c r="I1755">
        <v>0</v>
      </c>
      <c r="J1755">
        <v>3</v>
      </c>
      <c r="K1755" t="str">
        <f>TEXT(discount_impact_on_profit_2000_rows[[#This Row],[order date]],"mmmm")</f>
        <v>September</v>
      </c>
      <c r="L1755">
        <f>YEAR(discount_impact_on_profit_2000_rows[[#This Row],[order date]])</f>
        <v>2024</v>
      </c>
      <c r="M1755" t="str">
        <f>IF(discount_impact_on_profit_2000_rows[[#This Row],[Discount %]]=0,"Zero Discount",IF(discount_impact_on_profit_2000_rows[[#This Row],[Discount %]]&lt;=10,"Low Discount","High Discount"))</f>
        <v>Zero Discount</v>
      </c>
      <c r="N1755" t="str">
        <f t="shared" si="27"/>
        <v>0-10%</v>
      </c>
    </row>
    <row r="1756" spans="1:14">
      <c r="A1756" s="1">
        <v>45835</v>
      </c>
      <c r="B1756" t="s">
        <v>1818</v>
      </c>
      <c r="C1756" t="s">
        <v>53</v>
      </c>
      <c r="D1756" t="s">
        <v>78</v>
      </c>
      <c r="E1756">
        <v>263.64</v>
      </c>
      <c r="F1756" t="s">
        <v>26</v>
      </c>
      <c r="G1756">
        <v>538.97</v>
      </c>
      <c r="H1756">
        <v>275.33</v>
      </c>
      <c r="I1756">
        <v>0</v>
      </c>
      <c r="J1756">
        <v>1</v>
      </c>
      <c r="K1756" t="str">
        <f>TEXT(discount_impact_on_profit_2000_rows[[#This Row],[order date]],"mmmm")</f>
        <v>June</v>
      </c>
      <c r="L1756">
        <f>YEAR(discount_impact_on_profit_2000_rows[[#This Row],[order date]])</f>
        <v>2025</v>
      </c>
      <c r="M1756" t="str">
        <f>IF(discount_impact_on_profit_2000_rows[[#This Row],[Discount %]]=0,"Zero Discount",IF(discount_impact_on_profit_2000_rows[[#This Row],[Discount %]]&lt;=10,"Low Discount","High Discount"))</f>
        <v>Zero Discount</v>
      </c>
      <c r="N1756" t="str">
        <f t="shared" si="27"/>
        <v>0-10%</v>
      </c>
    </row>
    <row r="1757" spans="1:14">
      <c r="A1757" s="1">
        <v>45150</v>
      </c>
      <c r="B1757" t="s">
        <v>1819</v>
      </c>
      <c r="C1757" t="s">
        <v>15</v>
      </c>
      <c r="D1757" t="s">
        <v>16</v>
      </c>
      <c r="E1757">
        <v>2149.2399999999998</v>
      </c>
      <c r="F1757" t="s">
        <v>36</v>
      </c>
      <c r="G1757">
        <v>2517.25</v>
      </c>
      <c r="H1757">
        <v>368.01</v>
      </c>
      <c r="I1757">
        <v>25</v>
      </c>
      <c r="J1757">
        <v>1</v>
      </c>
      <c r="K1757" t="str">
        <f>TEXT(discount_impact_on_profit_2000_rows[[#This Row],[order date]],"mmmm")</f>
        <v>August</v>
      </c>
      <c r="L1757">
        <f>YEAR(discount_impact_on_profit_2000_rows[[#This Row],[order date]])</f>
        <v>2023</v>
      </c>
      <c r="M1757" t="str">
        <f>IF(discount_impact_on_profit_2000_rows[[#This Row],[Discount %]]=0,"Zero Discount",IF(discount_impact_on_profit_2000_rows[[#This Row],[Discount %]]&lt;=10,"Low Discount","High Discount"))</f>
        <v>High Discount</v>
      </c>
      <c r="N1757" t="str">
        <f t="shared" si="27"/>
        <v>20-30%</v>
      </c>
    </row>
    <row r="1758" spans="1:14">
      <c r="A1758" s="1">
        <v>45598</v>
      </c>
      <c r="B1758" t="s">
        <v>1820</v>
      </c>
      <c r="C1758" t="s">
        <v>18</v>
      </c>
      <c r="D1758" t="s">
        <v>88</v>
      </c>
      <c r="E1758">
        <v>57.39</v>
      </c>
      <c r="F1758" t="s">
        <v>36</v>
      </c>
      <c r="G1758">
        <v>88.48</v>
      </c>
      <c r="H1758">
        <v>31.09</v>
      </c>
      <c r="I1758">
        <v>30</v>
      </c>
      <c r="J1758">
        <v>1</v>
      </c>
      <c r="K1758" t="str">
        <f>TEXT(discount_impact_on_profit_2000_rows[[#This Row],[order date]],"mmmm")</f>
        <v>November</v>
      </c>
      <c r="L1758">
        <f>YEAR(discount_impact_on_profit_2000_rows[[#This Row],[order date]])</f>
        <v>2024</v>
      </c>
      <c r="M1758" t="str">
        <f>IF(discount_impact_on_profit_2000_rows[[#This Row],[Discount %]]=0,"Zero Discount",IF(discount_impact_on_profit_2000_rows[[#This Row],[Discount %]]&lt;=10,"Low Discount","High Discount"))</f>
        <v>High Discount</v>
      </c>
      <c r="N1758" t="str">
        <f t="shared" si="27"/>
        <v>20-30%</v>
      </c>
    </row>
    <row r="1759" spans="1:14">
      <c r="A1759" s="1">
        <v>45575</v>
      </c>
      <c r="B1759" t="s">
        <v>1821</v>
      </c>
      <c r="C1759" t="s">
        <v>33</v>
      </c>
      <c r="D1759" t="s">
        <v>92</v>
      </c>
      <c r="E1759">
        <v>30966.02</v>
      </c>
      <c r="F1759" t="s">
        <v>26</v>
      </c>
      <c r="G1759">
        <v>42319.63</v>
      </c>
      <c r="H1759">
        <v>11353.61</v>
      </c>
      <c r="I1759">
        <v>0</v>
      </c>
      <c r="J1759">
        <v>2</v>
      </c>
      <c r="K1759" t="str">
        <f>TEXT(discount_impact_on_profit_2000_rows[[#This Row],[order date]],"mmmm")</f>
        <v>October</v>
      </c>
      <c r="L1759">
        <f>YEAR(discount_impact_on_profit_2000_rows[[#This Row],[order date]])</f>
        <v>2024</v>
      </c>
      <c r="M1759" t="str">
        <f>IF(discount_impact_on_profit_2000_rows[[#This Row],[Discount %]]=0,"Zero Discount",IF(discount_impact_on_profit_2000_rows[[#This Row],[Discount %]]&lt;=10,"Low Discount","High Discount"))</f>
        <v>Zero Discount</v>
      </c>
      <c r="N1759" t="str">
        <f t="shared" si="27"/>
        <v>0-10%</v>
      </c>
    </row>
    <row r="1760" spans="1:14">
      <c r="A1760" s="1">
        <v>45047</v>
      </c>
      <c r="B1760" t="s">
        <v>1822</v>
      </c>
      <c r="C1760" t="s">
        <v>53</v>
      </c>
      <c r="D1760" t="s">
        <v>54</v>
      </c>
      <c r="E1760">
        <v>5431.53</v>
      </c>
      <c r="F1760" t="s">
        <v>13</v>
      </c>
      <c r="G1760">
        <v>8617.0300000000007</v>
      </c>
      <c r="H1760">
        <v>3185.5</v>
      </c>
      <c r="I1760">
        <v>10</v>
      </c>
      <c r="J1760">
        <v>4</v>
      </c>
      <c r="K1760" t="str">
        <f>TEXT(discount_impact_on_profit_2000_rows[[#This Row],[order date]],"mmmm")</f>
        <v>May</v>
      </c>
      <c r="L1760">
        <f>YEAR(discount_impact_on_profit_2000_rows[[#This Row],[order date]])</f>
        <v>2023</v>
      </c>
      <c r="M1760" t="str">
        <f>IF(discount_impact_on_profit_2000_rows[[#This Row],[Discount %]]=0,"Zero Discount",IF(discount_impact_on_profit_2000_rows[[#This Row],[Discount %]]&lt;=10,"Low Discount","High Discount"))</f>
        <v>Low Discount</v>
      </c>
      <c r="N1760" t="str">
        <f t="shared" si="27"/>
        <v>0-10%</v>
      </c>
    </row>
    <row r="1761" spans="1:14">
      <c r="A1761" s="1">
        <v>45727</v>
      </c>
      <c r="B1761" t="s">
        <v>1823</v>
      </c>
      <c r="C1761" t="s">
        <v>11</v>
      </c>
      <c r="D1761" t="s">
        <v>30</v>
      </c>
      <c r="E1761">
        <v>5385.85</v>
      </c>
      <c r="F1761" t="s">
        <v>36</v>
      </c>
      <c r="G1761">
        <v>8888.2900000000009</v>
      </c>
      <c r="H1761">
        <v>3502.44</v>
      </c>
      <c r="I1761">
        <v>10</v>
      </c>
      <c r="J1761">
        <v>4</v>
      </c>
      <c r="K1761" t="str">
        <f>TEXT(discount_impact_on_profit_2000_rows[[#This Row],[order date]],"mmmm")</f>
        <v>March</v>
      </c>
      <c r="L1761">
        <f>YEAR(discount_impact_on_profit_2000_rows[[#This Row],[order date]])</f>
        <v>2025</v>
      </c>
      <c r="M1761" t="str">
        <f>IF(discount_impact_on_profit_2000_rows[[#This Row],[Discount %]]=0,"Zero Discount",IF(discount_impact_on_profit_2000_rows[[#This Row],[Discount %]]&lt;=10,"Low Discount","High Discount"))</f>
        <v>Low Discount</v>
      </c>
      <c r="N1761" t="str">
        <f t="shared" si="27"/>
        <v>0-10%</v>
      </c>
    </row>
    <row r="1762" spans="1:14">
      <c r="A1762" s="1">
        <v>45642</v>
      </c>
      <c r="B1762" t="s">
        <v>1824</v>
      </c>
      <c r="C1762" t="s">
        <v>15</v>
      </c>
      <c r="D1762" t="s">
        <v>86</v>
      </c>
      <c r="E1762">
        <v>26212.62</v>
      </c>
      <c r="F1762" t="s">
        <v>23</v>
      </c>
      <c r="G1762">
        <v>34511.449999999997</v>
      </c>
      <c r="H1762">
        <v>8298.83</v>
      </c>
      <c r="I1762">
        <v>5</v>
      </c>
      <c r="J1762">
        <v>4</v>
      </c>
      <c r="K1762" t="str">
        <f>TEXT(discount_impact_on_profit_2000_rows[[#This Row],[order date]],"mmmm")</f>
        <v>December</v>
      </c>
      <c r="L1762">
        <f>YEAR(discount_impact_on_profit_2000_rows[[#This Row],[order date]])</f>
        <v>2024</v>
      </c>
      <c r="M1762" t="str">
        <f>IF(discount_impact_on_profit_2000_rows[[#This Row],[Discount %]]=0,"Zero Discount",IF(discount_impact_on_profit_2000_rows[[#This Row],[Discount %]]&lt;=10,"Low Discount","High Discount"))</f>
        <v>Low Discount</v>
      </c>
      <c r="N1762" t="str">
        <f t="shared" si="27"/>
        <v>0-10%</v>
      </c>
    </row>
    <row r="1763" spans="1:14">
      <c r="A1763" s="1">
        <v>45906</v>
      </c>
      <c r="B1763" t="s">
        <v>1825</v>
      </c>
      <c r="C1763" t="s">
        <v>11</v>
      </c>
      <c r="D1763" t="s">
        <v>80</v>
      </c>
      <c r="E1763">
        <v>2751.28</v>
      </c>
      <c r="F1763" t="s">
        <v>31</v>
      </c>
      <c r="G1763">
        <v>4195.9399999999996</v>
      </c>
      <c r="H1763">
        <v>1444.66</v>
      </c>
      <c r="I1763">
        <v>20</v>
      </c>
      <c r="J1763">
        <v>4</v>
      </c>
      <c r="K1763" t="str">
        <f>TEXT(discount_impact_on_profit_2000_rows[[#This Row],[order date]],"mmmm")</f>
        <v>September</v>
      </c>
      <c r="L1763">
        <f>YEAR(discount_impact_on_profit_2000_rows[[#This Row],[order date]])</f>
        <v>2025</v>
      </c>
      <c r="M1763" t="str">
        <f>IF(discount_impact_on_profit_2000_rows[[#This Row],[Discount %]]=0,"Zero Discount",IF(discount_impact_on_profit_2000_rows[[#This Row],[Discount %]]&lt;=10,"Low Discount","High Discount"))</f>
        <v>High Discount</v>
      </c>
      <c r="N1763" t="str">
        <f t="shared" si="27"/>
        <v>10-20%</v>
      </c>
    </row>
    <row r="1764" spans="1:14">
      <c r="A1764" s="1">
        <v>45634</v>
      </c>
      <c r="B1764" t="s">
        <v>1826</v>
      </c>
      <c r="C1764" t="s">
        <v>11</v>
      </c>
      <c r="D1764" t="s">
        <v>25</v>
      </c>
      <c r="E1764">
        <v>469</v>
      </c>
      <c r="F1764" t="s">
        <v>36</v>
      </c>
      <c r="G1764">
        <v>668.62</v>
      </c>
      <c r="H1764">
        <v>199.62</v>
      </c>
      <c r="I1764">
        <v>10</v>
      </c>
      <c r="J1764">
        <v>2</v>
      </c>
      <c r="K1764" t="str">
        <f>TEXT(discount_impact_on_profit_2000_rows[[#This Row],[order date]],"mmmm")</f>
        <v>December</v>
      </c>
      <c r="L1764">
        <f>YEAR(discount_impact_on_profit_2000_rows[[#This Row],[order date]])</f>
        <v>2024</v>
      </c>
      <c r="M1764" t="str">
        <f>IF(discount_impact_on_profit_2000_rows[[#This Row],[Discount %]]=0,"Zero Discount",IF(discount_impact_on_profit_2000_rows[[#This Row],[Discount %]]&lt;=10,"Low Discount","High Discount"))</f>
        <v>Low Discount</v>
      </c>
      <c r="N1764" t="str">
        <f t="shared" si="27"/>
        <v>0-10%</v>
      </c>
    </row>
    <row r="1765" spans="1:14">
      <c r="A1765" s="1">
        <v>45877</v>
      </c>
      <c r="B1765" t="s">
        <v>1827</v>
      </c>
      <c r="C1765" t="s">
        <v>18</v>
      </c>
      <c r="D1765" t="s">
        <v>88</v>
      </c>
      <c r="E1765">
        <v>706.69</v>
      </c>
      <c r="F1765" t="s">
        <v>31</v>
      </c>
      <c r="G1765">
        <v>1041.3</v>
      </c>
      <c r="H1765">
        <v>334.61</v>
      </c>
      <c r="I1765">
        <v>15</v>
      </c>
      <c r="J1765">
        <v>1</v>
      </c>
      <c r="K1765" t="str">
        <f>TEXT(discount_impact_on_profit_2000_rows[[#This Row],[order date]],"mmmm")</f>
        <v>August</v>
      </c>
      <c r="L1765">
        <f>YEAR(discount_impact_on_profit_2000_rows[[#This Row],[order date]])</f>
        <v>2025</v>
      </c>
      <c r="M1765" t="str">
        <f>IF(discount_impact_on_profit_2000_rows[[#This Row],[Discount %]]=0,"Zero Discount",IF(discount_impact_on_profit_2000_rows[[#This Row],[Discount %]]&lt;=10,"Low Discount","High Discount"))</f>
        <v>High Discount</v>
      </c>
      <c r="N1765" t="str">
        <f t="shared" si="27"/>
        <v>10-20%</v>
      </c>
    </row>
    <row r="1766" spans="1:14">
      <c r="A1766" s="1">
        <v>45328</v>
      </c>
      <c r="B1766" t="s">
        <v>1828</v>
      </c>
      <c r="C1766" t="s">
        <v>11</v>
      </c>
      <c r="D1766" t="s">
        <v>207</v>
      </c>
      <c r="E1766">
        <v>246.07</v>
      </c>
      <c r="F1766" t="s">
        <v>31</v>
      </c>
      <c r="G1766">
        <v>442.71</v>
      </c>
      <c r="H1766">
        <v>196.64</v>
      </c>
      <c r="I1766">
        <v>10</v>
      </c>
      <c r="J1766">
        <v>1</v>
      </c>
      <c r="K1766" t="str">
        <f>TEXT(discount_impact_on_profit_2000_rows[[#This Row],[order date]],"mmmm")</f>
        <v>February</v>
      </c>
      <c r="L1766">
        <f>YEAR(discount_impact_on_profit_2000_rows[[#This Row],[order date]])</f>
        <v>2024</v>
      </c>
      <c r="M1766" t="str">
        <f>IF(discount_impact_on_profit_2000_rows[[#This Row],[Discount %]]=0,"Zero Discount",IF(discount_impact_on_profit_2000_rows[[#This Row],[Discount %]]&lt;=10,"Low Discount","High Discount"))</f>
        <v>Low Discount</v>
      </c>
      <c r="N1766" t="str">
        <f t="shared" si="27"/>
        <v>0-10%</v>
      </c>
    </row>
    <row r="1767" spans="1:14">
      <c r="A1767" s="1">
        <v>45895</v>
      </c>
      <c r="B1767" t="s">
        <v>1829</v>
      </c>
      <c r="C1767" t="s">
        <v>53</v>
      </c>
      <c r="D1767" t="s">
        <v>113</v>
      </c>
      <c r="E1767">
        <v>864.74</v>
      </c>
      <c r="F1767" t="s">
        <v>31</v>
      </c>
      <c r="G1767">
        <v>1622.95</v>
      </c>
      <c r="H1767">
        <v>758.21</v>
      </c>
      <c r="I1767">
        <v>0</v>
      </c>
      <c r="J1767">
        <v>2</v>
      </c>
      <c r="K1767" t="str">
        <f>TEXT(discount_impact_on_profit_2000_rows[[#This Row],[order date]],"mmmm")</f>
        <v>August</v>
      </c>
      <c r="L1767">
        <f>YEAR(discount_impact_on_profit_2000_rows[[#This Row],[order date]])</f>
        <v>2025</v>
      </c>
      <c r="M1767" t="str">
        <f>IF(discount_impact_on_profit_2000_rows[[#This Row],[Discount %]]=0,"Zero Discount",IF(discount_impact_on_profit_2000_rows[[#This Row],[Discount %]]&lt;=10,"Low Discount","High Discount"))</f>
        <v>Zero Discount</v>
      </c>
      <c r="N1767" t="str">
        <f t="shared" si="27"/>
        <v>0-10%</v>
      </c>
    </row>
    <row r="1768" spans="1:14">
      <c r="A1768" s="1">
        <v>45685</v>
      </c>
      <c r="B1768" t="s">
        <v>1830</v>
      </c>
      <c r="C1768" t="s">
        <v>53</v>
      </c>
      <c r="D1768" t="s">
        <v>70</v>
      </c>
      <c r="E1768">
        <v>6259.2</v>
      </c>
      <c r="F1768" t="s">
        <v>31</v>
      </c>
      <c r="G1768">
        <v>8316.6</v>
      </c>
      <c r="H1768">
        <v>2057.4</v>
      </c>
      <c r="I1768">
        <v>15</v>
      </c>
      <c r="J1768">
        <v>3</v>
      </c>
      <c r="K1768" t="str">
        <f>TEXT(discount_impact_on_profit_2000_rows[[#This Row],[order date]],"mmmm")</f>
        <v>January</v>
      </c>
      <c r="L1768">
        <f>YEAR(discount_impact_on_profit_2000_rows[[#This Row],[order date]])</f>
        <v>2025</v>
      </c>
      <c r="M1768" t="str">
        <f>IF(discount_impact_on_profit_2000_rows[[#This Row],[Discount %]]=0,"Zero Discount",IF(discount_impact_on_profit_2000_rows[[#This Row],[Discount %]]&lt;=10,"Low Discount","High Discount"))</f>
        <v>High Discount</v>
      </c>
      <c r="N1768" t="str">
        <f t="shared" si="27"/>
        <v>10-20%</v>
      </c>
    </row>
    <row r="1769" spans="1:14">
      <c r="A1769" s="1">
        <v>44989</v>
      </c>
      <c r="B1769" t="s">
        <v>1831</v>
      </c>
      <c r="C1769" t="s">
        <v>21</v>
      </c>
      <c r="D1769" t="s">
        <v>154</v>
      </c>
      <c r="E1769">
        <v>50506.55</v>
      </c>
      <c r="F1769" t="s">
        <v>36</v>
      </c>
      <c r="G1769">
        <v>62743.48</v>
      </c>
      <c r="H1769">
        <v>12236.93</v>
      </c>
      <c r="I1769">
        <v>15</v>
      </c>
      <c r="J1769">
        <v>8</v>
      </c>
      <c r="K1769" t="str">
        <f>TEXT(discount_impact_on_profit_2000_rows[[#This Row],[order date]],"mmmm")</f>
        <v>March</v>
      </c>
      <c r="L1769">
        <f>YEAR(discount_impact_on_profit_2000_rows[[#This Row],[order date]])</f>
        <v>2023</v>
      </c>
      <c r="M1769" t="str">
        <f>IF(discount_impact_on_profit_2000_rows[[#This Row],[Discount %]]=0,"Zero Discount",IF(discount_impact_on_profit_2000_rows[[#This Row],[Discount %]]&lt;=10,"Low Discount","High Discount"))</f>
        <v>High Discount</v>
      </c>
      <c r="N1769" t="str">
        <f t="shared" si="27"/>
        <v>10-20%</v>
      </c>
    </row>
    <row r="1770" spans="1:14">
      <c r="A1770" s="1">
        <v>45728</v>
      </c>
      <c r="B1770" t="s">
        <v>1832</v>
      </c>
      <c r="C1770" t="s">
        <v>21</v>
      </c>
      <c r="D1770" t="s">
        <v>82</v>
      </c>
      <c r="E1770">
        <v>2331.67</v>
      </c>
      <c r="F1770" t="s">
        <v>23</v>
      </c>
      <c r="G1770">
        <v>2861.56</v>
      </c>
      <c r="H1770">
        <v>529.89</v>
      </c>
      <c r="I1770">
        <v>5</v>
      </c>
      <c r="J1770">
        <v>1</v>
      </c>
      <c r="K1770" t="str">
        <f>TEXT(discount_impact_on_profit_2000_rows[[#This Row],[order date]],"mmmm")</f>
        <v>March</v>
      </c>
      <c r="L1770">
        <f>YEAR(discount_impact_on_profit_2000_rows[[#This Row],[order date]])</f>
        <v>2025</v>
      </c>
      <c r="M1770" t="str">
        <f>IF(discount_impact_on_profit_2000_rows[[#This Row],[Discount %]]=0,"Zero Discount",IF(discount_impact_on_profit_2000_rows[[#This Row],[Discount %]]&lt;=10,"Low Discount","High Discount"))</f>
        <v>Low Discount</v>
      </c>
      <c r="N1770" t="str">
        <f t="shared" si="27"/>
        <v>0-10%</v>
      </c>
    </row>
    <row r="1771" spans="1:14">
      <c r="A1771" s="1">
        <v>44941</v>
      </c>
      <c r="B1771" t="s">
        <v>1833</v>
      </c>
      <c r="C1771" t="s">
        <v>53</v>
      </c>
      <c r="D1771" t="s">
        <v>70</v>
      </c>
      <c r="E1771">
        <v>897.31</v>
      </c>
      <c r="F1771" t="s">
        <v>31</v>
      </c>
      <c r="G1771">
        <v>1221.3900000000001</v>
      </c>
      <c r="H1771">
        <v>324.08</v>
      </c>
      <c r="I1771">
        <v>10</v>
      </c>
      <c r="J1771">
        <v>1</v>
      </c>
      <c r="K1771" t="str">
        <f>TEXT(discount_impact_on_profit_2000_rows[[#This Row],[order date]],"mmmm")</f>
        <v>January</v>
      </c>
      <c r="L1771">
        <f>YEAR(discount_impact_on_profit_2000_rows[[#This Row],[order date]])</f>
        <v>2023</v>
      </c>
      <c r="M1771" t="str">
        <f>IF(discount_impact_on_profit_2000_rows[[#This Row],[Discount %]]=0,"Zero Discount",IF(discount_impact_on_profit_2000_rows[[#This Row],[Discount %]]&lt;=10,"Low Discount","High Discount"))</f>
        <v>Low Discount</v>
      </c>
      <c r="N1771" t="str">
        <f t="shared" si="27"/>
        <v>0-10%</v>
      </c>
    </row>
    <row r="1772" spans="1:14">
      <c r="A1772" s="1">
        <v>45823</v>
      </c>
      <c r="B1772" t="s">
        <v>1834</v>
      </c>
      <c r="C1772" t="s">
        <v>15</v>
      </c>
      <c r="D1772" t="s">
        <v>76</v>
      </c>
      <c r="E1772">
        <v>43612.41</v>
      </c>
      <c r="F1772" t="s">
        <v>36</v>
      </c>
      <c r="G1772">
        <v>51919.53</v>
      </c>
      <c r="H1772">
        <v>8307.1200000000008</v>
      </c>
      <c r="I1772">
        <v>10</v>
      </c>
      <c r="J1772">
        <v>8</v>
      </c>
      <c r="K1772" t="str">
        <f>TEXT(discount_impact_on_profit_2000_rows[[#This Row],[order date]],"mmmm")</f>
        <v>June</v>
      </c>
      <c r="L1772">
        <f>YEAR(discount_impact_on_profit_2000_rows[[#This Row],[order date]])</f>
        <v>2025</v>
      </c>
      <c r="M1772" t="str">
        <f>IF(discount_impact_on_profit_2000_rows[[#This Row],[Discount %]]=0,"Zero Discount",IF(discount_impact_on_profit_2000_rows[[#This Row],[Discount %]]&lt;=10,"Low Discount","High Discount"))</f>
        <v>Low Discount</v>
      </c>
      <c r="N1772" t="str">
        <f t="shared" si="27"/>
        <v>0-10%</v>
      </c>
    </row>
    <row r="1773" spans="1:14">
      <c r="A1773" s="1">
        <v>45294</v>
      </c>
      <c r="B1773" t="s">
        <v>1835</v>
      </c>
      <c r="C1773" t="s">
        <v>11</v>
      </c>
      <c r="D1773" t="s">
        <v>25</v>
      </c>
      <c r="E1773">
        <v>2319.41</v>
      </c>
      <c r="F1773" t="s">
        <v>26</v>
      </c>
      <c r="G1773">
        <v>3848.68</v>
      </c>
      <c r="H1773">
        <v>1529.27</v>
      </c>
      <c r="I1773">
        <v>10</v>
      </c>
      <c r="J1773">
        <v>8</v>
      </c>
      <c r="K1773" t="str">
        <f>TEXT(discount_impact_on_profit_2000_rows[[#This Row],[order date]],"mmmm")</f>
        <v>January</v>
      </c>
      <c r="L1773">
        <f>YEAR(discount_impact_on_profit_2000_rows[[#This Row],[order date]])</f>
        <v>2024</v>
      </c>
      <c r="M1773" t="str">
        <f>IF(discount_impact_on_profit_2000_rows[[#This Row],[Discount %]]=0,"Zero Discount",IF(discount_impact_on_profit_2000_rows[[#This Row],[Discount %]]&lt;=10,"Low Discount","High Discount"))</f>
        <v>Low Discount</v>
      </c>
      <c r="N1773" t="str">
        <f t="shared" si="27"/>
        <v>0-10%</v>
      </c>
    </row>
    <row r="1774" spans="1:14">
      <c r="A1774" s="1">
        <v>45430</v>
      </c>
      <c r="B1774" t="s">
        <v>1836</v>
      </c>
      <c r="C1774" t="s">
        <v>15</v>
      </c>
      <c r="D1774" t="s">
        <v>40</v>
      </c>
      <c r="E1774">
        <v>4926.8100000000004</v>
      </c>
      <c r="F1774" t="s">
        <v>31</v>
      </c>
      <c r="G1774">
        <v>6761.06</v>
      </c>
      <c r="H1774">
        <v>1834.25</v>
      </c>
      <c r="I1774">
        <v>15</v>
      </c>
      <c r="J1774">
        <v>4</v>
      </c>
      <c r="K1774" t="str">
        <f>TEXT(discount_impact_on_profit_2000_rows[[#This Row],[order date]],"mmmm")</f>
        <v>May</v>
      </c>
      <c r="L1774">
        <f>YEAR(discount_impact_on_profit_2000_rows[[#This Row],[order date]])</f>
        <v>2024</v>
      </c>
      <c r="M1774" t="str">
        <f>IF(discount_impact_on_profit_2000_rows[[#This Row],[Discount %]]=0,"Zero Discount",IF(discount_impact_on_profit_2000_rows[[#This Row],[Discount %]]&lt;=10,"Low Discount","High Discount"))</f>
        <v>High Discount</v>
      </c>
      <c r="N1774" t="str">
        <f t="shared" si="27"/>
        <v>10-20%</v>
      </c>
    </row>
    <row r="1775" spans="1:14">
      <c r="A1775" s="1">
        <v>45635</v>
      </c>
      <c r="B1775" t="s">
        <v>1837</v>
      </c>
      <c r="C1775" t="s">
        <v>11</v>
      </c>
      <c r="D1775" t="s">
        <v>80</v>
      </c>
      <c r="E1775">
        <v>1119.44</v>
      </c>
      <c r="F1775" t="s">
        <v>31</v>
      </c>
      <c r="G1775">
        <v>2546.42</v>
      </c>
      <c r="H1775">
        <v>1426.98</v>
      </c>
      <c r="I1775">
        <v>5</v>
      </c>
      <c r="J1775">
        <v>1</v>
      </c>
      <c r="K1775" t="str">
        <f>TEXT(discount_impact_on_profit_2000_rows[[#This Row],[order date]],"mmmm")</f>
        <v>December</v>
      </c>
      <c r="L1775">
        <f>YEAR(discount_impact_on_profit_2000_rows[[#This Row],[order date]])</f>
        <v>2024</v>
      </c>
      <c r="M1775" t="str">
        <f>IF(discount_impact_on_profit_2000_rows[[#This Row],[Discount %]]=0,"Zero Discount",IF(discount_impact_on_profit_2000_rows[[#This Row],[Discount %]]&lt;=10,"Low Discount","High Discount"))</f>
        <v>Low Discount</v>
      </c>
      <c r="N1775" t="str">
        <f t="shared" si="27"/>
        <v>0-10%</v>
      </c>
    </row>
    <row r="1776" spans="1:14">
      <c r="A1776" s="1">
        <v>45788</v>
      </c>
      <c r="B1776" t="s">
        <v>1838</v>
      </c>
      <c r="C1776" t="s">
        <v>21</v>
      </c>
      <c r="D1776" t="s">
        <v>123</v>
      </c>
      <c r="E1776">
        <v>13563.96</v>
      </c>
      <c r="F1776" t="s">
        <v>26</v>
      </c>
      <c r="G1776">
        <v>18760.98</v>
      </c>
      <c r="H1776">
        <v>5197.0200000000004</v>
      </c>
      <c r="I1776">
        <v>5</v>
      </c>
      <c r="J1776">
        <v>2</v>
      </c>
      <c r="K1776" t="str">
        <f>TEXT(discount_impact_on_profit_2000_rows[[#This Row],[order date]],"mmmm")</f>
        <v>May</v>
      </c>
      <c r="L1776">
        <f>YEAR(discount_impact_on_profit_2000_rows[[#This Row],[order date]])</f>
        <v>2025</v>
      </c>
      <c r="M1776" t="str">
        <f>IF(discount_impact_on_profit_2000_rows[[#This Row],[Discount %]]=0,"Zero Discount",IF(discount_impact_on_profit_2000_rows[[#This Row],[Discount %]]&lt;=10,"Low Discount","High Discount"))</f>
        <v>Low Discount</v>
      </c>
      <c r="N1776" t="str">
        <f t="shared" si="27"/>
        <v>0-10%</v>
      </c>
    </row>
    <row r="1777" spans="1:14">
      <c r="A1777" s="1">
        <v>45008</v>
      </c>
      <c r="B1777" t="s">
        <v>1839</v>
      </c>
      <c r="C1777" t="s">
        <v>11</v>
      </c>
      <c r="D1777" t="s">
        <v>207</v>
      </c>
      <c r="E1777">
        <v>5557.28</v>
      </c>
      <c r="F1777" t="s">
        <v>26</v>
      </c>
      <c r="G1777">
        <v>10745.02</v>
      </c>
      <c r="H1777">
        <v>5187.74</v>
      </c>
      <c r="I1777">
        <v>20</v>
      </c>
      <c r="J1777">
        <v>8</v>
      </c>
      <c r="K1777" t="str">
        <f>TEXT(discount_impact_on_profit_2000_rows[[#This Row],[order date]],"mmmm")</f>
        <v>March</v>
      </c>
      <c r="L1777">
        <f>YEAR(discount_impact_on_profit_2000_rows[[#This Row],[order date]])</f>
        <v>2023</v>
      </c>
      <c r="M1777" t="str">
        <f>IF(discount_impact_on_profit_2000_rows[[#This Row],[Discount %]]=0,"Zero Discount",IF(discount_impact_on_profit_2000_rows[[#This Row],[Discount %]]&lt;=10,"Low Discount","High Discount"))</f>
        <v>High Discount</v>
      </c>
      <c r="N1777" t="str">
        <f t="shared" si="27"/>
        <v>10-20%</v>
      </c>
    </row>
    <row r="1778" spans="1:14">
      <c r="A1778" s="1">
        <v>45774</v>
      </c>
      <c r="B1778" t="s">
        <v>1840</v>
      </c>
      <c r="C1778" t="s">
        <v>11</v>
      </c>
      <c r="D1778" t="s">
        <v>30</v>
      </c>
      <c r="E1778">
        <v>173.08</v>
      </c>
      <c r="F1778" t="s">
        <v>36</v>
      </c>
      <c r="G1778">
        <v>339.39</v>
      </c>
      <c r="H1778">
        <v>166.31</v>
      </c>
      <c r="I1778">
        <v>10</v>
      </c>
      <c r="J1778">
        <v>1</v>
      </c>
      <c r="K1778" t="str">
        <f>TEXT(discount_impact_on_profit_2000_rows[[#This Row],[order date]],"mmmm")</f>
        <v>April</v>
      </c>
      <c r="L1778">
        <f>YEAR(discount_impact_on_profit_2000_rows[[#This Row],[order date]])</f>
        <v>2025</v>
      </c>
      <c r="M1778" t="str">
        <f>IF(discount_impact_on_profit_2000_rows[[#This Row],[Discount %]]=0,"Zero Discount",IF(discount_impact_on_profit_2000_rows[[#This Row],[Discount %]]&lt;=10,"Low Discount","High Discount"))</f>
        <v>Low Discount</v>
      </c>
      <c r="N1778" t="str">
        <f t="shared" si="27"/>
        <v>0-10%</v>
      </c>
    </row>
    <row r="1779" spans="1:14">
      <c r="A1779" s="1">
        <v>44937</v>
      </c>
      <c r="B1779" t="s">
        <v>1841</v>
      </c>
      <c r="C1779" t="s">
        <v>15</v>
      </c>
      <c r="D1779" t="s">
        <v>28</v>
      </c>
      <c r="E1779">
        <v>6142.8</v>
      </c>
      <c r="F1779" t="s">
        <v>31</v>
      </c>
      <c r="G1779">
        <v>6864.76</v>
      </c>
      <c r="H1779">
        <v>721.96</v>
      </c>
      <c r="I1779">
        <v>20</v>
      </c>
      <c r="J1779">
        <v>4</v>
      </c>
      <c r="K1779" t="str">
        <f>TEXT(discount_impact_on_profit_2000_rows[[#This Row],[order date]],"mmmm")</f>
        <v>January</v>
      </c>
      <c r="L1779">
        <f>YEAR(discount_impact_on_profit_2000_rows[[#This Row],[order date]])</f>
        <v>2023</v>
      </c>
      <c r="M1779" t="str">
        <f>IF(discount_impact_on_profit_2000_rows[[#This Row],[Discount %]]=0,"Zero Discount",IF(discount_impact_on_profit_2000_rows[[#This Row],[Discount %]]&lt;=10,"Low Discount","High Discount"))</f>
        <v>High Discount</v>
      </c>
      <c r="N1779" t="str">
        <f t="shared" si="27"/>
        <v>10-20%</v>
      </c>
    </row>
    <row r="1780" spans="1:14">
      <c r="A1780" s="1">
        <v>45938</v>
      </c>
      <c r="B1780" t="s">
        <v>1842</v>
      </c>
      <c r="C1780" t="s">
        <v>21</v>
      </c>
      <c r="D1780" t="s">
        <v>46</v>
      </c>
      <c r="E1780">
        <v>33856.15</v>
      </c>
      <c r="F1780" t="s">
        <v>36</v>
      </c>
      <c r="G1780">
        <v>35179.39</v>
      </c>
      <c r="H1780">
        <v>1323.24</v>
      </c>
      <c r="I1780">
        <v>15</v>
      </c>
      <c r="J1780">
        <v>5</v>
      </c>
      <c r="K1780" t="str">
        <f>TEXT(discount_impact_on_profit_2000_rows[[#This Row],[order date]],"mmmm")</f>
        <v>October</v>
      </c>
      <c r="L1780">
        <f>YEAR(discount_impact_on_profit_2000_rows[[#This Row],[order date]])</f>
        <v>2025</v>
      </c>
      <c r="M1780" t="str">
        <f>IF(discount_impact_on_profit_2000_rows[[#This Row],[Discount %]]=0,"Zero Discount",IF(discount_impact_on_profit_2000_rows[[#This Row],[Discount %]]&lt;=10,"Low Discount","High Discount"))</f>
        <v>High Discount</v>
      </c>
      <c r="N1780" t="str">
        <f t="shared" si="27"/>
        <v>10-20%</v>
      </c>
    </row>
    <row r="1781" spans="1:14">
      <c r="A1781" s="1">
        <v>45305</v>
      </c>
      <c r="B1781" t="s">
        <v>1843</v>
      </c>
      <c r="C1781" t="s">
        <v>53</v>
      </c>
      <c r="D1781" t="s">
        <v>113</v>
      </c>
      <c r="E1781">
        <v>1026.81</v>
      </c>
      <c r="F1781" t="s">
        <v>23</v>
      </c>
      <c r="G1781">
        <v>1721.62</v>
      </c>
      <c r="H1781">
        <v>694.81</v>
      </c>
      <c r="I1781">
        <v>15</v>
      </c>
      <c r="J1781">
        <v>3</v>
      </c>
      <c r="K1781" t="str">
        <f>TEXT(discount_impact_on_profit_2000_rows[[#This Row],[order date]],"mmmm")</f>
        <v>January</v>
      </c>
      <c r="L1781">
        <f>YEAR(discount_impact_on_profit_2000_rows[[#This Row],[order date]])</f>
        <v>2024</v>
      </c>
      <c r="M1781" t="str">
        <f>IF(discount_impact_on_profit_2000_rows[[#This Row],[Discount %]]=0,"Zero Discount",IF(discount_impact_on_profit_2000_rows[[#This Row],[Discount %]]&lt;=10,"Low Discount","High Discount"))</f>
        <v>High Discount</v>
      </c>
      <c r="N1781" t="str">
        <f t="shared" si="27"/>
        <v>10-20%</v>
      </c>
    </row>
    <row r="1782" spans="1:14">
      <c r="A1782" s="1">
        <v>45872</v>
      </c>
      <c r="B1782" t="s">
        <v>1844</v>
      </c>
      <c r="C1782" t="s">
        <v>15</v>
      </c>
      <c r="D1782" t="s">
        <v>99</v>
      </c>
      <c r="E1782">
        <v>2774.85</v>
      </c>
      <c r="F1782" t="s">
        <v>26</v>
      </c>
      <c r="G1782">
        <v>3744.88</v>
      </c>
      <c r="H1782">
        <v>970.03</v>
      </c>
      <c r="I1782">
        <v>10</v>
      </c>
      <c r="J1782">
        <v>1</v>
      </c>
      <c r="K1782" t="str">
        <f>TEXT(discount_impact_on_profit_2000_rows[[#This Row],[order date]],"mmmm")</f>
        <v>August</v>
      </c>
      <c r="L1782">
        <f>YEAR(discount_impact_on_profit_2000_rows[[#This Row],[order date]])</f>
        <v>2025</v>
      </c>
      <c r="M1782" t="str">
        <f>IF(discount_impact_on_profit_2000_rows[[#This Row],[Discount %]]=0,"Zero Discount",IF(discount_impact_on_profit_2000_rows[[#This Row],[Discount %]]&lt;=10,"Low Discount","High Discount"))</f>
        <v>Low Discount</v>
      </c>
      <c r="N1782" t="str">
        <f t="shared" si="27"/>
        <v>0-10%</v>
      </c>
    </row>
    <row r="1783" spans="1:14">
      <c r="A1783" s="1">
        <v>45928</v>
      </c>
      <c r="B1783" t="s">
        <v>1845</v>
      </c>
      <c r="C1783" t="s">
        <v>21</v>
      </c>
      <c r="D1783" t="s">
        <v>22</v>
      </c>
      <c r="E1783">
        <v>853.31</v>
      </c>
      <c r="F1783" t="s">
        <v>36</v>
      </c>
      <c r="G1783">
        <v>860.8</v>
      </c>
      <c r="H1783">
        <v>7.49</v>
      </c>
      <c r="I1783">
        <v>15</v>
      </c>
      <c r="J1783">
        <v>1</v>
      </c>
      <c r="K1783" t="str">
        <f>TEXT(discount_impact_on_profit_2000_rows[[#This Row],[order date]],"mmmm")</f>
        <v>September</v>
      </c>
      <c r="L1783">
        <f>YEAR(discount_impact_on_profit_2000_rows[[#This Row],[order date]])</f>
        <v>2025</v>
      </c>
      <c r="M1783" t="str">
        <f>IF(discount_impact_on_profit_2000_rows[[#This Row],[Discount %]]=0,"Zero Discount",IF(discount_impact_on_profit_2000_rows[[#This Row],[Discount %]]&lt;=10,"Low Discount","High Discount"))</f>
        <v>High Discount</v>
      </c>
      <c r="N1783" t="str">
        <f t="shared" si="27"/>
        <v>10-20%</v>
      </c>
    </row>
    <row r="1784" spans="1:14">
      <c r="A1784" s="1">
        <v>45060</v>
      </c>
      <c r="B1784" t="s">
        <v>1846</v>
      </c>
      <c r="C1784" t="s">
        <v>18</v>
      </c>
      <c r="D1784" t="s">
        <v>140</v>
      </c>
      <c r="E1784">
        <v>557.97</v>
      </c>
      <c r="F1784" t="s">
        <v>31</v>
      </c>
      <c r="G1784">
        <v>606.01</v>
      </c>
      <c r="H1784">
        <v>48.04</v>
      </c>
      <c r="I1784">
        <v>25</v>
      </c>
      <c r="J1784">
        <v>4</v>
      </c>
      <c r="K1784" t="str">
        <f>TEXT(discount_impact_on_profit_2000_rows[[#This Row],[order date]],"mmmm")</f>
        <v>May</v>
      </c>
      <c r="L1784">
        <f>YEAR(discount_impact_on_profit_2000_rows[[#This Row],[order date]])</f>
        <v>2023</v>
      </c>
      <c r="M1784" t="str">
        <f>IF(discount_impact_on_profit_2000_rows[[#This Row],[Discount %]]=0,"Zero Discount",IF(discount_impact_on_profit_2000_rows[[#This Row],[Discount %]]&lt;=10,"Low Discount","High Discount"))</f>
        <v>High Discount</v>
      </c>
      <c r="N1784" t="str">
        <f t="shared" si="27"/>
        <v>20-30%</v>
      </c>
    </row>
    <row r="1785" spans="1:14">
      <c r="A1785" s="1">
        <v>45459</v>
      </c>
      <c r="B1785" t="s">
        <v>1847</v>
      </c>
      <c r="C1785" t="s">
        <v>53</v>
      </c>
      <c r="D1785" t="s">
        <v>95</v>
      </c>
      <c r="E1785">
        <v>5492.36</v>
      </c>
      <c r="F1785" t="s">
        <v>31</v>
      </c>
      <c r="G1785">
        <v>9393.3799999999992</v>
      </c>
      <c r="H1785">
        <v>3901.02</v>
      </c>
      <c r="I1785">
        <v>15</v>
      </c>
      <c r="J1785">
        <v>4</v>
      </c>
      <c r="K1785" t="str">
        <f>TEXT(discount_impact_on_profit_2000_rows[[#This Row],[order date]],"mmmm")</f>
        <v>June</v>
      </c>
      <c r="L1785">
        <f>YEAR(discount_impact_on_profit_2000_rows[[#This Row],[order date]])</f>
        <v>2024</v>
      </c>
      <c r="M1785" t="str">
        <f>IF(discount_impact_on_profit_2000_rows[[#This Row],[Discount %]]=0,"Zero Discount",IF(discount_impact_on_profit_2000_rows[[#This Row],[Discount %]]&lt;=10,"Low Discount","High Discount"))</f>
        <v>High Discount</v>
      </c>
      <c r="N1785" t="str">
        <f t="shared" si="27"/>
        <v>10-20%</v>
      </c>
    </row>
    <row r="1786" spans="1:14">
      <c r="A1786" s="1">
        <v>45061</v>
      </c>
      <c r="B1786" t="s">
        <v>1848</v>
      </c>
      <c r="C1786" t="s">
        <v>21</v>
      </c>
      <c r="D1786" t="s">
        <v>82</v>
      </c>
      <c r="E1786">
        <v>1721.65</v>
      </c>
      <c r="F1786" t="s">
        <v>13</v>
      </c>
      <c r="G1786">
        <v>1773.3</v>
      </c>
      <c r="H1786">
        <v>51.65</v>
      </c>
      <c r="I1786">
        <v>15</v>
      </c>
      <c r="J1786">
        <v>1</v>
      </c>
      <c r="K1786" t="str">
        <f>TEXT(discount_impact_on_profit_2000_rows[[#This Row],[order date]],"mmmm")</f>
        <v>May</v>
      </c>
      <c r="L1786">
        <f>YEAR(discount_impact_on_profit_2000_rows[[#This Row],[order date]])</f>
        <v>2023</v>
      </c>
      <c r="M1786" t="str">
        <f>IF(discount_impact_on_profit_2000_rows[[#This Row],[Discount %]]=0,"Zero Discount",IF(discount_impact_on_profit_2000_rows[[#This Row],[Discount %]]&lt;=10,"Low Discount","High Discount"))</f>
        <v>High Discount</v>
      </c>
      <c r="N1786" t="str">
        <f t="shared" si="27"/>
        <v>10-20%</v>
      </c>
    </row>
    <row r="1787" spans="1:14">
      <c r="A1787" s="1">
        <v>45786</v>
      </c>
      <c r="B1787" t="s">
        <v>1849</v>
      </c>
      <c r="C1787" t="s">
        <v>21</v>
      </c>
      <c r="D1787" t="s">
        <v>154</v>
      </c>
      <c r="E1787">
        <v>94013.7</v>
      </c>
      <c r="F1787" t="s">
        <v>36</v>
      </c>
      <c r="G1787">
        <v>111027.35</v>
      </c>
      <c r="H1787">
        <v>17013.650000000001</v>
      </c>
      <c r="I1787">
        <v>0</v>
      </c>
      <c r="J1787">
        <v>8</v>
      </c>
      <c r="K1787" t="str">
        <f>TEXT(discount_impact_on_profit_2000_rows[[#This Row],[order date]],"mmmm")</f>
        <v>May</v>
      </c>
      <c r="L1787">
        <f>YEAR(discount_impact_on_profit_2000_rows[[#This Row],[order date]])</f>
        <v>2025</v>
      </c>
      <c r="M1787" t="str">
        <f>IF(discount_impact_on_profit_2000_rows[[#This Row],[Discount %]]=0,"Zero Discount",IF(discount_impact_on_profit_2000_rows[[#This Row],[Discount %]]&lt;=10,"Low Discount","High Discount"))</f>
        <v>Zero Discount</v>
      </c>
      <c r="N1787" t="str">
        <f t="shared" si="27"/>
        <v>0-10%</v>
      </c>
    </row>
    <row r="1788" spans="1:14">
      <c r="A1788" s="1">
        <v>46002</v>
      </c>
      <c r="B1788" t="s">
        <v>1850</v>
      </c>
      <c r="C1788" t="s">
        <v>11</v>
      </c>
      <c r="D1788" t="s">
        <v>12</v>
      </c>
      <c r="E1788">
        <v>11377.76</v>
      </c>
      <c r="F1788" t="s">
        <v>31</v>
      </c>
      <c r="G1788">
        <v>16009.79</v>
      </c>
      <c r="H1788">
        <v>4632.03</v>
      </c>
      <c r="I1788">
        <v>25</v>
      </c>
      <c r="J1788">
        <v>6</v>
      </c>
      <c r="K1788" t="str">
        <f>TEXT(discount_impact_on_profit_2000_rows[[#This Row],[order date]],"mmmm")</f>
        <v>December</v>
      </c>
      <c r="L1788">
        <f>YEAR(discount_impact_on_profit_2000_rows[[#This Row],[order date]])</f>
        <v>2025</v>
      </c>
      <c r="M1788" t="str">
        <f>IF(discount_impact_on_profit_2000_rows[[#This Row],[Discount %]]=0,"Zero Discount",IF(discount_impact_on_profit_2000_rows[[#This Row],[Discount %]]&lt;=10,"Low Discount","High Discount"))</f>
        <v>High Discount</v>
      </c>
      <c r="N1788" t="str">
        <f t="shared" si="27"/>
        <v>20-30%</v>
      </c>
    </row>
    <row r="1789" spans="1:14">
      <c r="A1789" s="1">
        <v>45523</v>
      </c>
      <c r="B1789" t="s">
        <v>1851</v>
      </c>
      <c r="C1789" t="s">
        <v>21</v>
      </c>
      <c r="D1789" t="s">
        <v>109</v>
      </c>
      <c r="E1789">
        <v>4177.41</v>
      </c>
      <c r="F1789" t="s">
        <v>23</v>
      </c>
      <c r="G1789">
        <v>4324.1899999999996</v>
      </c>
      <c r="H1789">
        <v>146.78</v>
      </c>
      <c r="I1789">
        <v>20</v>
      </c>
      <c r="J1789">
        <v>1</v>
      </c>
      <c r="K1789" t="str">
        <f>TEXT(discount_impact_on_profit_2000_rows[[#This Row],[order date]],"mmmm")</f>
        <v>August</v>
      </c>
      <c r="L1789">
        <f>YEAR(discount_impact_on_profit_2000_rows[[#This Row],[order date]])</f>
        <v>2024</v>
      </c>
      <c r="M1789" t="str">
        <f>IF(discount_impact_on_profit_2000_rows[[#This Row],[Discount %]]=0,"Zero Discount",IF(discount_impact_on_profit_2000_rows[[#This Row],[Discount %]]&lt;=10,"Low Discount","High Discount"))</f>
        <v>High Discount</v>
      </c>
      <c r="N1789" t="str">
        <f t="shared" si="27"/>
        <v>10-20%</v>
      </c>
    </row>
    <row r="1790" spans="1:14">
      <c r="A1790" s="1">
        <v>45873</v>
      </c>
      <c r="B1790" t="s">
        <v>1852</v>
      </c>
      <c r="C1790" t="s">
        <v>11</v>
      </c>
      <c r="D1790" t="s">
        <v>207</v>
      </c>
      <c r="E1790">
        <v>243.45</v>
      </c>
      <c r="F1790" t="s">
        <v>36</v>
      </c>
      <c r="G1790">
        <v>427.84</v>
      </c>
      <c r="H1790">
        <v>184.39</v>
      </c>
      <c r="I1790">
        <v>30</v>
      </c>
      <c r="J1790">
        <v>1</v>
      </c>
      <c r="K1790" t="str">
        <f>TEXT(discount_impact_on_profit_2000_rows[[#This Row],[order date]],"mmmm")</f>
        <v>August</v>
      </c>
      <c r="L1790">
        <f>YEAR(discount_impact_on_profit_2000_rows[[#This Row],[order date]])</f>
        <v>2025</v>
      </c>
      <c r="M1790" t="str">
        <f>IF(discount_impact_on_profit_2000_rows[[#This Row],[Discount %]]=0,"Zero Discount",IF(discount_impact_on_profit_2000_rows[[#This Row],[Discount %]]&lt;=10,"Low Discount","High Discount"))</f>
        <v>High Discount</v>
      </c>
      <c r="N1790" t="str">
        <f t="shared" si="27"/>
        <v>20-30%</v>
      </c>
    </row>
    <row r="1791" spans="1:14">
      <c r="A1791" s="1">
        <v>45142</v>
      </c>
      <c r="B1791" t="s">
        <v>1853</v>
      </c>
      <c r="C1791" t="s">
        <v>33</v>
      </c>
      <c r="D1791" t="s">
        <v>203</v>
      </c>
      <c r="E1791">
        <v>74829.69</v>
      </c>
      <c r="F1791" t="s">
        <v>26</v>
      </c>
      <c r="G1791">
        <v>87232.39</v>
      </c>
      <c r="H1791">
        <v>12402.7</v>
      </c>
      <c r="I1791">
        <v>10</v>
      </c>
      <c r="J1791">
        <v>5</v>
      </c>
      <c r="K1791" t="str">
        <f>TEXT(discount_impact_on_profit_2000_rows[[#This Row],[order date]],"mmmm")</f>
        <v>August</v>
      </c>
      <c r="L1791">
        <f>YEAR(discount_impact_on_profit_2000_rows[[#This Row],[order date]])</f>
        <v>2023</v>
      </c>
      <c r="M1791" t="str">
        <f>IF(discount_impact_on_profit_2000_rows[[#This Row],[Discount %]]=0,"Zero Discount",IF(discount_impact_on_profit_2000_rows[[#This Row],[Discount %]]&lt;=10,"Low Discount","High Discount"))</f>
        <v>Low Discount</v>
      </c>
      <c r="N1791" t="str">
        <f t="shared" si="27"/>
        <v>0-10%</v>
      </c>
    </row>
    <row r="1792" spans="1:14">
      <c r="A1792" s="1">
        <v>45468</v>
      </c>
      <c r="B1792" t="s">
        <v>1854</v>
      </c>
      <c r="C1792" t="s">
        <v>18</v>
      </c>
      <c r="D1792" t="s">
        <v>19</v>
      </c>
      <c r="E1792">
        <v>137.5</v>
      </c>
      <c r="F1792" t="s">
        <v>36</v>
      </c>
      <c r="G1792">
        <v>158.91999999999999</v>
      </c>
      <c r="H1792">
        <v>21.42</v>
      </c>
      <c r="I1792">
        <v>30</v>
      </c>
      <c r="J1792">
        <v>1</v>
      </c>
      <c r="K1792" t="str">
        <f>TEXT(discount_impact_on_profit_2000_rows[[#This Row],[order date]],"mmmm")</f>
        <v>June</v>
      </c>
      <c r="L1792">
        <f>YEAR(discount_impact_on_profit_2000_rows[[#This Row],[order date]])</f>
        <v>2024</v>
      </c>
      <c r="M1792" t="str">
        <f>IF(discount_impact_on_profit_2000_rows[[#This Row],[Discount %]]=0,"Zero Discount",IF(discount_impact_on_profit_2000_rows[[#This Row],[Discount %]]&lt;=10,"Low Discount","High Discount"))</f>
        <v>High Discount</v>
      </c>
      <c r="N1792" t="str">
        <f t="shared" si="27"/>
        <v>20-30%</v>
      </c>
    </row>
    <row r="1793" spans="1:14">
      <c r="A1793" s="1">
        <v>45301</v>
      </c>
      <c r="B1793" t="s">
        <v>1855</v>
      </c>
      <c r="C1793" t="s">
        <v>11</v>
      </c>
      <c r="D1793" t="s">
        <v>207</v>
      </c>
      <c r="E1793">
        <v>11660.13</v>
      </c>
      <c r="F1793" t="s">
        <v>13</v>
      </c>
      <c r="G1793">
        <v>23548.36</v>
      </c>
      <c r="H1793">
        <v>11888.23</v>
      </c>
      <c r="I1793">
        <v>20</v>
      </c>
      <c r="J1793">
        <v>8</v>
      </c>
      <c r="K1793" t="str">
        <f>TEXT(discount_impact_on_profit_2000_rows[[#This Row],[order date]],"mmmm")</f>
        <v>January</v>
      </c>
      <c r="L1793">
        <f>YEAR(discount_impact_on_profit_2000_rows[[#This Row],[order date]])</f>
        <v>2024</v>
      </c>
      <c r="M1793" t="str">
        <f>IF(discount_impact_on_profit_2000_rows[[#This Row],[Discount %]]=0,"Zero Discount",IF(discount_impact_on_profit_2000_rows[[#This Row],[Discount %]]&lt;=10,"Low Discount","High Discount"))</f>
        <v>High Discount</v>
      </c>
      <c r="N1793" t="str">
        <f t="shared" si="27"/>
        <v>10-20%</v>
      </c>
    </row>
    <row r="1794" spans="1:14">
      <c r="A1794" s="1">
        <v>45000</v>
      </c>
      <c r="B1794" t="s">
        <v>1856</v>
      </c>
      <c r="C1794" t="s">
        <v>53</v>
      </c>
      <c r="D1794" t="s">
        <v>54</v>
      </c>
      <c r="E1794">
        <v>828.2</v>
      </c>
      <c r="F1794" t="s">
        <v>23</v>
      </c>
      <c r="G1794">
        <v>1317.37</v>
      </c>
      <c r="H1794">
        <v>489.17</v>
      </c>
      <c r="I1794">
        <v>10</v>
      </c>
      <c r="J1794">
        <v>1</v>
      </c>
      <c r="K1794" t="str">
        <f>TEXT(discount_impact_on_profit_2000_rows[[#This Row],[order date]],"mmmm")</f>
        <v>March</v>
      </c>
      <c r="L1794">
        <f>YEAR(discount_impact_on_profit_2000_rows[[#This Row],[order date]])</f>
        <v>2023</v>
      </c>
      <c r="M1794" t="str">
        <f>IF(discount_impact_on_profit_2000_rows[[#This Row],[Discount %]]=0,"Zero Discount",IF(discount_impact_on_profit_2000_rows[[#This Row],[Discount %]]&lt;=10,"Low Discount","High Discount"))</f>
        <v>Low Discount</v>
      </c>
      <c r="N1794" t="str">
        <f t="shared" ref="N1794:N1857" si="28">IF(I1794&lt;=10,"0-10%",IF(I1794&lt;=20,"10-20%",IF(I1794&lt;=30,"20-30%","30%+")))</f>
        <v>0-10%</v>
      </c>
    </row>
    <row r="1795" spans="1:14">
      <c r="A1795" s="1">
        <v>45039</v>
      </c>
      <c r="B1795" t="s">
        <v>1857</v>
      </c>
      <c r="C1795" t="s">
        <v>53</v>
      </c>
      <c r="D1795" t="s">
        <v>95</v>
      </c>
      <c r="E1795">
        <v>2579.7600000000002</v>
      </c>
      <c r="F1795" t="s">
        <v>26</v>
      </c>
      <c r="G1795">
        <v>3787.57</v>
      </c>
      <c r="H1795">
        <v>1207.81</v>
      </c>
      <c r="I1795">
        <v>10</v>
      </c>
      <c r="J1795">
        <v>1</v>
      </c>
      <c r="K1795" t="str">
        <f>TEXT(discount_impact_on_profit_2000_rows[[#This Row],[order date]],"mmmm")</f>
        <v>April</v>
      </c>
      <c r="L1795">
        <f>YEAR(discount_impact_on_profit_2000_rows[[#This Row],[order date]])</f>
        <v>2023</v>
      </c>
      <c r="M1795" t="str">
        <f>IF(discount_impact_on_profit_2000_rows[[#This Row],[Discount %]]=0,"Zero Discount",IF(discount_impact_on_profit_2000_rows[[#This Row],[Discount %]]&lt;=10,"Low Discount","High Discount"))</f>
        <v>Low Discount</v>
      </c>
      <c r="N1795" t="str">
        <f t="shared" si="28"/>
        <v>0-10%</v>
      </c>
    </row>
    <row r="1796" spans="1:14">
      <c r="A1796" s="1">
        <v>45371</v>
      </c>
      <c r="B1796" t="s">
        <v>1858</v>
      </c>
      <c r="C1796" t="s">
        <v>18</v>
      </c>
      <c r="D1796" t="s">
        <v>42</v>
      </c>
      <c r="E1796">
        <v>61.48</v>
      </c>
      <c r="F1796" t="s">
        <v>31</v>
      </c>
      <c r="G1796">
        <v>107.31</v>
      </c>
      <c r="H1796">
        <v>45.83</v>
      </c>
      <c r="I1796">
        <v>25</v>
      </c>
      <c r="J1796">
        <v>1</v>
      </c>
      <c r="K1796" t="str">
        <f>TEXT(discount_impact_on_profit_2000_rows[[#This Row],[order date]],"mmmm")</f>
        <v>March</v>
      </c>
      <c r="L1796">
        <f>YEAR(discount_impact_on_profit_2000_rows[[#This Row],[order date]])</f>
        <v>2024</v>
      </c>
      <c r="M1796" t="str">
        <f>IF(discount_impact_on_profit_2000_rows[[#This Row],[Discount %]]=0,"Zero Discount",IF(discount_impact_on_profit_2000_rows[[#This Row],[Discount %]]&lt;=10,"Low Discount","High Discount"))</f>
        <v>High Discount</v>
      </c>
      <c r="N1796" t="str">
        <f t="shared" si="28"/>
        <v>20-30%</v>
      </c>
    </row>
    <row r="1797" spans="1:14">
      <c r="A1797" s="1">
        <v>45504</v>
      </c>
      <c r="B1797" t="s">
        <v>1859</v>
      </c>
      <c r="C1797" t="s">
        <v>21</v>
      </c>
      <c r="D1797" t="s">
        <v>46</v>
      </c>
      <c r="E1797">
        <v>64239.53</v>
      </c>
      <c r="F1797" t="s">
        <v>13</v>
      </c>
      <c r="G1797">
        <v>68824.39</v>
      </c>
      <c r="H1797">
        <v>4584.8599999999997</v>
      </c>
      <c r="I1797">
        <v>20</v>
      </c>
      <c r="J1797">
        <v>4</v>
      </c>
      <c r="K1797" t="str">
        <f>TEXT(discount_impact_on_profit_2000_rows[[#This Row],[order date]],"mmmm")</f>
        <v>July</v>
      </c>
      <c r="L1797">
        <f>YEAR(discount_impact_on_profit_2000_rows[[#This Row],[order date]])</f>
        <v>2024</v>
      </c>
      <c r="M1797" t="str">
        <f>IF(discount_impact_on_profit_2000_rows[[#This Row],[Discount %]]=0,"Zero Discount",IF(discount_impact_on_profit_2000_rows[[#This Row],[Discount %]]&lt;=10,"Low Discount","High Discount"))</f>
        <v>High Discount</v>
      </c>
      <c r="N1797" t="str">
        <f t="shared" si="28"/>
        <v>10-20%</v>
      </c>
    </row>
    <row r="1798" spans="1:14">
      <c r="A1798" s="1">
        <v>45510</v>
      </c>
      <c r="B1798" t="s">
        <v>1860</v>
      </c>
      <c r="C1798" t="s">
        <v>18</v>
      </c>
      <c r="D1798" t="s">
        <v>42</v>
      </c>
      <c r="E1798">
        <v>449.39</v>
      </c>
      <c r="F1798" t="s">
        <v>23</v>
      </c>
      <c r="G1798">
        <v>557.6</v>
      </c>
      <c r="H1798">
        <v>108.21</v>
      </c>
      <c r="I1798">
        <v>15</v>
      </c>
      <c r="J1798">
        <v>4</v>
      </c>
      <c r="K1798" t="str">
        <f>TEXT(discount_impact_on_profit_2000_rows[[#This Row],[order date]],"mmmm")</f>
        <v>August</v>
      </c>
      <c r="L1798">
        <f>YEAR(discount_impact_on_profit_2000_rows[[#This Row],[order date]])</f>
        <v>2024</v>
      </c>
      <c r="M1798" t="str">
        <f>IF(discount_impact_on_profit_2000_rows[[#This Row],[Discount %]]=0,"Zero Discount",IF(discount_impact_on_profit_2000_rows[[#This Row],[Discount %]]&lt;=10,"Low Discount","High Discount"))</f>
        <v>High Discount</v>
      </c>
      <c r="N1798" t="str">
        <f t="shared" si="28"/>
        <v>10-20%</v>
      </c>
    </row>
    <row r="1799" spans="1:14">
      <c r="A1799" s="1">
        <v>45826</v>
      </c>
      <c r="B1799" t="s">
        <v>1861</v>
      </c>
      <c r="C1799" t="s">
        <v>11</v>
      </c>
      <c r="D1799" t="s">
        <v>38</v>
      </c>
      <c r="E1799">
        <v>2329.86</v>
      </c>
      <c r="F1799" t="s">
        <v>23</v>
      </c>
      <c r="G1799">
        <v>5913.29</v>
      </c>
      <c r="H1799">
        <v>3583.43</v>
      </c>
      <c r="I1799">
        <v>0</v>
      </c>
      <c r="J1799">
        <v>3</v>
      </c>
      <c r="K1799" t="str">
        <f>TEXT(discount_impact_on_profit_2000_rows[[#This Row],[order date]],"mmmm")</f>
        <v>June</v>
      </c>
      <c r="L1799">
        <f>YEAR(discount_impact_on_profit_2000_rows[[#This Row],[order date]])</f>
        <v>2025</v>
      </c>
      <c r="M1799" t="str">
        <f>IF(discount_impact_on_profit_2000_rows[[#This Row],[Discount %]]=0,"Zero Discount",IF(discount_impact_on_profit_2000_rows[[#This Row],[Discount %]]&lt;=10,"Low Discount","High Discount"))</f>
        <v>Zero Discount</v>
      </c>
      <c r="N1799" t="str">
        <f t="shared" si="28"/>
        <v>0-10%</v>
      </c>
    </row>
    <row r="1800" spans="1:14">
      <c r="A1800" s="1">
        <v>45087</v>
      </c>
      <c r="B1800" t="s">
        <v>1862</v>
      </c>
      <c r="C1800" t="s">
        <v>11</v>
      </c>
      <c r="D1800" t="s">
        <v>38</v>
      </c>
      <c r="E1800">
        <v>1088.1500000000001</v>
      </c>
      <c r="F1800" t="s">
        <v>31</v>
      </c>
      <c r="G1800">
        <v>2783.32</v>
      </c>
      <c r="H1800">
        <v>1695.17</v>
      </c>
      <c r="I1800">
        <v>0</v>
      </c>
      <c r="J1800">
        <v>5</v>
      </c>
      <c r="K1800" t="str">
        <f>TEXT(discount_impact_on_profit_2000_rows[[#This Row],[order date]],"mmmm")</f>
        <v>June</v>
      </c>
      <c r="L1800">
        <f>YEAR(discount_impact_on_profit_2000_rows[[#This Row],[order date]])</f>
        <v>2023</v>
      </c>
      <c r="M1800" t="str">
        <f>IF(discount_impact_on_profit_2000_rows[[#This Row],[Discount %]]=0,"Zero Discount",IF(discount_impact_on_profit_2000_rows[[#This Row],[Discount %]]&lt;=10,"Low Discount","High Discount"))</f>
        <v>Zero Discount</v>
      </c>
      <c r="N1800" t="str">
        <f t="shared" si="28"/>
        <v>0-10%</v>
      </c>
    </row>
    <row r="1801" spans="1:14">
      <c r="A1801" s="1">
        <v>45215</v>
      </c>
      <c r="B1801" t="s">
        <v>1863</v>
      </c>
      <c r="C1801" t="s">
        <v>18</v>
      </c>
      <c r="D1801" t="s">
        <v>50</v>
      </c>
      <c r="E1801">
        <v>401.51</v>
      </c>
      <c r="F1801" t="s">
        <v>13</v>
      </c>
      <c r="G1801">
        <v>823.24</v>
      </c>
      <c r="H1801">
        <v>421.73</v>
      </c>
      <c r="I1801">
        <v>0</v>
      </c>
      <c r="J1801">
        <v>5</v>
      </c>
      <c r="K1801" t="str">
        <f>TEXT(discount_impact_on_profit_2000_rows[[#This Row],[order date]],"mmmm")</f>
        <v>October</v>
      </c>
      <c r="L1801">
        <f>YEAR(discount_impact_on_profit_2000_rows[[#This Row],[order date]])</f>
        <v>2023</v>
      </c>
      <c r="M1801" t="str">
        <f>IF(discount_impact_on_profit_2000_rows[[#This Row],[Discount %]]=0,"Zero Discount",IF(discount_impact_on_profit_2000_rows[[#This Row],[Discount %]]&lt;=10,"Low Discount","High Discount"))</f>
        <v>Zero Discount</v>
      </c>
      <c r="N1801" t="str">
        <f t="shared" si="28"/>
        <v>0-10%</v>
      </c>
    </row>
    <row r="1802" spans="1:14">
      <c r="A1802" s="1">
        <v>45913</v>
      </c>
      <c r="B1802" t="s">
        <v>1864</v>
      </c>
      <c r="C1802" t="s">
        <v>53</v>
      </c>
      <c r="D1802" t="s">
        <v>78</v>
      </c>
      <c r="E1802">
        <v>2389.17</v>
      </c>
      <c r="F1802" t="s">
        <v>26</v>
      </c>
      <c r="G1802">
        <v>2466.9899999999998</v>
      </c>
      <c r="H1802">
        <v>77.819999999999993</v>
      </c>
      <c r="I1802">
        <v>30</v>
      </c>
      <c r="J1802">
        <v>4</v>
      </c>
      <c r="K1802" t="str">
        <f>TEXT(discount_impact_on_profit_2000_rows[[#This Row],[order date]],"mmmm")</f>
        <v>September</v>
      </c>
      <c r="L1802">
        <f>YEAR(discount_impact_on_profit_2000_rows[[#This Row],[order date]])</f>
        <v>2025</v>
      </c>
      <c r="M1802" t="str">
        <f>IF(discount_impact_on_profit_2000_rows[[#This Row],[Discount %]]=0,"Zero Discount",IF(discount_impact_on_profit_2000_rows[[#This Row],[Discount %]]&lt;=10,"Low Discount","High Discount"))</f>
        <v>High Discount</v>
      </c>
      <c r="N1802" t="str">
        <f t="shared" si="28"/>
        <v>20-30%</v>
      </c>
    </row>
    <row r="1803" spans="1:14">
      <c r="A1803" s="1">
        <v>45072</v>
      </c>
      <c r="B1803" t="s">
        <v>1865</v>
      </c>
      <c r="C1803" t="s">
        <v>53</v>
      </c>
      <c r="D1803" t="s">
        <v>78</v>
      </c>
      <c r="E1803">
        <v>4179.43</v>
      </c>
      <c r="F1803" t="s">
        <v>31</v>
      </c>
      <c r="G1803">
        <v>6866.11</v>
      </c>
      <c r="H1803">
        <v>2686.68</v>
      </c>
      <c r="I1803">
        <v>10</v>
      </c>
      <c r="J1803">
        <v>3</v>
      </c>
      <c r="K1803" t="str">
        <f>TEXT(discount_impact_on_profit_2000_rows[[#This Row],[order date]],"mmmm")</f>
        <v>May</v>
      </c>
      <c r="L1803">
        <f>YEAR(discount_impact_on_profit_2000_rows[[#This Row],[order date]])</f>
        <v>2023</v>
      </c>
      <c r="M1803" t="str">
        <f>IF(discount_impact_on_profit_2000_rows[[#This Row],[Discount %]]=0,"Zero Discount",IF(discount_impact_on_profit_2000_rows[[#This Row],[Discount %]]&lt;=10,"Low Discount","High Discount"))</f>
        <v>Low Discount</v>
      </c>
      <c r="N1803" t="str">
        <f t="shared" si="28"/>
        <v>0-10%</v>
      </c>
    </row>
    <row r="1804" spans="1:14">
      <c r="A1804" s="1">
        <v>45442</v>
      </c>
      <c r="B1804" t="s">
        <v>1866</v>
      </c>
      <c r="C1804" t="s">
        <v>18</v>
      </c>
      <c r="D1804" t="s">
        <v>50</v>
      </c>
      <c r="E1804">
        <v>171.23</v>
      </c>
      <c r="F1804" t="s">
        <v>36</v>
      </c>
      <c r="G1804">
        <v>222.25</v>
      </c>
      <c r="H1804">
        <v>51.02</v>
      </c>
      <c r="I1804">
        <v>10</v>
      </c>
      <c r="J1804">
        <v>3</v>
      </c>
      <c r="K1804" t="str">
        <f>TEXT(discount_impact_on_profit_2000_rows[[#This Row],[order date]],"mmmm")</f>
        <v>May</v>
      </c>
      <c r="L1804">
        <f>YEAR(discount_impact_on_profit_2000_rows[[#This Row],[order date]])</f>
        <v>2024</v>
      </c>
      <c r="M1804" t="str">
        <f>IF(discount_impact_on_profit_2000_rows[[#This Row],[Discount %]]=0,"Zero Discount",IF(discount_impact_on_profit_2000_rows[[#This Row],[Discount %]]&lt;=10,"Low Discount","High Discount"))</f>
        <v>Low Discount</v>
      </c>
      <c r="N1804" t="str">
        <f t="shared" si="28"/>
        <v>0-10%</v>
      </c>
    </row>
    <row r="1805" spans="1:14">
      <c r="A1805" s="1">
        <v>45340</v>
      </c>
      <c r="B1805" t="s">
        <v>1867</v>
      </c>
      <c r="C1805" t="s">
        <v>33</v>
      </c>
      <c r="D1805" t="s">
        <v>92</v>
      </c>
      <c r="E1805">
        <v>14742.78</v>
      </c>
      <c r="F1805" t="s">
        <v>23</v>
      </c>
      <c r="G1805">
        <v>14801.89</v>
      </c>
      <c r="H1805">
        <v>59.11</v>
      </c>
      <c r="I1805">
        <v>23</v>
      </c>
      <c r="J1805">
        <v>3</v>
      </c>
      <c r="K1805" t="str">
        <f>TEXT(discount_impact_on_profit_2000_rows[[#This Row],[order date]],"mmmm")</f>
        <v>February</v>
      </c>
      <c r="L1805">
        <f>YEAR(discount_impact_on_profit_2000_rows[[#This Row],[order date]])</f>
        <v>2024</v>
      </c>
      <c r="M1805" t="str">
        <f>IF(discount_impact_on_profit_2000_rows[[#This Row],[Discount %]]=0,"Zero Discount",IF(discount_impact_on_profit_2000_rows[[#This Row],[Discount %]]&lt;=10,"Low Discount","High Discount"))</f>
        <v>High Discount</v>
      </c>
      <c r="N1805" t="str">
        <f t="shared" si="28"/>
        <v>20-30%</v>
      </c>
    </row>
    <row r="1806" spans="1:14">
      <c r="A1806" s="1">
        <v>45278</v>
      </c>
      <c r="B1806" t="s">
        <v>1868</v>
      </c>
      <c r="C1806" t="s">
        <v>53</v>
      </c>
      <c r="D1806" t="s">
        <v>78</v>
      </c>
      <c r="E1806">
        <v>658.89</v>
      </c>
      <c r="F1806" t="s">
        <v>36</v>
      </c>
      <c r="G1806">
        <v>1074.46</v>
      </c>
      <c r="H1806">
        <v>415.57</v>
      </c>
      <c r="I1806">
        <v>10</v>
      </c>
      <c r="J1806">
        <v>1</v>
      </c>
      <c r="K1806" t="str">
        <f>TEXT(discount_impact_on_profit_2000_rows[[#This Row],[order date]],"mmmm")</f>
        <v>December</v>
      </c>
      <c r="L1806">
        <f>YEAR(discount_impact_on_profit_2000_rows[[#This Row],[order date]])</f>
        <v>2023</v>
      </c>
      <c r="M1806" t="str">
        <f>IF(discount_impact_on_profit_2000_rows[[#This Row],[Discount %]]=0,"Zero Discount",IF(discount_impact_on_profit_2000_rows[[#This Row],[Discount %]]&lt;=10,"Low Discount","High Discount"))</f>
        <v>Low Discount</v>
      </c>
      <c r="N1806" t="str">
        <f t="shared" si="28"/>
        <v>0-10%</v>
      </c>
    </row>
    <row r="1807" spans="1:14">
      <c r="A1807" s="1">
        <v>45568</v>
      </c>
      <c r="B1807" t="s">
        <v>1869</v>
      </c>
      <c r="C1807" t="s">
        <v>18</v>
      </c>
      <c r="D1807" t="s">
        <v>19</v>
      </c>
      <c r="E1807">
        <v>57.26</v>
      </c>
      <c r="F1807" t="s">
        <v>23</v>
      </c>
      <c r="G1807">
        <v>71.78</v>
      </c>
      <c r="H1807">
        <v>14.52</v>
      </c>
      <c r="I1807">
        <v>25</v>
      </c>
      <c r="J1807">
        <v>1</v>
      </c>
      <c r="K1807" t="str">
        <f>TEXT(discount_impact_on_profit_2000_rows[[#This Row],[order date]],"mmmm")</f>
        <v>October</v>
      </c>
      <c r="L1807">
        <f>YEAR(discount_impact_on_profit_2000_rows[[#This Row],[order date]])</f>
        <v>2024</v>
      </c>
      <c r="M1807" t="str">
        <f>IF(discount_impact_on_profit_2000_rows[[#This Row],[Discount %]]=0,"Zero Discount",IF(discount_impact_on_profit_2000_rows[[#This Row],[Discount %]]&lt;=10,"Low Discount","High Discount"))</f>
        <v>High Discount</v>
      </c>
      <c r="N1807" t="str">
        <f t="shared" si="28"/>
        <v>20-30%</v>
      </c>
    </row>
    <row r="1808" spans="1:14">
      <c r="A1808" s="1">
        <v>45503</v>
      </c>
      <c r="B1808" t="s">
        <v>1870</v>
      </c>
      <c r="C1808" t="s">
        <v>18</v>
      </c>
      <c r="D1808" t="s">
        <v>50</v>
      </c>
      <c r="E1808">
        <v>3170.33</v>
      </c>
      <c r="F1808" t="s">
        <v>36</v>
      </c>
      <c r="G1808">
        <v>4076.91</v>
      </c>
      <c r="H1808">
        <v>906.58</v>
      </c>
      <c r="I1808">
        <v>15</v>
      </c>
      <c r="J1808">
        <v>4</v>
      </c>
      <c r="K1808" t="str">
        <f>TEXT(discount_impact_on_profit_2000_rows[[#This Row],[order date]],"mmmm")</f>
        <v>July</v>
      </c>
      <c r="L1808">
        <f>YEAR(discount_impact_on_profit_2000_rows[[#This Row],[order date]])</f>
        <v>2024</v>
      </c>
      <c r="M1808" t="str">
        <f>IF(discount_impact_on_profit_2000_rows[[#This Row],[Discount %]]=0,"Zero Discount",IF(discount_impact_on_profit_2000_rows[[#This Row],[Discount %]]&lt;=10,"Low Discount","High Discount"))</f>
        <v>High Discount</v>
      </c>
      <c r="N1808" t="str">
        <f t="shared" si="28"/>
        <v>10-20%</v>
      </c>
    </row>
    <row r="1809" spans="1:14">
      <c r="A1809" s="1">
        <v>45932</v>
      </c>
      <c r="B1809" t="s">
        <v>1871</v>
      </c>
      <c r="C1809" t="s">
        <v>21</v>
      </c>
      <c r="D1809" t="s">
        <v>46</v>
      </c>
      <c r="E1809">
        <v>2766.5</v>
      </c>
      <c r="F1809" t="s">
        <v>36</v>
      </c>
      <c r="G1809">
        <v>2912.31</v>
      </c>
      <c r="H1809">
        <v>145.81</v>
      </c>
      <c r="I1809">
        <v>20</v>
      </c>
      <c r="J1809">
        <v>4</v>
      </c>
      <c r="K1809" t="str">
        <f>TEXT(discount_impact_on_profit_2000_rows[[#This Row],[order date]],"mmmm")</f>
        <v>October</v>
      </c>
      <c r="L1809">
        <f>YEAR(discount_impact_on_profit_2000_rows[[#This Row],[order date]])</f>
        <v>2025</v>
      </c>
      <c r="M1809" t="str">
        <f>IF(discount_impact_on_profit_2000_rows[[#This Row],[Discount %]]=0,"Zero Discount",IF(discount_impact_on_profit_2000_rows[[#This Row],[Discount %]]&lt;=10,"Low Discount","High Discount"))</f>
        <v>High Discount</v>
      </c>
      <c r="N1809" t="str">
        <f t="shared" si="28"/>
        <v>10-20%</v>
      </c>
    </row>
    <row r="1810" spans="1:14">
      <c r="A1810" s="1">
        <v>45195</v>
      </c>
      <c r="B1810" t="s">
        <v>1872</v>
      </c>
      <c r="C1810" t="s">
        <v>21</v>
      </c>
      <c r="D1810" t="s">
        <v>22</v>
      </c>
      <c r="E1810">
        <v>86068.61</v>
      </c>
      <c r="F1810" t="s">
        <v>26</v>
      </c>
      <c r="G1810">
        <v>90704.62</v>
      </c>
      <c r="H1810">
        <v>4636.01</v>
      </c>
      <c r="I1810">
        <v>25</v>
      </c>
      <c r="J1810">
        <v>6</v>
      </c>
      <c r="K1810" t="str">
        <f>TEXT(discount_impact_on_profit_2000_rows[[#This Row],[order date]],"mmmm")</f>
        <v>September</v>
      </c>
      <c r="L1810">
        <f>YEAR(discount_impact_on_profit_2000_rows[[#This Row],[order date]])</f>
        <v>2023</v>
      </c>
      <c r="M1810" t="str">
        <f>IF(discount_impact_on_profit_2000_rows[[#This Row],[Discount %]]=0,"Zero Discount",IF(discount_impact_on_profit_2000_rows[[#This Row],[Discount %]]&lt;=10,"Low Discount","High Discount"))</f>
        <v>High Discount</v>
      </c>
      <c r="N1810" t="str">
        <f t="shared" si="28"/>
        <v>20-30%</v>
      </c>
    </row>
    <row r="1811" spans="1:14">
      <c r="A1811" s="1">
        <v>45368</v>
      </c>
      <c r="B1811" t="s">
        <v>1873</v>
      </c>
      <c r="C1811" t="s">
        <v>53</v>
      </c>
      <c r="D1811" t="s">
        <v>54</v>
      </c>
      <c r="E1811">
        <v>37023.82</v>
      </c>
      <c r="F1811" t="s">
        <v>23</v>
      </c>
      <c r="G1811">
        <v>62860.13</v>
      </c>
      <c r="H1811">
        <v>25836.31</v>
      </c>
      <c r="I1811">
        <v>0</v>
      </c>
      <c r="J1811">
        <v>10</v>
      </c>
      <c r="K1811" t="str">
        <f>TEXT(discount_impact_on_profit_2000_rows[[#This Row],[order date]],"mmmm")</f>
        <v>March</v>
      </c>
      <c r="L1811">
        <f>YEAR(discount_impact_on_profit_2000_rows[[#This Row],[order date]])</f>
        <v>2024</v>
      </c>
      <c r="M1811" t="str">
        <f>IF(discount_impact_on_profit_2000_rows[[#This Row],[Discount %]]=0,"Zero Discount",IF(discount_impact_on_profit_2000_rows[[#This Row],[Discount %]]&lt;=10,"Low Discount","High Discount"))</f>
        <v>Zero Discount</v>
      </c>
      <c r="N1811" t="str">
        <f t="shared" si="28"/>
        <v>0-10%</v>
      </c>
    </row>
    <row r="1812" spans="1:14">
      <c r="A1812" s="1">
        <v>45402</v>
      </c>
      <c r="B1812" t="s">
        <v>1874</v>
      </c>
      <c r="C1812" t="s">
        <v>53</v>
      </c>
      <c r="D1812" t="s">
        <v>59</v>
      </c>
      <c r="E1812">
        <v>5353.25</v>
      </c>
      <c r="F1812" t="s">
        <v>23</v>
      </c>
      <c r="G1812">
        <v>10660.06</v>
      </c>
      <c r="H1812">
        <v>5306.81</v>
      </c>
      <c r="I1812">
        <v>0</v>
      </c>
      <c r="J1812">
        <v>5</v>
      </c>
      <c r="K1812" t="str">
        <f>TEXT(discount_impact_on_profit_2000_rows[[#This Row],[order date]],"mmmm")</f>
        <v>April</v>
      </c>
      <c r="L1812">
        <f>YEAR(discount_impact_on_profit_2000_rows[[#This Row],[order date]])</f>
        <v>2024</v>
      </c>
      <c r="M1812" t="str">
        <f>IF(discount_impact_on_profit_2000_rows[[#This Row],[Discount %]]=0,"Zero Discount",IF(discount_impact_on_profit_2000_rows[[#This Row],[Discount %]]&lt;=10,"Low Discount","High Discount"))</f>
        <v>Zero Discount</v>
      </c>
      <c r="N1812" t="str">
        <f t="shared" si="28"/>
        <v>0-10%</v>
      </c>
    </row>
    <row r="1813" spans="1:14">
      <c r="A1813" s="1">
        <v>45721</v>
      </c>
      <c r="B1813" t="s">
        <v>1875</v>
      </c>
      <c r="C1813" t="s">
        <v>21</v>
      </c>
      <c r="D1813" t="s">
        <v>123</v>
      </c>
      <c r="E1813">
        <v>13085.68</v>
      </c>
      <c r="F1813" t="s">
        <v>23</v>
      </c>
      <c r="G1813">
        <v>14190.52</v>
      </c>
      <c r="H1813">
        <v>1104.8399999999999</v>
      </c>
      <c r="I1813">
        <v>20</v>
      </c>
      <c r="J1813">
        <v>3</v>
      </c>
      <c r="K1813" t="str">
        <f>TEXT(discount_impact_on_profit_2000_rows[[#This Row],[order date]],"mmmm")</f>
        <v>March</v>
      </c>
      <c r="L1813">
        <f>YEAR(discount_impact_on_profit_2000_rows[[#This Row],[order date]])</f>
        <v>2025</v>
      </c>
      <c r="M1813" t="str">
        <f>IF(discount_impact_on_profit_2000_rows[[#This Row],[Discount %]]=0,"Zero Discount",IF(discount_impact_on_profit_2000_rows[[#This Row],[Discount %]]&lt;=10,"Low Discount","High Discount"))</f>
        <v>High Discount</v>
      </c>
      <c r="N1813" t="str">
        <f t="shared" si="28"/>
        <v>10-20%</v>
      </c>
    </row>
    <row r="1814" spans="1:14">
      <c r="A1814" s="1">
        <v>45532</v>
      </c>
      <c r="B1814" t="s">
        <v>1876</v>
      </c>
      <c r="C1814" t="s">
        <v>53</v>
      </c>
      <c r="D1814" t="s">
        <v>113</v>
      </c>
      <c r="E1814">
        <v>4437.88</v>
      </c>
      <c r="F1814" t="s">
        <v>36</v>
      </c>
      <c r="G1814">
        <v>6461.87</v>
      </c>
      <c r="H1814">
        <v>2023.99</v>
      </c>
      <c r="I1814">
        <v>20</v>
      </c>
      <c r="J1814">
        <v>10</v>
      </c>
      <c r="K1814" t="str">
        <f>TEXT(discount_impact_on_profit_2000_rows[[#This Row],[order date]],"mmmm")</f>
        <v>August</v>
      </c>
      <c r="L1814">
        <f>YEAR(discount_impact_on_profit_2000_rows[[#This Row],[order date]])</f>
        <v>2024</v>
      </c>
      <c r="M1814" t="str">
        <f>IF(discount_impact_on_profit_2000_rows[[#This Row],[Discount %]]=0,"Zero Discount",IF(discount_impact_on_profit_2000_rows[[#This Row],[Discount %]]&lt;=10,"Low Discount","High Discount"))</f>
        <v>High Discount</v>
      </c>
      <c r="N1814" t="str">
        <f t="shared" si="28"/>
        <v>10-20%</v>
      </c>
    </row>
    <row r="1815" spans="1:14">
      <c r="A1815" s="1">
        <v>45351</v>
      </c>
      <c r="B1815" t="s">
        <v>1877</v>
      </c>
      <c r="C1815" t="s">
        <v>11</v>
      </c>
      <c r="D1815" t="s">
        <v>80</v>
      </c>
      <c r="E1815">
        <v>1079.54</v>
      </c>
      <c r="F1815" t="s">
        <v>36</v>
      </c>
      <c r="G1815">
        <v>1356.91</v>
      </c>
      <c r="H1815">
        <v>277.37</v>
      </c>
      <c r="I1815">
        <v>20</v>
      </c>
      <c r="J1815">
        <v>3</v>
      </c>
      <c r="K1815" t="str">
        <f>TEXT(discount_impact_on_profit_2000_rows[[#This Row],[order date]],"mmmm")</f>
        <v>February</v>
      </c>
      <c r="L1815">
        <f>YEAR(discount_impact_on_profit_2000_rows[[#This Row],[order date]])</f>
        <v>2024</v>
      </c>
      <c r="M1815" t="str">
        <f>IF(discount_impact_on_profit_2000_rows[[#This Row],[Discount %]]=0,"Zero Discount",IF(discount_impact_on_profit_2000_rows[[#This Row],[Discount %]]&lt;=10,"Low Discount","High Discount"))</f>
        <v>High Discount</v>
      </c>
      <c r="N1815" t="str">
        <f t="shared" si="28"/>
        <v>10-20%</v>
      </c>
    </row>
    <row r="1816" spans="1:14">
      <c r="A1816" s="1">
        <v>45328</v>
      </c>
      <c r="B1816" t="s">
        <v>1878</v>
      </c>
      <c r="C1816" t="s">
        <v>21</v>
      </c>
      <c r="D1816" t="s">
        <v>97</v>
      </c>
      <c r="E1816">
        <v>4116.84</v>
      </c>
      <c r="F1816" t="s">
        <v>26</v>
      </c>
      <c r="G1816">
        <v>4289.0600000000004</v>
      </c>
      <c r="H1816">
        <v>172.22</v>
      </c>
      <c r="I1816">
        <v>15</v>
      </c>
      <c r="J1816">
        <v>3</v>
      </c>
      <c r="K1816" t="str">
        <f>TEXT(discount_impact_on_profit_2000_rows[[#This Row],[order date]],"mmmm")</f>
        <v>February</v>
      </c>
      <c r="L1816">
        <f>YEAR(discount_impact_on_profit_2000_rows[[#This Row],[order date]])</f>
        <v>2024</v>
      </c>
      <c r="M1816" t="str">
        <f>IF(discount_impact_on_profit_2000_rows[[#This Row],[Discount %]]=0,"Zero Discount",IF(discount_impact_on_profit_2000_rows[[#This Row],[Discount %]]&lt;=10,"Low Discount","High Discount"))</f>
        <v>High Discount</v>
      </c>
      <c r="N1816" t="str">
        <f t="shared" si="28"/>
        <v>10-20%</v>
      </c>
    </row>
    <row r="1817" spans="1:14">
      <c r="A1817" s="1">
        <v>45385</v>
      </c>
      <c r="B1817" t="s">
        <v>1879</v>
      </c>
      <c r="C1817" t="s">
        <v>33</v>
      </c>
      <c r="D1817" t="s">
        <v>197</v>
      </c>
      <c r="E1817">
        <v>4230.07</v>
      </c>
      <c r="F1817" t="s">
        <v>26</v>
      </c>
      <c r="G1817">
        <v>6444.81</v>
      </c>
      <c r="H1817">
        <v>2214.7399999999998</v>
      </c>
      <c r="I1817">
        <v>10</v>
      </c>
      <c r="J1817">
        <v>3</v>
      </c>
      <c r="K1817" t="str">
        <f>TEXT(discount_impact_on_profit_2000_rows[[#This Row],[order date]],"mmmm")</f>
        <v>April</v>
      </c>
      <c r="L1817">
        <f>YEAR(discount_impact_on_profit_2000_rows[[#This Row],[order date]])</f>
        <v>2024</v>
      </c>
      <c r="M1817" t="str">
        <f>IF(discount_impact_on_profit_2000_rows[[#This Row],[Discount %]]=0,"Zero Discount",IF(discount_impact_on_profit_2000_rows[[#This Row],[Discount %]]&lt;=10,"Low Discount","High Discount"))</f>
        <v>Low Discount</v>
      </c>
      <c r="N1817" t="str">
        <f t="shared" si="28"/>
        <v>0-10%</v>
      </c>
    </row>
    <row r="1818" spans="1:14">
      <c r="A1818" s="1">
        <v>45645</v>
      </c>
      <c r="B1818" t="s">
        <v>1880</v>
      </c>
      <c r="C1818" t="s">
        <v>21</v>
      </c>
      <c r="D1818" t="s">
        <v>97</v>
      </c>
      <c r="E1818">
        <v>46710.35</v>
      </c>
      <c r="F1818" t="s">
        <v>26</v>
      </c>
      <c r="G1818">
        <v>59953.42</v>
      </c>
      <c r="H1818">
        <v>13243.07</v>
      </c>
      <c r="I1818">
        <v>5</v>
      </c>
      <c r="J1818">
        <v>6</v>
      </c>
      <c r="K1818" t="str">
        <f>TEXT(discount_impact_on_profit_2000_rows[[#This Row],[order date]],"mmmm")</f>
        <v>December</v>
      </c>
      <c r="L1818">
        <f>YEAR(discount_impact_on_profit_2000_rows[[#This Row],[order date]])</f>
        <v>2024</v>
      </c>
      <c r="M1818" t="str">
        <f>IF(discount_impact_on_profit_2000_rows[[#This Row],[Discount %]]=0,"Zero Discount",IF(discount_impact_on_profit_2000_rows[[#This Row],[Discount %]]&lt;=10,"Low Discount","High Discount"))</f>
        <v>Low Discount</v>
      </c>
      <c r="N1818" t="str">
        <f t="shared" si="28"/>
        <v>0-10%</v>
      </c>
    </row>
    <row r="1819" spans="1:14">
      <c r="A1819" s="1">
        <v>45476</v>
      </c>
      <c r="B1819" t="s">
        <v>1881</v>
      </c>
      <c r="C1819" t="s">
        <v>33</v>
      </c>
      <c r="D1819" t="s">
        <v>92</v>
      </c>
      <c r="E1819">
        <v>17094.29</v>
      </c>
      <c r="F1819" t="s">
        <v>23</v>
      </c>
      <c r="G1819">
        <v>21209.34</v>
      </c>
      <c r="H1819">
        <v>4115.05</v>
      </c>
      <c r="I1819">
        <v>5</v>
      </c>
      <c r="J1819">
        <v>1</v>
      </c>
      <c r="K1819" t="str">
        <f>TEXT(discount_impact_on_profit_2000_rows[[#This Row],[order date]],"mmmm")</f>
        <v>July</v>
      </c>
      <c r="L1819">
        <f>YEAR(discount_impact_on_profit_2000_rows[[#This Row],[order date]])</f>
        <v>2024</v>
      </c>
      <c r="M1819" t="str">
        <f>IF(discount_impact_on_profit_2000_rows[[#This Row],[Discount %]]=0,"Zero Discount",IF(discount_impact_on_profit_2000_rows[[#This Row],[Discount %]]&lt;=10,"Low Discount","High Discount"))</f>
        <v>Low Discount</v>
      </c>
      <c r="N1819" t="str">
        <f t="shared" si="28"/>
        <v>0-10%</v>
      </c>
    </row>
    <row r="1820" spans="1:14">
      <c r="A1820" s="1">
        <v>45195</v>
      </c>
      <c r="B1820" t="s">
        <v>1882</v>
      </c>
      <c r="C1820" t="s">
        <v>33</v>
      </c>
      <c r="D1820" t="s">
        <v>273</v>
      </c>
      <c r="E1820">
        <v>6103.63</v>
      </c>
      <c r="F1820" t="s">
        <v>36</v>
      </c>
      <c r="G1820">
        <v>8782.23</v>
      </c>
      <c r="H1820">
        <v>2678.6</v>
      </c>
      <c r="I1820">
        <v>5</v>
      </c>
      <c r="J1820">
        <v>2</v>
      </c>
      <c r="K1820" t="str">
        <f>TEXT(discount_impact_on_profit_2000_rows[[#This Row],[order date]],"mmmm")</f>
        <v>September</v>
      </c>
      <c r="L1820">
        <f>YEAR(discount_impact_on_profit_2000_rows[[#This Row],[order date]])</f>
        <v>2023</v>
      </c>
      <c r="M1820" t="str">
        <f>IF(discount_impact_on_profit_2000_rows[[#This Row],[Discount %]]=0,"Zero Discount",IF(discount_impact_on_profit_2000_rows[[#This Row],[Discount %]]&lt;=10,"Low Discount","High Discount"))</f>
        <v>Low Discount</v>
      </c>
      <c r="N1820" t="str">
        <f t="shared" si="28"/>
        <v>0-10%</v>
      </c>
    </row>
    <row r="1821" spans="1:14">
      <c r="A1821" s="1">
        <v>45855</v>
      </c>
      <c r="B1821" t="s">
        <v>1883</v>
      </c>
      <c r="C1821" t="s">
        <v>11</v>
      </c>
      <c r="D1821" t="s">
        <v>25</v>
      </c>
      <c r="E1821">
        <v>1784.33</v>
      </c>
      <c r="F1821" t="s">
        <v>13</v>
      </c>
      <c r="G1821">
        <v>2487.84</v>
      </c>
      <c r="H1821">
        <v>703.51</v>
      </c>
      <c r="I1821">
        <v>20</v>
      </c>
      <c r="J1821">
        <v>3</v>
      </c>
      <c r="K1821" t="str">
        <f>TEXT(discount_impact_on_profit_2000_rows[[#This Row],[order date]],"mmmm")</f>
        <v>July</v>
      </c>
      <c r="L1821">
        <f>YEAR(discount_impact_on_profit_2000_rows[[#This Row],[order date]])</f>
        <v>2025</v>
      </c>
      <c r="M1821" t="str">
        <f>IF(discount_impact_on_profit_2000_rows[[#This Row],[Discount %]]=0,"Zero Discount",IF(discount_impact_on_profit_2000_rows[[#This Row],[Discount %]]&lt;=10,"Low Discount","High Discount"))</f>
        <v>High Discount</v>
      </c>
      <c r="N1821" t="str">
        <f t="shared" si="28"/>
        <v>10-20%</v>
      </c>
    </row>
    <row r="1822" spans="1:14">
      <c r="A1822" s="1">
        <v>45741</v>
      </c>
      <c r="B1822" t="s">
        <v>1884</v>
      </c>
      <c r="C1822" t="s">
        <v>53</v>
      </c>
      <c r="D1822" t="s">
        <v>113</v>
      </c>
      <c r="E1822">
        <v>516.47</v>
      </c>
      <c r="F1822" t="s">
        <v>23</v>
      </c>
      <c r="G1822">
        <v>746.87</v>
      </c>
      <c r="H1822">
        <v>230.4</v>
      </c>
      <c r="I1822">
        <v>5</v>
      </c>
      <c r="J1822">
        <v>1</v>
      </c>
      <c r="K1822" t="str">
        <f>TEXT(discount_impact_on_profit_2000_rows[[#This Row],[order date]],"mmmm")</f>
        <v>March</v>
      </c>
      <c r="L1822">
        <f>YEAR(discount_impact_on_profit_2000_rows[[#This Row],[order date]])</f>
        <v>2025</v>
      </c>
      <c r="M1822" t="str">
        <f>IF(discount_impact_on_profit_2000_rows[[#This Row],[Discount %]]=0,"Zero Discount",IF(discount_impact_on_profit_2000_rows[[#This Row],[Discount %]]&lt;=10,"Low Discount","High Discount"))</f>
        <v>Low Discount</v>
      </c>
      <c r="N1822" t="str">
        <f t="shared" si="28"/>
        <v>0-10%</v>
      </c>
    </row>
    <row r="1823" spans="1:14">
      <c r="A1823" s="1">
        <v>45434</v>
      </c>
      <c r="B1823" t="s">
        <v>1885</v>
      </c>
      <c r="C1823" t="s">
        <v>18</v>
      </c>
      <c r="D1823" t="s">
        <v>140</v>
      </c>
      <c r="E1823">
        <v>358.89</v>
      </c>
      <c r="F1823" t="s">
        <v>13</v>
      </c>
      <c r="G1823">
        <v>703.43</v>
      </c>
      <c r="H1823">
        <v>344.54</v>
      </c>
      <c r="I1823">
        <v>0</v>
      </c>
      <c r="J1823">
        <v>1</v>
      </c>
      <c r="K1823" t="str">
        <f>TEXT(discount_impact_on_profit_2000_rows[[#This Row],[order date]],"mmmm")</f>
        <v>May</v>
      </c>
      <c r="L1823">
        <f>YEAR(discount_impact_on_profit_2000_rows[[#This Row],[order date]])</f>
        <v>2024</v>
      </c>
      <c r="M1823" t="str">
        <f>IF(discount_impact_on_profit_2000_rows[[#This Row],[Discount %]]=0,"Zero Discount",IF(discount_impact_on_profit_2000_rows[[#This Row],[Discount %]]&lt;=10,"Low Discount","High Discount"))</f>
        <v>Zero Discount</v>
      </c>
      <c r="N1823" t="str">
        <f t="shared" si="28"/>
        <v>0-10%</v>
      </c>
    </row>
    <row r="1824" spans="1:14">
      <c r="A1824" s="1">
        <v>45191</v>
      </c>
      <c r="B1824" t="s">
        <v>1886</v>
      </c>
      <c r="C1824" t="s">
        <v>21</v>
      </c>
      <c r="D1824" t="s">
        <v>57</v>
      </c>
      <c r="E1824">
        <v>2438.11</v>
      </c>
      <c r="F1824" t="s">
        <v>26</v>
      </c>
      <c r="G1824">
        <v>2662.5</v>
      </c>
      <c r="H1824">
        <v>224.39</v>
      </c>
      <c r="I1824">
        <v>20</v>
      </c>
      <c r="J1824">
        <v>2</v>
      </c>
      <c r="K1824" t="str">
        <f>TEXT(discount_impact_on_profit_2000_rows[[#This Row],[order date]],"mmmm")</f>
        <v>September</v>
      </c>
      <c r="L1824">
        <f>YEAR(discount_impact_on_profit_2000_rows[[#This Row],[order date]])</f>
        <v>2023</v>
      </c>
      <c r="M1824" t="str">
        <f>IF(discount_impact_on_profit_2000_rows[[#This Row],[Discount %]]=0,"Zero Discount",IF(discount_impact_on_profit_2000_rows[[#This Row],[Discount %]]&lt;=10,"Low Discount","High Discount"))</f>
        <v>High Discount</v>
      </c>
      <c r="N1824" t="str">
        <f t="shared" si="28"/>
        <v>10-20%</v>
      </c>
    </row>
    <row r="1825" spans="1:14">
      <c r="A1825" s="1">
        <v>45050</v>
      </c>
      <c r="B1825" t="s">
        <v>1887</v>
      </c>
      <c r="C1825" t="s">
        <v>18</v>
      </c>
      <c r="D1825" t="s">
        <v>42</v>
      </c>
      <c r="E1825">
        <v>8122.63</v>
      </c>
      <c r="F1825" t="s">
        <v>26</v>
      </c>
      <c r="G1825">
        <v>13929.7</v>
      </c>
      <c r="H1825">
        <v>5807.07</v>
      </c>
      <c r="I1825">
        <v>15</v>
      </c>
      <c r="J1825">
        <v>10</v>
      </c>
      <c r="K1825" t="str">
        <f>TEXT(discount_impact_on_profit_2000_rows[[#This Row],[order date]],"mmmm")</f>
        <v>May</v>
      </c>
      <c r="L1825">
        <f>YEAR(discount_impact_on_profit_2000_rows[[#This Row],[order date]])</f>
        <v>2023</v>
      </c>
      <c r="M1825" t="str">
        <f>IF(discount_impact_on_profit_2000_rows[[#This Row],[Discount %]]=0,"Zero Discount",IF(discount_impact_on_profit_2000_rows[[#This Row],[Discount %]]&lt;=10,"Low Discount","High Discount"))</f>
        <v>High Discount</v>
      </c>
      <c r="N1825" t="str">
        <f t="shared" si="28"/>
        <v>10-20%</v>
      </c>
    </row>
    <row r="1826" spans="1:14">
      <c r="A1826" s="1">
        <v>45321</v>
      </c>
      <c r="B1826" t="s">
        <v>1888</v>
      </c>
      <c r="C1826" t="s">
        <v>11</v>
      </c>
      <c r="D1826" t="s">
        <v>30</v>
      </c>
      <c r="E1826">
        <v>2909.71</v>
      </c>
      <c r="F1826" t="s">
        <v>13</v>
      </c>
      <c r="G1826">
        <v>3920.74</v>
      </c>
      <c r="H1826">
        <v>1011.03</v>
      </c>
      <c r="I1826">
        <v>20</v>
      </c>
      <c r="J1826">
        <v>5</v>
      </c>
      <c r="K1826" t="str">
        <f>TEXT(discount_impact_on_profit_2000_rows[[#This Row],[order date]],"mmmm")</f>
        <v>January</v>
      </c>
      <c r="L1826">
        <f>YEAR(discount_impact_on_profit_2000_rows[[#This Row],[order date]])</f>
        <v>2024</v>
      </c>
      <c r="M1826" t="str">
        <f>IF(discount_impact_on_profit_2000_rows[[#This Row],[Discount %]]=0,"Zero Discount",IF(discount_impact_on_profit_2000_rows[[#This Row],[Discount %]]&lt;=10,"Low Discount","High Discount"))</f>
        <v>High Discount</v>
      </c>
      <c r="N1826" t="str">
        <f t="shared" si="28"/>
        <v>10-20%</v>
      </c>
    </row>
    <row r="1827" spans="1:14">
      <c r="A1827" s="1">
        <v>45813</v>
      </c>
      <c r="B1827" t="s">
        <v>1889</v>
      </c>
      <c r="C1827" t="s">
        <v>21</v>
      </c>
      <c r="D1827" t="s">
        <v>22</v>
      </c>
      <c r="E1827">
        <v>17624.47</v>
      </c>
      <c r="F1827" t="s">
        <v>36</v>
      </c>
      <c r="G1827">
        <v>23369.3</v>
      </c>
      <c r="H1827">
        <v>5744.83</v>
      </c>
      <c r="I1827">
        <v>10</v>
      </c>
      <c r="J1827">
        <v>1</v>
      </c>
      <c r="K1827" t="str">
        <f>TEXT(discount_impact_on_profit_2000_rows[[#This Row],[order date]],"mmmm")</f>
        <v>June</v>
      </c>
      <c r="L1827">
        <f>YEAR(discount_impact_on_profit_2000_rows[[#This Row],[order date]])</f>
        <v>2025</v>
      </c>
      <c r="M1827" t="str">
        <f>IF(discount_impact_on_profit_2000_rows[[#This Row],[Discount %]]=0,"Zero Discount",IF(discount_impact_on_profit_2000_rows[[#This Row],[Discount %]]&lt;=10,"Low Discount","High Discount"))</f>
        <v>Low Discount</v>
      </c>
      <c r="N1827" t="str">
        <f t="shared" si="28"/>
        <v>0-10%</v>
      </c>
    </row>
    <row r="1828" spans="1:14">
      <c r="A1828" s="1">
        <v>45673</v>
      </c>
      <c r="B1828" t="s">
        <v>1890</v>
      </c>
      <c r="C1828" t="s">
        <v>21</v>
      </c>
      <c r="D1828" t="s">
        <v>97</v>
      </c>
      <c r="E1828">
        <v>10839.54</v>
      </c>
      <c r="F1828" t="s">
        <v>13</v>
      </c>
      <c r="G1828">
        <v>11962.82</v>
      </c>
      <c r="H1828">
        <v>1123.28</v>
      </c>
      <c r="I1828">
        <v>10</v>
      </c>
      <c r="J1828">
        <v>3</v>
      </c>
      <c r="K1828" t="str">
        <f>TEXT(discount_impact_on_profit_2000_rows[[#This Row],[order date]],"mmmm")</f>
        <v>January</v>
      </c>
      <c r="L1828">
        <f>YEAR(discount_impact_on_profit_2000_rows[[#This Row],[order date]])</f>
        <v>2025</v>
      </c>
      <c r="M1828" t="str">
        <f>IF(discount_impact_on_profit_2000_rows[[#This Row],[Discount %]]=0,"Zero Discount",IF(discount_impact_on_profit_2000_rows[[#This Row],[Discount %]]&lt;=10,"Low Discount","High Discount"))</f>
        <v>Low Discount</v>
      </c>
      <c r="N1828" t="str">
        <f t="shared" si="28"/>
        <v>0-10%</v>
      </c>
    </row>
    <row r="1829" spans="1:14">
      <c r="A1829" s="1">
        <v>45488</v>
      </c>
      <c r="B1829" t="s">
        <v>1891</v>
      </c>
      <c r="C1829" t="s">
        <v>18</v>
      </c>
      <c r="D1829" t="s">
        <v>104</v>
      </c>
      <c r="E1829">
        <v>345</v>
      </c>
      <c r="F1829" t="s">
        <v>31</v>
      </c>
      <c r="G1829">
        <v>653.22</v>
      </c>
      <c r="H1829">
        <v>308.22000000000003</v>
      </c>
      <c r="I1829">
        <v>0</v>
      </c>
      <c r="J1829">
        <v>2</v>
      </c>
      <c r="K1829" t="str">
        <f>TEXT(discount_impact_on_profit_2000_rows[[#This Row],[order date]],"mmmm")</f>
        <v>July</v>
      </c>
      <c r="L1829">
        <f>YEAR(discount_impact_on_profit_2000_rows[[#This Row],[order date]])</f>
        <v>2024</v>
      </c>
      <c r="M1829" t="str">
        <f>IF(discount_impact_on_profit_2000_rows[[#This Row],[Discount %]]=0,"Zero Discount",IF(discount_impact_on_profit_2000_rows[[#This Row],[Discount %]]&lt;=10,"Low Discount","High Discount"))</f>
        <v>Zero Discount</v>
      </c>
      <c r="N1829" t="str">
        <f t="shared" si="28"/>
        <v>0-10%</v>
      </c>
    </row>
    <row r="1830" spans="1:14">
      <c r="A1830" s="1">
        <v>45657</v>
      </c>
      <c r="B1830" t="s">
        <v>1892</v>
      </c>
      <c r="C1830" t="s">
        <v>15</v>
      </c>
      <c r="D1830" t="s">
        <v>86</v>
      </c>
      <c r="E1830">
        <v>18199.71</v>
      </c>
      <c r="F1830" t="s">
        <v>13</v>
      </c>
      <c r="G1830">
        <v>27053.18</v>
      </c>
      <c r="H1830">
        <v>8853.4699999999993</v>
      </c>
      <c r="I1830">
        <v>0</v>
      </c>
      <c r="J1830">
        <v>2</v>
      </c>
      <c r="K1830" t="str">
        <f>TEXT(discount_impact_on_profit_2000_rows[[#This Row],[order date]],"mmmm")</f>
        <v>December</v>
      </c>
      <c r="L1830">
        <f>YEAR(discount_impact_on_profit_2000_rows[[#This Row],[order date]])</f>
        <v>2024</v>
      </c>
      <c r="M1830" t="str">
        <f>IF(discount_impact_on_profit_2000_rows[[#This Row],[Discount %]]=0,"Zero Discount",IF(discount_impact_on_profit_2000_rows[[#This Row],[Discount %]]&lt;=10,"Low Discount","High Discount"))</f>
        <v>Zero Discount</v>
      </c>
      <c r="N1830" t="str">
        <f t="shared" si="28"/>
        <v>0-10%</v>
      </c>
    </row>
    <row r="1831" spans="1:14">
      <c r="A1831" s="1">
        <v>45277</v>
      </c>
      <c r="B1831" t="s">
        <v>1893</v>
      </c>
      <c r="C1831" t="s">
        <v>53</v>
      </c>
      <c r="D1831" t="s">
        <v>59</v>
      </c>
      <c r="E1831">
        <v>498.76</v>
      </c>
      <c r="F1831" t="s">
        <v>36</v>
      </c>
      <c r="G1831">
        <v>825.97</v>
      </c>
      <c r="H1831">
        <v>327.20999999999998</v>
      </c>
      <c r="I1831">
        <v>10</v>
      </c>
      <c r="J1831">
        <v>1</v>
      </c>
      <c r="K1831" t="str">
        <f>TEXT(discount_impact_on_profit_2000_rows[[#This Row],[order date]],"mmmm")</f>
        <v>December</v>
      </c>
      <c r="L1831">
        <f>YEAR(discount_impact_on_profit_2000_rows[[#This Row],[order date]])</f>
        <v>2023</v>
      </c>
      <c r="M1831" t="str">
        <f>IF(discount_impact_on_profit_2000_rows[[#This Row],[Discount %]]=0,"Zero Discount",IF(discount_impact_on_profit_2000_rows[[#This Row],[Discount %]]&lt;=10,"Low Discount","High Discount"))</f>
        <v>Low Discount</v>
      </c>
      <c r="N1831" t="str">
        <f t="shared" si="28"/>
        <v>0-10%</v>
      </c>
    </row>
    <row r="1832" spans="1:14">
      <c r="A1832" s="1">
        <v>45255</v>
      </c>
      <c r="B1832" t="s">
        <v>1894</v>
      </c>
      <c r="C1832" t="s">
        <v>15</v>
      </c>
      <c r="D1832" t="s">
        <v>16</v>
      </c>
      <c r="E1832">
        <v>30796.26</v>
      </c>
      <c r="F1832" t="s">
        <v>13</v>
      </c>
      <c r="G1832">
        <v>47307.61</v>
      </c>
      <c r="H1832">
        <v>16511.349999999999</v>
      </c>
      <c r="I1832">
        <v>0</v>
      </c>
      <c r="J1832">
        <v>3</v>
      </c>
      <c r="K1832" t="str">
        <f>TEXT(discount_impact_on_profit_2000_rows[[#This Row],[order date]],"mmmm")</f>
        <v>November</v>
      </c>
      <c r="L1832">
        <f>YEAR(discount_impact_on_profit_2000_rows[[#This Row],[order date]])</f>
        <v>2023</v>
      </c>
      <c r="M1832" t="str">
        <f>IF(discount_impact_on_profit_2000_rows[[#This Row],[Discount %]]=0,"Zero Discount",IF(discount_impact_on_profit_2000_rows[[#This Row],[Discount %]]&lt;=10,"Low Discount","High Discount"))</f>
        <v>Zero Discount</v>
      </c>
      <c r="N1832" t="str">
        <f t="shared" si="28"/>
        <v>0-10%</v>
      </c>
    </row>
    <row r="1833" spans="1:14">
      <c r="A1833" s="1">
        <v>44931</v>
      </c>
      <c r="B1833" t="s">
        <v>1895</v>
      </c>
      <c r="C1833" t="s">
        <v>21</v>
      </c>
      <c r="D1833" t="s">
        <v>123</v>
      </c>
      <c r="E1833">
        <v>9667.49</v>
      </c>
      <c r="F1833" t="s">
        <v>36</v>
      </c>
      <c r="G1833">
        <v>10023.4</v>
      </c>
      <c r="H1833">
        <v>355.91</v>
      </c>
      <c r="I1833">
        <v>20</v>
      </c>
      <c r="J1833">
        <v>5</v>
      </c>
      <c r="K1833" t="str">
        <f>TEXT(discount_impact_on_profit_2000_rows[[#This Row],[order date]],"mmmm")</f>
        <v>January</v>
      </c>
      <c r="L1833">
        <f>YEAR(discount_impact_on_profit_2000_rows[[#This Row],[order date]])</f>
        <v>2023</v>
      </c>
      <c r="M1833" t="str">
        <f>IF(discount_impact_on_profit_2000_rows[[#This Row],[Discount %]]=0,"Zero Discount",IF(discount_impact_on_profit_2000_rows[[#This Row],[Discount %]]&lt;=10,"Low Discount","High Discount"))</f>
        <v>High Discount</v>
      </c>
      <c r="N1833" t="str">
        <f t="shared" si="28"/>
        <v>10-20%</v>
      </c>
    </row>
    <row r="1834" spans="1:14">
      <c r="A1834" s="1">
        <v>45534</v>
      </c>
      <c r="B1834" t="s">
        <v>1896</v>
      </c>
      <c r="C1834" t="s">
        <v>11</v>
      </c>
      <c r="D1834" t="s">
        <v>207</v>
      </c>
      <c r="E1834">
        <v>2329.2800000000002</v>
      </c>
      <c r="F1834" t="s">
        <v>36</v>
      </c>
      <c r="G1834">
        <v>2763.83</v>
      </c>
      <c r="H1834">
        <v>434.55</v>
      </c>
      <c r="I1834">
        <v>30</v>
      </c>
      <c r="J1834">
        <v>3</v>
      </c>
      <c r="K1834" t="str">
        <f>TEXT(discount_impact_on_profit_2000_rows[[#This Row],[order date]],"mmmm")</f>
        <v>August</v>
      </c>
      <c r="L1834">
        <f>YEAR(discount_impact_on_profit_2000_rows[[#This Row],[order date]])</f>
        <v>2024</v>
      </c>
      <c r="M1834" t="str">
        <f>IF(discount_impact_on_profit_2000_rows[[#This Row],[Discount %]]=0,"Zero Discount",IF(discount_impact_on_profit_2000_rows[[#This Row],[Discount %]]&lt;=10,"Low Discount","High Discount"))</f>
        <v>High Discount</v>
      </c>
      <c r="N1834" t="str">
        <f t="shared" si="28"/>
        <v>20-30%</v>
      </c>
    </row>
    <row r="1835" spans="1:14">
      <c r="A1835" s="1">
        <v>45857</v>
      </c>
      <c r="B1835" t="s">
        <v>1897</v>
      </c>
      <c r="C1835" t="s">
        <v>18</v>
      </c>
      <c r="D1835" t="s">
        <v>50</v>
      </c>
      <c r="E1835">
        <v>757.56</v>
      </c>
      <c r="F1835" t="s">
        <v>31</v>
      </c>
      <c r="G1835">
        <v>1519.75</v>
      </c>
      <c r="H1835">
        <v>762.19</v>
      </c>
      <c r="I1835">
        <v>0</v>
      </c>
      <c r="J1835">
        <v>1</v>
      </c>
      <c r="K1835" t="str">
        <f>TEXT(discount_impact_on_profit_2000_rows[[#This Row],[order date]],"mmmm")</f>
        <v>July</v>
      </c>
      <c r="L1835">
        <f>YEAR(discount_impact_on_profit_2000_rows[[#This Row],[order date]])</f>
        <v>2025</v>
      </c>
      <c r="M1835" t="str">
        <f>IF(discount_impact_on_profit_2000_rows[[#This Row],[Discount %]]=0,"Zero Discount",IF(discount_impact_on_profit_2000_rows[[#This Row],[Discount %]]&lt;=10,"Low Discount","High Discount"))</f>
        <v>Zero Discount</v>
      </c>
      <c r="N1835" t="str">
        <f t="shared" si="28"/>
        <v>0-10%</v>
      </c>
    </row>
    <row r="1836" spans="1:14">
      <c r="A1836" s="1">
        <v>45083</v>
      </c>
      <c r="B1836" t="s">
        <v>1898</v>
      </c>
      <c r="C1836" t="s">
        <v>53</v>
      </c>
      <c r="D1836" t="s">
        <v>54</v>
      </c>
      <c r="E1836">
        <v>8372.2199999999993</v>
      </c>
      <c r="F1836" t="s">
        <v>13</v>
      </c>
      <c r="G1836">
        <v>13970.74</v>
      </c>
      <c r="H1836">
        <v>5598.52</v>
      </c>
      <c r="I1836">
        <v>0</v>
      </c>
      <c r="J1836">
        <v>10</v>
      </c>
      <c r="K1836" t="str">
        <f>TEXT(discount_impact_on_profit_2000_rows[[#This Row],[order date]],"mmmm")</f>
        <v>June</v>
      </c>
      <c r="L1836">
        <f>YEAR(discount_impact_on_profit_2000_rows[[#This Row],[order date]])</f>
        <v>2023</v>
      </c>
      <c r="M1836" t="str">
        <f>IF(discount_impact_on_profit_2000_rows[[#This Row],[Discount %]]=0,"Zero Discount",IF(discount_impact_on_profit_2000_rows[[#This Row],[Discount %]]&lt;=10,"Low Discount","High Discount"))</f>
        <v>Zero Discount</v>
      </c>
      <c r="N1836" t="str">
        <f t="shared" si="28"/>
        <v>0-10%</v>
      </c>
    </row>
    <row r="1837" spans="1:14">
      <c r="A1837" s="1">
        <v>45103</v>
      </c>
      <c r="B1837" t="s">
        <v>1899</v>
      </c>
      <c r="C1837" t="s">
        <v>15</v>
      </c>
      <c r="D1837" t="s">
        <v>76</v>
      </c>
      <c r="E1837">
        <v>8547.92</v>
      </c>
      <c r="F1837" t="s">
        <v>36</v>
      </c>
      <c r="G1837">
        <v>9009.42</v>
      </c>
      <c r="H1837">
        <v>461.5</v>
      </c>
      <c r="I1837">
        <v>25</v>
      </c>
      <c r="J1837">
        <v>1</v>
      </c>
      <c r="K1837" t="str">
        <f>TEXT(discount_impact_on_profit_2000_rows[[#This Row],[order date]],"mmmm")</f>
        <v>June</v>
      </c>
      <c r="L1837">
        <f>YEAR(discount_impact_on_profit_2000_rows[[#This Row],[order date]])</f>
        <v>2023</v>
      </c>
      <c r="M1837" t="str">
        <f>IF(discount_impact_on_profit_2000_rows[[#This Row],[Discount %]]=0,"Zero Discount",IF(discount_impact_on_profit_2000_rows[[#This Row],[Discount %]]&lt;=10,"Low Discount","High Discount"))</f>
        <v>High Discount</v>
      </c>
      <c r="N1837" t="str">
        <f t="shared" si="28"/>
        <v>20-30%</v>
      </c>
    </row>
    <row r="1838" spans="1:14">
      <c r="A1838" s="1">
        <v>45986</v>
      </c>
      <c r="B1838" t="s">
        <v>1900</v>
      </c>
      <c r="C1838" t="s">
        <v>53</v>
      </c>
      <c r="D1838" t="s">
        <v>78</v>
      </c>
      <c r="E1838">
        <v>1364.25</v>
      </c>
      <c r="F1838" t="s">
        <v>31</v>
      </c>
      <c r="G1838">
        <v>2668.32</v>
      </c>
      <c r="H1838">
        <v>1304.07</v>
      </c>
      <c r="I1838">
        <v>5</v>
      </c>
      <c r="J1838">
        <v>2</v>
      </c>
      <c r="K1838" t="str">
        <f>TEXT(discount_impact_on_profit_2000_rows[[#This Row],[order date]],"mmmm")</f>
        <v>November</v>
      </c>
      <c r="L1838">
        <f>YEAR(discount_impact_on_profit_2000_rows[[#This Row],[order date]])</f>
        <v>2025</v>
      </c>
      <c r="M1838" t="str">
        <f>IF(discount_impact_on_profit_2000_rows[[#This Row],[Discount %]]=0,"Zero Discount",IF(discount_impact_on_profit_2000_rows[[#This Row],[Discount %]]&lt;=10,"Low Discount","High Discount"))</f>
        <v>Low Discount</v>
      </c>
      <c r="N1838" t="str">
        <f t="shared" si="28"/>
        <v>0-10%</v>
      </c>
    </row>
    <row r="1839" spans="1:14">
      <c r="A1839" s="1">
        <v>45916</v>
      </c>
      <c r="B1839" t="s">
        <v>1901</v>
      </c>
      <c r="C1839" t="s">
        <v>33</v>
      </c>
      <c r="D1839" t="s">
        <v>197</v>
      </c>
      <c r="E1839">
        <v>7036.53</v>
      </c>
      <c r="F1839" t="s">
        <v>13</v>
      </c>
      <c r="G1839">
        <v>11145.07</v>
      </c>
      <c r="H1839">
        <v>4108.54</v>
      </c>
      <c r="I1839">
        <v>0</v>
      </c>
      <c r="J1839">
        <v>3</v>
      </c>
      <c r="K1839" t="str">
        <f>TEXT(discount_impact_on_profit_2000_rows[[#This Row],[order date]],"mmmm")</f>
        <v>September</v>
      </c>
      <c r="L1839">
        <f>YEAR(discount_impact_on_profit_2000_rows[[#This Row],[order date]])</f>
        <v>2025</v>
      </c>
      <c r="M1839" t="str">
        <f>IF(discount_impact_on_profit_2000_rows[[#This Row],[Discount %]]=0,"Zero Discount",IF(discount_impact_on_profit_2000_rows[[#This Row],[Discount %]]&lt;=10,"Low Discount","High Discount"))</f>
        <v>Zero Discount</v>
      </c>
      <c r="N1839" t="str">
        <f t="shared" si="28"/>
        <v>0-10%</v>
      </c>
    </row>
    <row r="1840" spans="1:14">
      <c r="A1840" s="1">
        <v>45736</v>
      </c>
      <c r="B1840" t="s">
        <v>1902</v>
      </c>
      <c r="C1840" t="s">
        <v>53</v>
      </c>
      <c r="D1840" t="s">
        <v>95</v>
      </c>
      <c r="E1840">
        <v>1734.23</v>
      </c>
      <c r="F1840" t="s">
        <v>31</v>
      </c>
      <c r="G1840">
        <v>2504.79</v>
      </c>
      <c r="H1840">
        <v>770.56</v>
      </c>
      <c r="I1840">
        <v>10</v>
      </c>
      <c r="J1840">
        <v>5</v>
      </c>
      <c r="K1840" t="str">
        <f>TEXT(discount_impact_on_profit_2000_rows[[#This Row],[order date]],"mmmm")</f>
        <v>March</v>
      </c>
      <c r="L1840">
        <f>YEAR(discount_impact_on_profit_2000_rows[[#This Row],[order date]])</f>
        <v>2025</v>
      </c>
      <c r="M1840" t="str">
        <f>IF(discount_impact_on_profit_2000_rows[[#This Row],[Discount %]]=0,"Zero Discount",IF(discount_impact_on_profit_2000_rows[[#This Row],[Discount %]]&lt;=10,"Low Discount","High Discount"))</f>
        <v>Low Discount</v>
      </c>
      <c r="N1840" t="str">
        <f t="shared" si="28"/>
        <v>0-10%</v>
      </c>
    </row>
    <row r="1841" spans="1:14">
      <c r="A1841" s="1">
        <v>45181</v>
      </c>
      <c r="B1841" t="s">
        <v>1903</v>
      </c>
      <c r="C1841" t="s">
        <v>53</v>
      </c>
      <c r="D1841" t="s">
        <v>78</v>
      </c>
      <c r="E1841">
        <v>14746.7</v>
      </c>
      <c r="F1841" t="s">
        <v>23</v>
      </c>
      <c r="G1841">
        <v>28987.25</v>
      </c>
      <c r="H1841">
        <v>14240.55</v>
      </c>
      <c r="I1841">
        <v>20</v>
      </c>
      <c r="J1841">
        <v>8</v>
      </c>
      <c r="K1841" t="str">
        <f>TEXT(discount_impact_on_profit_2000_rows[[#This Row],[order date]],"mmmm")</f>
        <v>September</v>
      </c>
      <c r="L1841">
        <f>YEAR(discount_impact_on_profit_2000_rows[[#This Row],[order date]])</f>
        <v>2023</v>
      </c>
      <c r="M1841" t="str">
        <f>IF(discount_impact_on_profit_2000_rows[[#This Row],[Discount %]]=0,"Zero Discount",IF(discount_impact_on_profit_2000_rows[[#This Row],[Discount %]]&lt;=10,"Low Discount","High Discount"))</f>
        <v>High Discount</v>
      </c>
      <c r="N1841" t="str">
        <f t="shared" si="28"/>
        <v>10-20%</v>
      </c>
    </row>
    <row r="1842" spans="1:14">
      <c r="A1842" s="1">
        <v>45192</v>
      </c>
      <c r="B1842" t="s">
        <v>1904</v>
      </c>
      <c r="C1842" t="s">
        <v>15</v>
      </c>
      <c r="D1842" t="s">
        <v>76</v>
      </c>
      <c r="E1842">
        <v>16098.27</v>
      </c>
      <c r="F1842" t="s">
        <v>13</v>
      </c>
      <c r="G1842">
        <v>17783.07</v>
      </c>
      <c r="H1842">
        <v>1684.8</v>
      </c>
      <c r="I1842">
        <v>15</v>
      </c>
      <c r="J1842">
        <v>5</v>
      </c>
      <c r="K1842" t="str">
        <f>TEXT(discount_impact_on_profit_2000_rows[[#This Row],[order date]],"mmmm")</f>
        <v>September</v>
      </c>
      <c r="L1842">
        <f>YEAR(discount_impact_on_profit_2000_rows[[#This Row],[order date]])</f>
        <v>2023</v>
      </c>
      <c r="M1842" t="str">
        <f>IF(discount_impact_on_profit_2000_rows[[#This Row],[Discount %]]=0,"Zero Discount",IF(discount_impact_on_profit_2000_rows[[#This Row],[Discount %]]&lt;=10,"Low Discount","High Discount"))</f>
        <v>High Discount</v>
      </c>
      <c r="N1842" t="str">
        <f t="shared" si="28"/>
        <v>10-20%</v>
      </c>
    </row>
    <row r="1843" spans="1:14">
      <c r="A1843" s="1">
        <v>44948</v>
      </c>
      <c r="B1843" t="s">
        <v>1905</v>
      </c>
      <c r="C1843" t="s">
        <v>11</v>
      </c>
      <c r="D1843" t="s">
        <v>30</v>
      </c>
      <c r="E1843">
        <v>1040.97</v>
      </c>
      <c r="F1843" t="s">
        <v>31</v>
      </c>
      <c r="G1843">
        <v>2199.31</v>
      </c>
      <c r="H1843">
        <v>1158.3399999999999</v>
      </c>
      <c r="I1843">
        <v>10</v>
      </c>
      <c r="J1843">
        <v>4</v>
      </c>
      <c r="K1843" t="str">
        <f>TEXT(discount_impact_on_profit_2000_rows[[#This Row],[order date]],"mmmm")</f>
        <v>January</v>
      </c>
      <c r="L1843">
        <f>YEAR(discount_impact_on_profit_2000_rows[[#This Row],[order date]])</f>
        <v>2023</v>
      </c>
      <c r="M1843" t="str">
        <f>IF(discount_impact_on_profit_2000_rows[[#This Row],[Discount %]]=0,"Zero Discount",IF(discount_impact_on_profit_2000_rows[[#This Row],[Discount %]]&lt;=10,"Low Discount","High Discount"))</f>
        <v>Low Discount</v>
      </c>
      <c r="N1843" t="str">
        <f t="shared" si="28"/>
        <v>0-10%</v>
      </c>
    </row>
    <row r="1844" spans="1:14">
      <c r="A1844" s="1">
        <v>45822</v>
      </c>
      <c r="B1844" t="s">
        <v>1906</v>
      </c>
      <c r="C1844" t="s">
        <v>11</v>
      </c>
      <c r="D1844" t="s">
        <v>207</v>
      </c>
      <c r="E1844">
        <v>613.67999999999995</v>
      </c>
      <c r="F1844" t="s">
        <v>31</v>
      </c>
      <c r="G1844">
        <v>1112.96</v>
      </c>
      <c r="H1844">
        <v>499.28</v>
      </c>
      <c r="I1844">
        <v>10</v>
      </c>
      <c r="J1844">
        <v>3</v>
      </c>
      <c r="K1844" t="str">
        <f>TEXT(discount_impact_on_profit_2000_rows[[#This Row],[order date]],"mmmm")</f>
        <v>June</v>
      </c>
      <c r="L1844">
        <f>YEAR(discount_impact_on_profit_2000_rows[[#This Row],[order date]])</f>
        <v>2025</v>
      </c>
      <c r="M1844" t="str">
        <f>IF(discount_impact_on_profit_2000_rows[[#This Row],[Discount %]]=0,"Zero Discount",IF(discount_impact_on_profit_2000_rows[[#This Row],[Discount %]]&lt;=10,"Low Discount","High Discount"))</f>
        <v>Low Discount</v>
      </c>
      <c r="N1844" t="str">
        <f t="shared" si="28"/>
        <v>0-10%</v>
      </c>
    </row>
    <row r="1845" spans="1:14">
      <c r="A1845" s="1">
        <v>45942</v>
      </c>
      <c r="B1845" t="s">
        <v>1907</v>
      </c>
      <c r="C1845" t="s">
        <v>11</v>
      </c>
      <c r="D1845" t="s">
        <v>38</v>
      </c>
      <c r="E1845">
        <v>2256.91</v>
      </c>
      <c r="F1845" t="s">
        <v>31</v>
      </c>
      <c r="G1845">
        <v>2934.47</v>
      </c>
      <c r="H1845">
        <v>677.56</v>
      </c>
      <c r="I1845">
        <v>20</v>
      </c>
      <c r="J1845">
        <v>2</v>
      </c>
      <c r="K1845" t="str">
        <f>TEXT(discount_impact_on_profit_2000_rows[[#This Row],[order date]],"mmmm")</f>
        <v>October</v>
      </c>
      <c r="L1845">
        <f>YEAR(discount_impact_on_profit_2000_rows[[#This Row],[order date]])</f>
        <v>2025</v>
      </c>
      <c r="M1845" t="str">
        <f>IF(discount_impact_on_profit_2000_rows[[#This Row],[Discount %]]=0,"Zero Discount",IF(discount_impact_on_profit_2000_rows[[#This Row],[Discount %]]&lt;=10,"Low Discount","High Discount"))</f>
        <v>High Discount</v>
      </c>
      <c r="N1845" t="str">
        <f t="shared" si="28"/>
        <v>10-20%</v>
      </c>
    </row>
    <row r="1846" spans="1:14">
      <c r="A1846" s="1">
        <v>45533</v>
      </c>
      <c r="B1846" t="s">
        <v>1908</v>
      </c>
      <c r="C1846" t="s">
        <v>53</v>
      </c>
      <c r="D1846" t="s">
        <v>152</v>
      </c>
      <c r="E1846">
        <v>417.62</v>
      </c>
      <c r="F1846" t="s">
        <v>26</v>
      </c>
      <c r="G1846">
        <v>734.31</v>
      </c>
      <c r="H1846">
        <v>316.69</v>
      </c>
      <c r="I1846">
        <v>25</v>
      </c>
      <c r="J1846">
        <v>2</v>
      </c>
      <c r="K1846" t="str">
        <f>TEXT(discount_impact_on_profit_2000_rows[[#This Row],[order date]],"mmmm")</f>
        <v>August</v>
      </c>
      <c r="L1846">
        <f>YEAR(discount_impact_on_profit_2000_rows[[#This Row],[order date]])</f>
        <v>2024</v>
      </c>
      <c r="M1846" t="str">
        <f>IF(discount_impact_on_profit_2000_rows[[#This Row],[Discount %]]=0,"Zero Discount",IF(discount_impact_on_profit_2000_rows[[#This Row],[Discount %]]&lt;=10,"Low Discount","High Discount"))</f>
        <v>High Discount</v>
      </c>
      <c r="N1846" t="str">
        <f t="shared" si="28"/>
        <v>20-30%</v>
      </c>
    </row>
    <row r="1847" spans="1:14">
      <c r="A1847" s="1">
        <v>45189</v>
      </c>
      <c r="B1847" t="s">
        <v>1909</v>
      </c>
      <c r="C1847" t="s">
        <v>18</v>
      </c>
      <c r="D1847" t="s">
        <v>188</v>
      </c>
      <c r="E1847">
        <v>251.48</v>
      </c>
      <c r="F1847" t="s">
        <v>23</v>
      </c>
      <c r="G1847">
        <v>356.03</v>
      </c>
      <c r="H1847">
        <v>104.55</v>
      </c>
      <c r="I1847">
        <v>15</v>
      </c>
      <c r="J1847">
        <v>1</v>
      </c>
      <c r="K1847" t="str">
        <f>TEXT(discount_impact_on_profit_2000_rows[[#This Row],[order date]],"mmmm")</f>
        <v>September</v>
      </c>
      <c r="L1847">
        <f>YEAR(discount_impact_on_profit_2000_rows[[#This Row],[order date]])</f>
        <v>2023</v>
      </c>
      <c r="M1847" t="str">
        <f>IF(discount_impact_on_profit_2000_rows[[#This Row],[Discount %]]=0,"Zero Discount",IF(discount_impact_on_profit_2000_rows[[#This Row],[Discount %]]&lt;=10,"Low Discount","High Discount"))</f>
        <v>High Discount</v>
      </c>
      <c r="N1847" t="str">
        <f t="shared" si="28"/>
        <v>10-20%</v>
      </c>
    </row>
    <row r="1848" spans="1:14">
      <c r="A1848" s="1">
        <v>45870</v>
      </c>
      <c r="B1848" t="s">
        <v>1910</v>
      </c>
      <c r="C1848" t="s">
        <v>15</v>
      </c>
      <c r="D1848" t="s">
        <v>40</v>
      </c>
      <c r="E1848">
        <v>7732.97</v>
      </c>
      <c r="F1848" t="s">
        <v>26</v>
      </c>
      <c r="G1848">
        <v>8177.81</v>
      </c>
      <c r="H1848">
        <v>444.84</v>
      </c>
      <c r="I1848">
        <v>15</v>
      </c>
      <c r="J1848">
        <v>8</v>
      </c>
      <c r="K1848" t="str">
        <f>TEXT(discount_impact_on_profit_2000_rows[[#This Row],[order date]],"mmmm")</f>
        <v>August</v>
      </c>
      <c r="L1848">
        <f>YEAR(discount_impact_on_profit_2000_rows[[#This Row],[order date]])</f>
        <v>2025</v>
      </c>
      <c r="M1848" t="str">
        <f>IF(discount_impact_on_profit_2000_rows[[#This Row],[Discount %]]=0,"Zero Discount",IF(discount_impact_on_profit_2000_rows[[#This Row],[Discount %]]&lt;=10,"Low Discount","High Discount"))</f>
        <v>High Discount</v>
      </c>
      <c r="N1848" t="str">
        <f t="shared" si="28"/>
        <v>10-20%</v>
      </c>
    </row>
    <row r="1849" spans="1:14">
      <c r="A1849" s="1">
        <v>45816</v>
      </c>
      <c r="B1849" t="s">
        <v>1911</v>
      </c>
      <c r="C1849" t="s">
        <v>11</v>
      </c>
      <c r="D1849" t="s">
        <v>207</v>
      </c>
      <c r="E1849">
        <v>566.64</v>
      </c>
      <c r="F1849" t="s">
        <v>26</v>
      </c>
      <c r="G1849">
        <v>968.72</v>
      </c>
      <c r="H1849">
        <v>402.08</v>
      </c>
      <c r="I1849">
        <v>5</v>
      </c>
      <c r="J1849">
        <v>2</v>
      </c>
      <c r="K1849" t="str">
        <f>TEXT(discount_impact_on_profit_2000_rows[[#This Row],[order date]],"mmmm")</f>
        <v>June</v>
      </c>
      <c r="L1849">
        <f>YEAR(discount_impact_on_profit_2000_rows[[#This Row],[order date]])</f>
        <v>2025</v>
      </c>
      <c r="M1849" t="str">
        <f>IF(discount_impact_on_profit_2000_rows[[#This Row],[Discount %]]=0,"Zero Discount",IF(discount_impact_on_profit_2000_rows[[#This Row],[Discount %]]&lt;=10,"Low Discount","High Discount"))</f>
        <v>Low Discount</v>
      </c>
      <c r="N1849" t="str">
        <f t="shared" si="28"/>
        <v>0-10%</v>
      </c>
    </row>
    <row r="1850" spans="1:14">
      <c r="A1850" s="1">
        <v>44977</v>
      </c>
      <c r="B1850" t="s">
        <v>1912</v>
      </c>
      <c r="C1850" t="s">
        <v>21</v>
      </c>
      <c r="D1850" t="s">
        <v>82</v>
      </c>
      <c r="E1850">
        <v>12389.23</v>
      </c>
      <c r="F1850" t="s">
        <v>26</v>
      </c>
      <c r="G1850">
        <v>17774.650000000001</v>
      </c>
      <c r="H1850">
        <v>5385.42</v>
      </c>
      <c r="I1850">
        <v>0</v>
      </c>
      <c r="J1850">
        <v>1</v>
      </c>
      <c r="K1850" t="str">
        <f>TEXT(discount_impact_on_profit_2000_rows[[#This Row],[order date]],"mmmm")</f>
        <v>February</v>
      </c>
      <c r="L1850">
        <f>YEAR(discount_impact_on_profit_2000_rows[[#This Row],[order date]])</f>
        <v>2023</v>
      </c>
      <c r="M1850" t="str">
        <f>IF(discount_impact_on_profit_2000_rows[[#This Row],[Discount %]]=0,"Zero Discount",IF(discount_impact_on_profit_2000_rows[[#This Row],[Discount %]]&lt;=10,"Low Discount","High Discount"))</f>
        <v>Zero Discount</v>
      </c>
      <c r="N1850" t="str">
        <f t="shared" si="28"/>
        <v>0-10%</v>
      </c>
    </row>
    <row r="1851" spans="1:14">
      <c r="A1851" s="1">
        <v>45106</v>
      </c>
      <c r="B1851" t="s">
        <v>1913</v>
      </c>
      <c r="C1851" t="s">
        <v>33</v>
      </c>
      <c r="D1851" t="s">
        <v>273</v>
      </c>
      <c r="E1851">
        <v>44164.68</v>
      </c>
      <c r="F1851" t="s">
        <v>31</v>
      </c>
      <c r="G1851">
        <v>57498.36</v>
      </c>
      <c r="H1851">
        <v>13333.68</v>
      </c>
      <c r="I1851">
        <v>5</v>
      </c>
      <c r="J1851">
        <v>4</v>
      </c>
      <c r="K1851" t="str">
        <f>TEXT(discount_impact_on_profit_2000_rows[[#This Row],[order date]],"mmmm")</f>
        <v>June</v>
      </c>
      <c r="L1851">
        <f>YEAR(discount_impact_on_profit_2000_rows[[#This Row],[order date]])</f>
        <v>2023</v>
      </c>
      <c r="M1851" t="str">
        <f>IF(discount_impact_on_profit_2000_rows[[#This Row],[Discount %]]=0,"Zero Discount",IF(discount_impact_on_profit_2000_rows[[#This Row],[Discount %]]&lt;=10,"Low Discount","High Discount"))</f>
        <v>Low Discount</v>
      </c>
      <c r="N1851" t="str">
        <f t="shared" si="28"/>
        <v>0-10%</v>
      </c>
    </row>
    <row r="1852" spans="1:14">
      <c r="A1852" s="1">
        <v>45676</v>
      </c>
      <c r="B1852" t="s">
        <v>1914</v>
      </c>
      <c r="C1852" t="s">
        <v>53</v>
      </c>
      <c r="D1852" t="s">
        <v>59</v>
      </c>
      <c r="E1852">
        <v>888.24</v>
      </c>
      <c r="F1852" t="s">
        <v>23</v>
      </c>
      <c r="G1852">
        <v>2099.27</v>
      </c>
      <c r="H1852">
        <v>1211.03</v>
      </c>
      <c r="I1852">
        <v>0</v>
      </c>
      <c r="J1852">
        <v>1</v>
      </c>
      <c r="K1852" t="str">
        <f>TEXT(discount_impact_on_profit_2000_rows[[#This Row],[order date]],"mmmm")</f>
        <v>January</v>
      </c>
      <c r="L1852">
        <f>YEAR(discount_impact_on_profit_2000_rows[[#This Row],[order date]])</f>
        <v>2025</v>
      </c>
      <c r="M1852" t="str">
        <f>IF(discount_impact_on_profit_2000_rows[[#This Row],[Discount %]]=0,"Zero Discount",IF(discount_impact_on_profit_2000_rows[[#This Row],[Discount %]]&lt;=10,"Low Discount","High Discount"))</f>
        <v>Zero Discount</v>
      </c>
      <c r="N1852" t="str">
        <f t="shared" si="28"/>
        <v>0-10%</v>
      </c>
    </row>
    <row r="1853" spans="1:14">
      <c r="A1853" s="1">
        <v>45038</v>
      </c>
      <c r="B1853" t="s">
        <v>1915</v>
      </c>
      <c r="C1853" t="s">
        <v>21</v>
      </c>
      <c r="D1853" t="s">
        <v>123</v>
      </c>
      <c r="E1853">
        <v>114835.32</v>
      </c>
      <c r="F1853" t="s">
        <v>23</v>
      </c>
      <c r="G1853">
        <v>126022.88</v>
      </c>
      <c r="H1853">
        <v>11187.56</v>
      </c>
      <c r="I1853">
        <v>20</v>
      </c>
      <c r="J1853">
        <v>5</v>
      </c>
      <c r="K1853" t="str">
        <f>TEXT(discount_impact_on_profit_2000_rows[[#This Row],[order date]],"mmmm")</f>
        <v>April</v>
      </c>
      <c r="L1853">
        <f>YEAR(discount_impact_on_profit_2000_rows[[#This Row],[order date]])</f>
        <v>2023</v>
      </c>
      <c r="M1853" t="str">
        <f>IF(discount_impact_on_profit_2000_rows[[#This Row],[Discount %]]=0,"Zero Discount",IF(discount_impact_on_profit_2000_rows[[#This Row],[Discount %]]&lt;=10,"Low Discount","High Discount"))</f>
        <v>High Discount</v>
      </c>
      <c r="N1853" t="str">
        <f t="shared" si="28"/>
        <v>10-20%</v>
      </c>
    </row>
    <row r="1854" spans="1:14">
      <c r="A1854" s="1">
        <v>45625</v>
      </c>
      <c r="B1854" t="s">
        <v>1916</v>
      </c>
      <c r="C1854" t="s">
        <v>53</v>
      </c>
      <c r="D1854" t="s">
        <v>70</v>
      </c>
      <c r="E1854">
        <v>1091.73</v>
      </c>
      <c r="F1854" t="s">
        <v>31</v>
      </c>
      <c r="G1854">
        <v>1890.13</v>
      </c>
      <c r="H1854">
        <v>798.4</v>
      </c>
      <c r="I1854">
        <v>5</v>
      </c>
      <c r="J1854">
        <v>1</v>
      </c>
      <c r="K1854" t="str">
        <f>TEXT(discount_impact_on_profit_2000_rows[[#This Row],[order date]],"mmmm")</f>
        <v>November</v>
      </c>
      <c r="L1854">
        <f>YEAR(discount_impact_on_profit_2000_rows[[#This Row],[order date]])</f>
        <v>2024</v>
      </c>
      <c r="M1854" t="str">
        <f>IF(discount_impact_on_profit_2000_rows[[#This Row],[Discount %]]=0,"Zero Discount",IF(discount_impact_on_profit_2000_rows[[#This Row],[Discount %]]&lt;=10,"Low Discount","High Discount"))</f>
        <v>Low Discount</v>
      </c>
      <c r="N1854" t="str">
        <f t="shared" si="28"/>
        <v>0-10%</v>
      </c>
    </row>
    <row r="1855" spans="1:14">
      <c r="A1855" s="1">
        <v>45378</v>
      </c>
      <c r="B1855" t="s">
        <v>1917</v>
      </c>
      <c r="C1855" t="s">
        <v>18</v>
      </c>
      <c r="D1855" t="s">
        <v>42</v>
      </c>
      <c r="E1855">
        <v>660.25</v>
      </c>
      <c r="F1855" t="s">
        <v>23</v>
      </c>
      <c r="G1855">
        <v>952.37</v>
      </c>
      <c r="H1855">
        <v>292.12</v>
      </c>
      <c r="I1855">
        <v>20</v>
      </c>
      <c r="J1855">
        <v>3</v>
      </c>
      <c r="K1855" t="str">
        <f>TEXT(discount_impact_on_profit_2000_rows[[#This Row],[order date]],"mmmm")</f>
        <v>March</v>
      </c>
      <c r="L1855">
        <f>YEAR(discount_impact_on_profit_2000_rows[[#This Row],[order date]])</f>
        <v>2024</v>
      </c>
      <c r="M1855" t="str">
        <f>IF(discount_impact_on_profit_2000_rows[[#This Row],[Discount %]]=0,"Zero Discount",IF(discount_impact_on_profit_2000_rows[[#This Row],[Discount %]]&lt;=10,"Low Discount","High Discount"))</f>
        <v>High Discount</v>
      </c>
      <c r="N1855" t="str">
        <f t="shared" si="28"/>
        <v>10-20%</v>
      </c>
    </row>
    <row r="1856" spans="1:14">
      <c r="A1856" s="1">
        <v>45147</v>
      </c>
      <c r="B1856" t="s">
        <v>1918</v>
      </c>
      <c r="C1856" t="s">
        <v>53</v>
      </c>
      <c r="D1856" t="s">
        <v>54</v>
      </c>
      <c r="E1856">
        <v>1556.61</v>
      </c>
      <c r="F1856" t="s">
        <v>31</v>
      </c>
      <c r="G1856">
        <v>1660.74</v>
      </c>
      <c r="H1856">
        <v>104.13</v>
      </c>
      <c r="I1856">
        <v>30</v>
      </c>
      <c r="J1856">
        <v>1</v>
      </c>
      <c r="K1856" t="str">
        <f>TEXT(discount_impact_on_profit_2000_rows[[#This Row],[order date]],"mmmm")</f>
        <v>August</v>
      </c>
      <c r="L1856">
        <f>YEAR(discount_impact_on_profit_2000_rows[[#This Row],[order date]])</f>
        <v>2023</v>
      </c>
      <c r="M1856" t="str">
        <f>IF(discount_impact_on_profit_2000_rows[[#This Row],[Discount %]]=0,"Zero Discount",IF(discount_impact_on_profit_2000_rows[[#This Row],[Discount %]]&lt;=10,"Low Discount","High Discount"))</f>
        <v>High Discount</v>
      </c>
      <c r="N1856" t="str">
        <f t="shared" si="28"/>
        <v>20-30%</v>
      </c>
    </row>
    <row r="1857" spans="1:14">
      <c r="A1857" s="1">
        <v>45344</v>
      </c>
      <c r="B1857" t="s">
        <v>1919</v>
      </c>
      <c r="C1857" t="s">
        <v>11</v>
      </c>
      <c r="D1857" t="s">
        <v>64</v>
      </c>
      <c r="E1857">
        <v>10235.48</v>
      </c>
      <c r="F1857" t="s">
        <v>26</v>
      </c>
      <c r="G1857">
        <v>19647.12</v>
      </c>
      <c r="H1857">
        <v>9411.64</v>
      </c>
      <c r="I1857">
        <v>10</v>
      </c>
      <c r="J1857">
        <v>5</v>
      </c>
      <c r="K1857" t="str">
        <f>TEXT(discount_impact_on_profit_2000_rows[[#This Row],[order date]],"mmmm")</f>
        <v>February</v>
      </c>
      <c r="L1857">
        <f>YEAR(discount_impact_on_profit_2000_rows[[#This Row],[order date]])</f>
        <v>2024</v>
      </c>
      <c r="M1857" t="str">
        <f>IF(discount_impact_on_profit_2000_rows[[#This Row],[Discount %]]=0,"Zero Discount",IF(discount_impact_on_profit_2000_rows[[#This Row],[Discount %]]&lt;=10,"Low Discount","High Discount"))</f>
        <v>Low Discount</v>
      </c>
      <c r="N1857" t="str">
        <f t="shared" si="28"/>
        <v>0-10%</v>
      </c>
    </row>
    <row r="1858" spans="1:14">
      <c r="A1858" s="1">
        <v>45554</v>
      </c>
      <c r="B1858" t="s">
        <v>1920</v>
      </c>
      <c r="C1858" t="s">
        <v>18</v>
      </c>
      <c r="D1858" t="s">
        <v>50</v>
      </c>
      <c r="E1858">
        <v>158.31</v>
      </c>
      <c r="F1858" t="s">
        <v>26</v>
      </c>
      <c r="G1858">
        <v>220.63</v>
      </c>
      <c r="H1858">
        <v>62.32</v>
      </c>
      <c r="I1858">
        <v>5</v>
      </c>
      <c r="J1858">
        <v>2</v>
      </c>
      <c r="K1858" t="str">
        <f>TEXT(discount_impact_on_profit_2000_rows[[#This Row],[order date]],"mmmm")</f>
        <v>September</v>
      </c>
      <c r="L1858">
        <f>YEAR(discount_impact_on_profit_2000_rows[[#This Row],[order date]])</f>
        <v>2024</v>
      </c>
      <c r="M1858" t="str">
        <f>IF(discount_impact_on_profit_2000_rows[[#This Row],[Discount %]]=0,"Zero Discount",IF(discount_impact_on_profit_2000_rows[[#This Row],[Discount %]]&lt;=10,"Low Discount","High Discount"))</f>
        <v>Low Discount</v>
      </c>
      <c r="N1858" t="str">
        <f t="shared" ref="N1858:N1921" si="29">IF(I1858&lt;=10,"0-10%",IF(I1858&lt;=20,"10-20%",IF(I1858&lt;=30,"20-30%","30%+")))</f>
        <v>0-10%</v>
      </c>
    </row>
    <row r="1859" spans="1:14">
      <c r="A1859" s="1">
        <v>45328</v>
      </c>
      <c r="B1859" t="s">
        <v>1921</v>
      </c>
      <c r="C1859" t="s">
        <v>15</v>
      </c>
      <c r="D1859" t="s">
        <v>84</v>
      </c>
      <c r="E1859">
        <v>23847.79</v>
      </c>
      <c r="F1859" t="s">
        <v>26</v>
      </c>
      <c r="G1859">
        <v>31998.03</v>
      </c>
      <c r="H1859">
        <v>8150.24</v>
      </c>
      <c r="I1859">
        <v>10</v>
      </c>
      <c r="J1859">
        <v>3</v>
      </c>
      <c r="K1859" t="str">
        <f>TEXT(discount_impact_on_profit_2000_rows[[#This Row],[order date]],"mmmm")</f>
        <v>February</v>
      </c>
      <c r="L1859">
        <f>YEAR(discount_impact_on_profit_2000_rows[[#This Row],[order date]])</f>
        <v>2024</v>
      </c>
      <c r="M1859" t="str">
        <f>IF(discount_impact_on_profit_2000_rows[[#This Row],[Discount %]]=0,"Zero Discount",IF(discount_impact_on_profit_2000_rows[[#This Row],[Discount %]]&lt;=10,"Low Discount","High Discount"))</f>
        <v>Low Discount</v>
      </c>
      <c r="N1859" t="str">
        <f t="shared" si="29"/>
        <v>0-10%</v>
      </c>
    </row>
    <row r="1860" spans="1:14">
      <c r="A1860" s="1">
        <v>44942</v>
      </c>
      <c r="B1860" t="s">
        <v>1922</v>
      </c>
      <c r="C1860" t="s">
        <v>33</v>
      </c>
      <c r="D1860" t="s">
        <v>203</v>
      </c>
      <c r="E1860">
        <v>25600.12</v>
      </c>
      <c r="F1860" t="s">
        <v>26</v>
      </c>
      <c r="G1860">
        <v>35911.5</v>
      </c>
      <c r="H1860">
        <v>10311.379999999999</v>
      </c>
      <c r="I1860">
        <v>10</v>
      </c>
      <c r="J1860">
        <v>2</v>
      </c>
      <c r="K1860" t="str">
        <f>TEXT(discount_impact_on_profit_2000_rows[[#This Row],[order date]],"mmmm")</f>
        <v>January</v>
      </c>
      <c r="L1860">
        <f>YEAR(discount_impact_on_profit_2000_rows[[#This Row],[order date]])</f>
        <v>2023</v>
      </c>
      <c r="M1860" t="str">
        <f>IF(discount_impact_on_profit_2000_rows[[#This Row],[Discount %]]=0,"Zero Discount",IF(discount_impact_on_profit_2000_rows[[#This Row],[Discount %]]&lt;=10,"Low Discount","High Discount"))</f>
        <v>Low Discount</v>
      </c>
      <c r="N1860" t="str">
        <f t="shared" si="29"/>
        <v>0-10%</v>
      </c>
    </row>
    <row r="1861" spans="1:14">
      <c r="A1861" s="1">
        <v>45920</v>
      </c>
      <c r="B1861" t="s">
        <v>1923</v>
      </c>
      <c r="C1861" t="s">
        <v>53</v>
      </c>
      <c r="D1861" t="s">
        <v>113</v>
      </c>
      <c r="E1861">
        <v>600.74</v>
      </c>
      <c r="F1861" t="s">
        <v>36</v>
      </c>
      <c r="G1861">
        <v>945.74</v>
      </c>
      <c r="H1861">
        <v>345</v>
      </c>
      <c r="I1861">
        <v>10</v>
      </c>
      <c r="J1861">
        <v>1</v>
      </c>
      <c r="K1861" t="str">
        <f>TEXT(discount_impact_on_profit_2000_rows[[#This Row],[order date]],"mmmm")</f>
        <v>September</v>
      </c>
      <c r="L1861">
        <f>YEAR(discount_impact_on_profit_2000_rows[[#This Row],[order date]])</f>
        <v>2025</v>
      </c>
      <c r="M1861" t="str">
        <f>IF(discount_impact_on_profit_2000_rows[[#This Row],[Discount %]]=0,"Zero Discount",IF(discount_impact_on_profit_2000_rows[[#This Row],[Discount %]]&lt;=10,"Low Discount","High Discount"))</f>
        <v>Low Discount</v>
      </c>
      <c r="N1861" t="str">
        <f t="shared" si="29"/>
        <v>0-10%</v>
      </c>
    </row>
    <row r="1862" spans="1:14">
      <c r="A1862" s="1">
        <v>45793</v>
      </c>
      <c r="B1862" t="s">
        <v>1924</v>
      </c>
      <c r="C1862" t="s">
        <v>33</v>
      </c>
      <c r="D1862" t="s">
        <v>197</v>
      </c>
      <c r="E1862">
        <v>27220.38</v>
      </c>
      <c r="F1862" t="s">
        <v>23</v>
      </c>
      <c r="G1862">
        <v>33499.699999999997</v>
      </c>
      <c r="H1862">
        <v>6279.32</v>
      </c>
      <c r="I1862">
        <v>15</v>
      </c>
      <c r="J1862">
        <v>4</v>
      </c>
      <c r="K1862" t="str">
        <f>TEXT(discount_impact_on_profit_2000_rows[[#This Row],[order date]],"mmmm")</f>
        <v>May</v>
      </c>
      <c r="L1862">
        <f>YEAR(discount_impact_on_profit_2000_rows[[#This Row],[order date]])</f>
        <v>2025</v>
      </c>
      <c r="M1862" t="str">
        <f>IF(discount_impact_on_profit_2000_rows[[#This Row],[Discount %]]=0,"Zero Discount",IF(discount_impact_on_profit_2000_rows[[#This Row],[Discount %]]&lt;=10,"Low Discount","High Discount"))</f>
        <v>High Discount</v>
      </c>
      <c r="N1862" t="str">
        <f t="shared" si="29"/>
        <v>10-20%</v>
      </c>
    </row>
    <row r="1863" spans="1:14">
      <c r="A1863" s="1">
        <v>45818</v>
      </c>
      <c r="B1863" t="s">
        <v>1925</v>
      </c>
      <c r="C1863" t="s">
        <v>18</v>
      </c>
      <c r="D1863" t="s">
        <v>104</v>
      </c>
      <c r="E1863">
        <v>1925.67</v>
      </c>
      <c r="F1863" t="s">
        <v>31</v>
      </c>
      <c r="G1863">
        <v>2629.01</v>
      </c>
      <c r="H1863">
        <v>703.34</v>
      </c>
      <c r="I1863">
        <v>25</v>
      </c>
      <c r="J1863">
        <v>3</v>
      </c>
      <c r="K1863" t="str">
        <f>TEXT(discount_impact_on_profit_2000_rows[[#This Row],[order date]],"mmmm")</f>
        <v>June</v>
      </c>
      <c r="L1863">
        <f>YEAR(discount_impact_on_profit_2000_rows[[#This Row],[order date]])</f>
        <v>2025</v>
      </c>
      <c r="M1863" t="str">
        <f>IF(discount_impact_on_profit_2000_rows[[#This Row],[Discount %]]=0,"Zero Discount",IF(discount_impact_on_profit_2000_rows[[#This Row],[Discount %]]&lt;=10,"Low Discount","High Discount"))</f>
        <v>High Discount</v>
      </c>
      <c r="N1863" t="str">
        <f t="shared" si="29"/>
        <v>20-30%</v>
      </c>
    </row>
    <row r="1864" spans="1:14">
      <c r="A1864" s="1">
        <v>45824</v>
      </c>
      <c r="B1864" t="s">
        <v>1926</v>
      </c>
      <c r="C1864" t="s">
        <v>18</v>
      </c>
      <c r="D1864" t="s">
        <v>42</v>
      </c>
      <c r="E1864">
        <v>1582.43</v>
      </c>
      <c r="F1864" t="s">
        <v>23</v>
      </c>
      <c r="G1864">
        <v>2236.52</v>
      </c>
      <c r="H1864">
        <v>654.09</v>
      </c>
      <c r="I1864">
        <v>5</v>
      </c>
      <c r="J1864">
        <v>4</v>
      </c>
      <c r="K1864" t="str">
        <f>TEXT(discount_impact_on_profit_2000_rows[[#This Row],[order date]],"mmmm")</f>
        <v>June</v>
      </c>
      <c r="L1864">
        <f>YEAR(discount_impact_on_profit_2000_rows[[#This Row],[order date]])</f>
        <v>2025</v>
      </c>
      <c r="M1864" t="str">
        <f>IF(discount_impact_on_profit_2000_rows[[#This Row],[Discount %]]=0,"Zero Discount",IF(discount_impact_on_profit_2000_rows[[#This Row],[Discount %]]&lt;=10,"Low Discount","High Discount"))</f>
        <v>Low Discount</v>
      </c>
      <c r="N1864" t="str">
        <f t="shared" si="29"/>
        <v>0-10%</v>
      </c>
    </row>
    <row r="1865" spans="1:14">
      <c r="A1865" s="1">
        <v>46018</v>
      </c>
      <c r="B1865" t="s">
        <v>1927</v>
      </c>
      <c r="C1865" t="s">
        <v>18</v>
      </c>
      <c r="D1865" t="s">
        <v>19</v>
      </c>
      <c r="E1865">
        <v>3365.3</v>
      </c>
      <c r="F1865" t="s">
        <v>23</v>
      </c>
      <c r="G1865">
        <v>4186.75</v>
      </c>
      <c r="H1865">
        <v>821.45</v>
      </c>
      <c r="I1865">
        <v>20</v>
      </c>
      <c r="J1865">
        <v>3</v>
      </c>
      <c r="K1865" t="str">
        <f>TEXT(discount_impact_on_profit_2000_rows[[#This Row],[order date]],"mmmm")</f>
        <v>December</v>
      </c>
      <c r="L1865">
        <f>YEAR(discount_impact_on_profit_2000_rows[[#This Row],[order date]])</f>
        <v>2025</v>
      </c>
      <c r="M1865" t="str">
        <f>IF(discount_impact_on_profit_2000_rows[[#This Row],[Discount %]]=0,"Zero Discount",IF(discount_impact_on_profit_2000_rows[[#This Row],[Discount %]]&lt;=10,"Low Discount","High Discount"))</f>
        <v>High Discount</v>
      </c>
      <c r="N1865" t="str">
        <f t="shared" si="29"/>
        <v>10-20%</v>
      </c>
    </row>
    <row r="1866" spans="1:14">
      <c r="A1866" s="1">
        <v>45583</v>
      </c>
      <c r="B1866" t="s">
        <v>1928</v>
      </c>
      <c r="C1866" t="s">
        <v>53</v>
      </c>
      <c r="D1866" t="s">
        <v>113</v>
      </c>
      <c r="E1866">
        <v>7045.93</v>
      </c>
      <c r="F1866" t="s">
        <v>36</v>
      </c>
      <c r="G1866">
        <v>17431.689999999999</v>
      </c>
      <c r="H1866">
        <v>10385.76</v>
      </c>
      <c r="I1866">
        <v>0</v>
      </c>
      <c r="J1866">
        <v>4</v>
      </c>
      <c r="K1866" t="str">
        <f>TEXT(discount_impact_on_profit_2000_rows[[#This Row],[order date]],"mmmm")</f>
        <v>October</v>
      </c>
      <c r="L1866">
        <f>YEAR(discount_impact_on_profit_2000_rows[[#This Row],[order date]])</f>
        <v>2024</v>
      </c>
      <c r="M1866" t="str">
        <f>IF(discount_impact_on_profit_2000_rows[[#This Row],[Discount %]]=0,"Zero Discount",IF(discount_impact_on_profit_2000_rows[[#This Row],[Discount %]]&lt;=10,"Low Discount","High Discount"))</f>
        <v>Zero Discount</v>
      </c>
      <c r="N1866" t="str">
        <f t="shared" si="29"/>
        <v>0-10%</v>
      </c>
    </row>
    <row r="1867" spans="1:14">
      <c r="A1867" s="1">
        <v>45220</v>
      </c>
      <c r="B1867" t="s">
        <v>1929</v>
      </c>
      <c r="C1867" t="s">
        <v>15</v>
      </c>
      <c r="D1867" t="s">
        <v>28</v>
      </c>
      <c r="E1867">
        <v>2946.2</v>
      </c>
      <c r="F1867" t="s">
        <v>26</v>
      </c>
      <c r="G1867">
        <v>3948.03</v>
      </c>
      <c r="H1867">
        <v>1001.83</v>
      </c>
      <c r="I1867">
        <v>15</v>
      </c>
      <c r="J1867">
        <v>2</v>
      </c>
      <c r="K1867" t="str">
        <f>TEXT(discount_impact_on_profit_2000_rows[[#This Row],[order date]],"mmmm")</f>
        <v>October</v>
      </c>
      <c r="L1867">
        <f>YEAR(discount_impact_on_profit_2000_rows[[#This Row],[order date]])</f>
        <v>2023</v>
      </c>
      <c r="M1867" t="str">
        <f>IF(discount_impact_on_profit_2000_rows[[#This Row],[Discount %]]=0,"Zero Discount",IF(discount_impact_on_profit_2000_rows[[#This Row],[Discount %]]&lt;=10,"Low Discount","High Discount"))</f>
        <v>High Discount</v>
      </c>
      <c r="N1867" t="str">
        <f t="shared" si="29"/>
        <v>10-20%</v>
      </c>
    </row>
    <row r="1868" spans="1:14">
      <c r="A1868" s="1">
        <v>45156</v>
      </c>
      <c r="B1868" t="s">
        <v>1930</v>
      </c>
      <c r="C1868" t="s">
        <v>21</v>
      </c>
      <c r="D1868" t="s">
        <v>123</v>
      </c>
      <c r="E1868">
        <v>66034.880000000005</v>
      </c>
      <c r="F1868" t="s">
        <v>26</v>
      </c>
      <c r="G1868">
        <v>79817.8</v>
      </c>
      <c r="H1868">
        <v>13782.92</v>
      </c>
      <c r="I1868">
        <v>10</v>
      </c>
      <c r="J1868">
        <v>4</v>
      </c>
      <c r="K1868" t="str">
        <f>TEXT(discount_impact_on_profit_2000_rows[[#This Row],[order date]],"mmmm")</f>
        <v>August</v>
      </c>
      <c r="L1868">
        <f>YEAR(discount_impact_on_profit_2000_rows[[#This Row],[order date]])</f>
        <v>2023</v>
      </c>
      <c r="M1868" t="str">
        <f>IF(discount_impact_on_profit_2000_rows[[#This Row],[Discount %]]=0,"Zero Discount",IF(discount_impact_on_profit_2000_rows[[#This Row],[Discount %]]&lt;=10,"Low Discount","High Discount"))</f>
        <v>Low Discount</v>
      </c>
      <c r="N1868" t="str">
        <f t="shared" si="29"/>
        <v>0-10%</v>
      </c>
    </row>
    <row r="1869" spans="1:14">
      <c r="A1869" s="1">
        <v>45866</v>
      </c>
      <c r="B1869" t="s">
        <v>1931</v>
      </c>
      <c r="C1869" t="s">
        <v>33</v>
      </c>
      <c r="D1869" t="s">
        <v>273</v>
      </c>
      <c r="E1869">
        <v>8732.89</v>
      </c>
      <c r="F1869" t="s">
        <v>23</v>
      </c>
      <c r="G1869">
        <v>10420.08</v>
      </c>
      <c r="H1869">
        <v>1687.19</v>
      </c>
      <c r="I1869">
        <v>10</v>
      </c>
      <c r="J1869">
        <v>3</v>
      </c>
      <c r="K1869" t="str">
        <f>TEXT(discount_impact_on_profit_2000_rows[[#This Row],[order date]],"mmmm")</f>
        <v>July</v>
      </c>
      <c r="L1869">
        <f>YEAR(discount_impact_on_profit_2000_rows[[#This Row],[order date]])</f>
        <v>2025</v>
      </c>
      <c r="M1869" t="str">
        <f>IF(discount_impact_on_profit_2000_rows[[#This Row],[Discount %]]=0,"Zero Discount",IF(discount_impact_on_profit_2000_rows[[#This Row],[Discount %]]&lt;=10,"Low Discount","High Discount"))</f>
        <v>Low Discount</v>
      </c>
      <c r="N1869" t="str">
        <f t="shared" si="29"/>
        <v>0-10%</v>
      </c>
    </row>
    <row r="1870" spans="1:14">
      <c r="A1870" s="1">
        <v>45182</v>
      </c>
      <c r="B1870" t="s">
        <v>1932</v>
      </c>
      <c r="C1870" t="s">
        <v>21</v>
      </c>
      <c r="D1870" t="s">
        <v>109</v>
      </c>
      <c r="E1870">
        <v>15186.71</v>
      </c>
      <c r="F1870" t="s">
        <v>26</v>
      </c>
      <c r="G1870">
        <v>19049.240000000002</v>
      </c>
      <c r="H1870">
        <v>3862.53</v>
      </c>
      <c r="I1870">
        <v>10</v>
      </c>
      <c r="J1870">
        <v>2</v>
      </c>
      <c r="K1870" t="str">
        <f>TEXT(discount_impact_on_profit_2000_rows[[#This Row],[order date]],"mmmm")</f>
        <v>September</v>
      </c>
      <c r="L1870">
        <f>YEAR(discount_impact_on_profit_2000_rows[[#This Row],[order date]])</f>
        <v>2023</v>
      </c>
      <c r="M1870" t="str">
        <f>IF(discount_impact_on_profit_2000_rows[[#This Row],[Discount %]]=0,"Zero Discount",IF(discount_impact_on_profit_2000_rows[[#This Row],[Discount %]]&lt;=10,"Low Discount","High Discount"))</f>
        <v>Low Discount</v>
      </c>
      <c r="N1870" t="str">
        <f t="shared" si="29"/>
        <v>0-10%</v>
      </c>
    </row>
    <row r="1871" spans="1:14">
      <c r="A1871" s="1">
        <v>45868</v>
      </c>
      <c r="B1871" t="s">
        <v>1933</v>
      </c>
      <c r="C1871" t="s">
        <v>18</v>
      </c>
      <c r="D1871" t="s">
        <v>50</v>
      </c>
      <c r="E1871">
        <v>874.36</v>
      </c>
      <c r="F1871" t="s">
        <v>36</v>
      </c>
      <c r="G1871">
        <v>1359.76</v>
      </c>
      <c r="H1871">
        <v>485.4</v>
      </c>
      <c r="I1871">
        <v>0</v>
      </c>
      <c r="J1871">
        <v>3</v>
      </c>
      <c r="K1871" t="str">
        <f>TEXT(discount_impact_on_profit_2000_rows[[#This Row],[order date]],"mmmm")</f>
        <v>July</v>
      </c>
      <c r="L1871">
        <f>YEAR(discount_impact_on_profit_2000_rows[[#This Row],[order date]])</f>
        <v>2025</v>
      </c>
      <c r="M1871" t="str">
        <f>IF(discount_impact_on_profit_2000_rows[[#This Row],[Discount %]]=0,"Zero Discount",IF(discount_impact_on_profit_2000_rows[[#This Row],[Discount %]]&lt;=10,"Low Discount","High Discount"))</f>
        <v>Zero Discount</v>
      </c>
      <c r="N1871" t="str">
        <f t="shared" si="29"/>
        <v>0-10%</v>
      </c>
    </row>
    <row r="1872" spans="1:14">
      <c r="A1872" s="1">
        <v>45641</v>
      </c>
      <c r="B1872" t="s">
        <v>1934</v>
      </c>
      <c r="C1872" t="s">
        <v>33</v>
      </c>
      <c r="D1872" t="s">
        <v>273</v>
      </c>
      <c r="E1872">
        <v>3255.33</v>
      </c>
      <c r="F1872" t="s">
        <v>36</v>
      </c>
      <c r="G1872">
        <v>3603.26</v>
      </c>
      <c r="H1872">
        <v>347.93</v>
      </c>
      <c r="I1872">
        <v>15</v>
      </c>
      <c r="J1872">
        <v>1</v>
      </c>
      <c r="K1872" t="str">
        <f>TEXT(discount_impact_on_profit_2000_rows[[#This Row],[order date]],"mmmm")</f>
        <v>December</v>
      </c>
      <c r="L1872">
        <f>YEAR(discount_impact_on_profit_2000_rows[[#This Row],[order date]])</f>
        <v>2024</v>
      </c>
      <c r="M1872" t="str">
        <f>IF(discount_impact_on_profit_2000_rows[[#This Row],[Discount %]]=0,"Zero Discount",IF(discount_impact_on_profit_2000_rows[[#This Row],[Discount %]]&lt;=10,"Low Discount","High Discount"))</f>
        <v>High Discount</v>
      </c>
      <c r="N1872" t="str">
        <f t="shared" si="29"/>
        <v>10-20%</v>
      </c>
    </row>
    <row r="1873" spans="1:14">
      <c r="A1873" s="1">
        <v>45133</v>
      </c>
      <c r="B1873" t="s">
        <v>1935</v>
      </c>
      <c r="C1873" t="s">
        <v>11</v>
      </c>
      <c r="D1873" t="s">
        <v>38</v>
      </c>
      <c r="E1873">
        <v>6502.42</v>
      </c>
      <c r="F1873" t="s">
        <v>31</v>
      </c>
      <c r="G1873">
        <v>8021.86</v>
      </c>
      <c r="H1873">
        <v>1519.44</v>
      </c>
      <c r="I1873">
        <v>20</v>
      </c>
      <c r="J1873">
        <v>3</v>
      </c>
      <c r="K1873" t="str">
        <f>TEXT(discount_impact_on_profit_2000_rows[[#This Row],[order date]],"mmmm")</f>
        <v>July</v>
      </c>
      <c r="L1873">
        <f>YEAR(discount_impact_on_profit_2000_rows[[#This Row],[order date]])</f>
        <v>2023</v>
      </c>
      <c r="M1873" t="str">
        <f>IF(discount_impact_on_profit_2000_rows[[#This Row],[Discount %]]=0,"Zero Discount",IF(discount_impact_on_profit_2000_rows[[#This Row],[Discount %]]&lt;=10,"Low Discount","High Discount"))</f>
        <v>High Discount</v>
      </c>
      <c r="N1873" t="str">
        <f t="shared" si="29"/>
        <v>10-20%</v>
      </c>
    </row>
    <row r="1874" spans="1:14">
      <c r="A1874" s="1">
        <v>45458</v>
      </c>
      <c r="B1874" t="s">
        <v>1936</v>
      </c>
      <c r="C1874" t="s">
        <v>11</v>
      </c>
      <c r="D1874" t="s">
        <v>207</v>
      </c>
      <c r="E1874">
        <v>3006.65</v>
      </c>
      <c r="F1874" t="s">
        <v>36</v>
      </c>
      <c r="G1874">
        <v>4312.8999999999996</v>
      </c>
      <c r="H1874">
        <v>1306.25</v>
      </c>
      <c r="I1874">
        <v>10</v>
      </c>
      <c r="J1874">
        <v>2</v>
      </c>
      <c r="K1874" t="str">
        <f>TEXT(discount_impact_on_profit_2000_rows[[#This Row],[order date]],"mmmm")</f>
        <v>June</v>
      </c>
      <c r="L1874">
        <f>YEAR(discount_impact_on_profit_2000_rows[[#This Row],[order date]])</f>
        <v>2024</v>
      </c>
      <c r="M1874" t="str">
        <f>IF(discount_impact_on_profit_2000_rows[[#This Row],[Discount %]]=0,"Zero Discount",IF(discount_impact_on_profit_2000_rows[[#This Row],[Discount %]]&lt;=10,"Low Discount","High Discount"))</f>
        <v>Low Discount</v>
      </c>
      <c r="N1874" t="str">
        <f t="shared" si="29"/>
        <v>0-10%</v>
      </c>
    </row>
    <row r="1875" spans="1:14">
      <c r="A1875" s="1">
        <v>45592</v>
      </c>
      <c r="B1875" t="s">
        <v>1937</v>
      </c>
      <c r="C1875" t="s">
        <v>21</v>
      </c>
      <c r="D1875" t="s">
        <v>22</v>
      </c>
      <c r="E1875">
        <v>6100.41</v>
      </c>
      <c r="F1875" t="s">
        <v>13</v>
      </c>
      <c r="G1875">
        <v>7267</v>
      </c>
      <c r="H1875">
        <v>1166.5899999999999</v>
      </c>
      <c r="I1875">
        <v>10</v>
      </c>
      <c r="J1875">
        <v>3</v>
      </c>
      <c r="K1875" t="str">
        <f>TEXT(discount_impact_on_profit_2000_rows[[#This Row],[order date]],"mmmm")</f>
        <v>October</v>
      </c>
      <c r="L1875">
        <f>YEAR(discount_impact_on_profit_2000_rows[[#This Row],[order date]])</f>
        <v>2024</v>
      </c>
      <c r="M1875" t="str">
        <f>IF(discount_impact_on_profit_2000_rows[[#This Row],[Discount %]]=0,"Zero Discount",IF(discount_impact_on_profit_2000_rows[[#This Row],[Discount %]]&lt;=10,"Low Discount","High Discount"))</f>
        <v>Low Discount</v>
      </c>
      <c r="N1875" t="str">
        <f t="shared" si="29"/>
        <v>0-10%</v>
      </c>
    </row>
    <row r="1876" spans="1:14">
      <c r="A1876" s="1">
        <v>45645</v>
      </c>
      <c r="B1876" t="s">
        <v>1938</v>
      </c>
      <c r="C1876" t="s">
        <v>18</v>
      </c>
      <c r="D1876" t="s">
        <v>19</v>
      </c>
      <c r="E1876">
        <v>98.89</v>
      </c>
      <c r="F1876" t="s">
        <v>26</v>
      </c>
      <c r="G1876">
        <v>190.2</v>
      </c>
      <c r="H1876">
        <v>91.31</v>
      </c>
      <c r="I1876">
        <v>10</v>
      </c>
      <c r="J1876">
        <v>1</v>
      </c>
      <c r="K1876" t="str">
        <f>TEXT(discount_impact_on_profit_2000_rows[[#This Row],[order date]],"mmmm")</f>
        <v>December</v>
      </c>
      <c r="L1876">
        <f>YEAR(discount_impact_on_profit_2000_rows[[#This Row],[order date]])</f>
        <v>2024</v>
      </c>
      <c r="M1876" t="str">
        <f>IF(discount_impact_on_profit_2000_rows[[#This Row],[Discount %]]=0,"Zero Discount",IF(discount_impact_on_profit_2000_rows[[#This Row],[Discount %]]&lt;=10,"Low Discount","High Discount"))</f>
        <v>Low Discount</v>
      </c>
      <c r="N1876" t="str">
        <f t="shared" si="29"/>
        <v>0-10%</v>
      </c>
    </row>
    <row r="1877" spans="1:14">
      <c r="A1877" s="1">
        <v>45263</v>
      </c>
      <c r="B1877" t="s">
        <v>1939</v>
      </c>
      <c r="C1877" t="s">
        <v>53</v>
      </c>
      <c r="D1877" t="s">
        <v>70</v>
      </c>
      <c r="E1877">
        <v>714.79</v>
      </c>
      <c r="F1877" t="s">
        <v>36</v>
      </c>
      <c r="G1877">
        <v>1281.9100000000001</v>
      </c>
      <c r="H1877">
        <v>567.12</v>
      </c>
      <c r="I1877">
        <v>0</v>
      </c>
      <c r="J1877">
        <v>1</v>
      </c>
      <c r="K1877" t="str">
        <f>TEXT(discount_impact_on_profit_2000_rows[[#This Row],[order date]],"mmmm")</f>
        <v>December</v>
      </c>
      <c r="L1877">
        <f>YEAR(discount_impact_on_profit_2000_rows[[#This Row],[order date]])</f>
        <v>2023</v>
      </c>
      <c r="M1877" t="str">
        <f>IF(discount_impact_on_profit_2000_rows[[#This Row],[Discount %]]=0,"Zero Discount",IF(discount_impact_on_profit_2000_rows[[#This Row],[Discount %]]&lt;=10,"Low Discount","High Discount"))</f>
        <v>Zero Discount</v>
      </c>
      <c r="N1877" t="str">
        <f t="shared" si="29"/>
        <v>0-10%</v>
      </c>
    </row>
    <row r="1878" spans="1:14">
      <c r="A1878" s="1">
        <v>45393</v>
      </c>
      <c r="B1878" t="s">
        <v>1940</v>
      </c>
      <c r="C1878" t="s">
        <v>11</v>
      </c>
      <c r="D1878" t="s">
        <v>25</v>
      </c>
      <c r="E1878">
        <v>1753.31</v>
      </c>
      <c r="F1878" t="s">
        <v>23</v>
      </c>
      <c r="G1878">
        <v>2816.74</v>
      </c>
      <c r="H1878">
        <v>1063.43</v>
      </c>
      <c r="I1878">
        <v>0</v>
      </c>
      <c r="J1878">
        <v>1</v>
      </c>
      <c r="K1878" t="str">
        <f>TEXT(discount_impact_on_profit_2000_rows[[#This Row],[order date]],"mmmm")</f>
        <v>April</v>
      </c>
      <c r="L1878">
        <f>YEAR(discount_impact_on_profit_2000_rows[[#This Row],[order date]])</f>
        <v>2024</v>
      </c>
      <c r="M1878" t="str">
        <f>IF(discount_impact_on_profit_2000_rows[[#This Row],[Discount %]]=0,"Zero Discount",IF(discount_impact_on_profit_2000_rows[[#This Row],[Discount %]]&lt;=10,"Low Discount","High Discount"))</f>
        <v>Zero Discount</v>
      </c>
      <c r="N1878" t="str">
        <f t="shared" si="29"/>
        <v>0-10%</v>
      </c>
    </row>
    <row r="1879" spans="1:14">
      <c r="A1879" s="1">
        <v>45391</v>
      </c>
      <c r="B1879" t="s">
        <v>1941</v>
      </c>
      <c r="C1879" t="s">
        <v>21</v>
      </c>
      <c r="D1879" t="s">
        <v>46</v>
      </c>
      <c r="E1879">
        <v>2847.93</v>
      </c>
      <c r="F1879" t="s">
        <v>23</v>
      </c>
      <c r="G1879">
        <v>3641.08</v>
      </c>
      <c r="H1879">
        <v>793.15</v>
      </c>
      <c r="I1879">
        <v>15</v>
      </c>
      <c r="J1879">
        <v>1</v>
      </c>
      <c r="K1879" t="str">
        <f>TEXT(discount_impact_on_profit_2000_rows[[#This Row],[order date]],"mmmm")</f>
        <v>April</v>
      </c>
      <c r="L1879">
        <f>YEAR(discount_impact_on_profit_2000_rows[[#This Row],[order date]])</f>
        <v>2024</v>
      </c>
      <c r="M1879" t="str">
        <f>IF(discount_impact_on_profit_2000_rows[[#This Row],[Discount %]]=0,"Zero Discount",IF(discount_impact_on_profit_2000_rows[[#This Row],[Discount %]]&lt;=10,"Low Discount","High Discount"))</f>
        <v>High Discount</v>
      </c>
      <c r="N1879" t="str">
        <f t="shared" si="29"/>
        <v>10-20%</v>
      </c>
    </row>
    <row r="1880" spans="1:14">
      <c r="A1880" s="1">
        <v>45369</v>
      </c>
      <c r="B1880" t="s">
        <v>1942</v>
      </c>
      <c r="C1880" t="s">
        <v>33</v>
      </c>
      <c r="D1880" t="s">
        <v>102</v>
      </c>
      <c r="E1880">
        <v>2806.94</v>
      </c>
      <c r="F1880" t="s">
        <v>36</v>
      </c>
      <c r="G1880">
        <v>3658.63</v>
      </c>
      <c r="H1880">
        <v>851.69</v>
      </c>
      <c r="I1880">
        <v>15</v>
      </c>
      <c r="J1880">
        <v>1</v>
      </c>
      <c r="K1880" t="str">
        <f>TEXT(discount_impact_on_profit_2000_rows[[#This Row],[order date]],"mmmm")</f>
        <v>March</v>
      </c>
      <c r="L1880">
        <f>YEAR(discount_impact_on_profit_2000_rows[[#This Row],[order date]])</f>
        <v>2024</v>
      </c>
      <c r="M1880" t="str">
        <f>IF(discount_impact_on_profit_2000_rows[[#This Row],[Discount %]]=0,"Zero Discount",IF(discount_impact_on_profit_2000_rows[[#This Row],[Discount %]]&lt;=10,"Low Discount","High Discount"))</f>
        <v>High Discount</v>
      </c>
      <c r="N1880" t="str">
        <f t="shared" si="29"/>
        <v>10-20%</v>
      </c>
    </row>
    <row r="1881" spans="1:14">
      <c r="A1881" s="1">
        <v>45554</v>
      </c>
      <c r="B1881" t="s">
        <v>1943</v>
      </c>
      <c r="C1881" t="s">
        <v>11</v>
      </c>
      <c r="D1881" t="s">
        <v>12</v>
      </c>
      <c r="E1881">
        <v>10874.07</v>
      </c>
      <c r="F1881" t="s">
        <v>36</v>
      </c>
      <c r="G1881">
        <v>19210.099999999999</v>
      </c>
      <c r="H1881">
        <v>8336.0300000000007</v>
      </c>
      <c r="I1881">
        <v>5</v>
      </c>
      <c r="J1881">
        <v>8</v>
      </c>
      <c r="K1881" t="str">
        <f>TEXT(discount_impact_on_profit_2000_rows[[#This Row],[order date]],"mmmm")</f>
        <v>September</v>
      </c>
      <c r="L1881">
        <f>YEAR(discount_impact_on_profit_2000_rows[[#This Row],[order date]])</f>
        <v>2024</v>
      </c>
      <c r="M1881" t="str">
        <f>IF(discount_impact_on_profit_2000_rows[[#This Row],[Discount %]]=0,"Zero Discount",IF(discount_impact_on_profit_2000_rows[[#This Row],[Discount %]]&lt;=10,"Low Discount","High Discount"))</f>
        <v>Low Discount</v>
      </c>
      <c r="N1881" t="str">
        <f t="shared" si="29"/>
        <v>0-10%</v>
      </c>
    </row>
    <row r="1882" spans="1:14">
      <c r="A1882" s="1">
        <v>45274</v>
      </c>
      <c r="B1882" t="s">
        <v>1944</v>
      </c>
      <c r="C1882" t="s">
        <v>15</v>
      </c>
      <c r="D1882" t="s">
        <v>40</v>
      </c>
      <c r="E1882">
        <v>19633.650000000001</v>
      </c>
      <c r="F1882" t="s">
        <v>26</v>
      </c>
      <c r="G1882">
        <v>25144.85</v>
      </c>
      <c r="H1882">
        <v>5511.2</v>
      </c>
      <c r="I1882">
        <v>15</v>
      </c>
      <c r="J1882">
        <v>4</v>
      </c>
      <c r="K1882" t="str">
        <f>TEXT(discount_impact_on_profit_2000_rows[[#This Row],[order date]],"mmmm")</f>
        <v>December</v>
      </c>
      <c r="L1882">
        <f>YEAR(discount_impact_on_profit_2000_rows[[#This Row],[order date]])</f>
        <v>2023</v>
      </c>
      <c r="M1882" t="str">
        <f>IF(discount_impact_on_profit_2000_rows[[#This Row],[Discount %]]=0,"Zero Discount",IF(discount_impact_on_profit_2000_rows[[#This Row],[Discount %]]&lt;=10,"Low Discount","High Discount"))</f>
        <v>High Discount</v>
      </c>
      <c r="N1882" t="str">
        <f t="shared" si="29"/>
        <v>10-20%</v>
      </c>
    </row>
    <row r="1883" spans="1:14">
      <c r="A1883" s="1">
        <v>45409</v>
      </c>
      <c r="B1883" t="s">
        <v>1945</v>
      </c>
      <c r="C1883" t="s">
        <v>33</v>
      </c>
      <c r="D1883" t="s">
        <v>44</v>
      </c>
      <c r="E1883">
        <v>3732.87</v>
      </c>
      <c r="F1883" t="s">
        <v>31</v>
      </c>
      <c r="G1883">
        <v>5181.04</v>
      </c>
      <c r="H1883">
        <v>1448.17</v>
      </c>
      <c r="I1883">
        <v>10</v>
      </c>
      <c r="J1883">
        <v>2</v>
      </c>
      <c r="K1883" t="str">
        <f>TEXT(discount_impact_on_profit_2000_rows[[#This Row],[order date]],"mmmm")</f>
        <v>April</v>
      </c>
      <c r="L1883">
        <f>YEAR(discount_impact_on_profit_2000_rows[[#This Row],[order date]])</f>
        <v>2024</v>
      </c>
      <c r="M1883" t="str">
        <f>IF(discount_impact_on_profit_2000_rows[[#This Row],[Discount %]]=0,"Zero Discount",IF(discount_impact_on_profit_2000_rows[[#This Row],[Discount %]]&lt;=10,"Low Discount","High Discount"))</f>
        <v>Low Discount</v>
      </c>
      <c r="N1883" t="str">
        <f t="shared" si="29"/>
        <v>0-10%</v>
      </c>
    </row>
    <row r="1884" spans="1:14">
      <c r="A1884" s="1">
        <v>45593</v>
      </c>
      <c r="B1884" t="s">
        <v>1946</v>
      </c>
      <c r="C1884" t="s">
        <v>18</v>
      </c>
      <c r="D1884" t="s">
        <v>50</v>
      </c>
      <c r="E1884">
        <v>214.71</v>
      </c>
      <c r="F1884" t="s">
        <v>36</v>
      </c>
      <c r="G1884">
        <v>450.53</v>
      </c>
      <c r="H1884">
        <v>235.82</v>
      </c>
      <c r="I1884">
        <v>10</v>
      </c>
      <c r="J1884">
        <v>3</v>
      </c>
      <c r="K1884" t="str">
        <f>TEXT(discount_impact_on_profit_2000_rows[[#This Row],[order date]],"mmmm")</f>
        <v>October</v>
      </c>
      <c r="L1884">
        <f>YEAR(discount_impact_on_profit_2000_rows[[#This Row],[order date]])</f>
        <v>2024</v>
      </c>
      <c r="M1884" t="str">
        <f>IF(discount_impact_on_profit_2000_rows[[#This Row],[Discount %]]=0,"Zero Discount",IF(discount_impact_on_profit_2000_rows[[#This Row],[Discount %]]&lt;=10,"Low Discount","High Discount"))</f>
        <v>Low Discount</v>
      </c>
      <c r="N1884" t="str">
        <f t="shared" si="29"/>
        <v>0-10%</v>
      </c>
    </row>
    <row r="1885" spans="1:14">
      <c r="A1885" s="1">
        <v>45085</v>
      </c>
      <c r="B1885" t="s">
        <v>1947</v>
      </c>
      <c r="C1885" t="s">
        <v>33</v>
      </c>
      <c r="D1885" t="s">
        <v>273</v>
      </c>
      <c r="E1885">
        <v>24575.74</v>
      </c>
      <c r="F1885" t="s">
        <v>23</v>
      </c>
      <c r="G1885">
        <v>26943.09</v>
      </c>
      <c r="H1885">
        <v>2367.35</v>
      </c>
      <c r="I1885">
        <v>20</v>
      </c>
      <c r="J1885">
        <v>3</v>
      </c>
      <c r="K1885" t="str">
        <f>TEXT(discount_impact_on_profit_2000_rows[[#This Row],[order date]],"mmmm")</f>
        <v>June</v>
      </c>
      <c r="L1885">
        <f>YEAR(discount_impact_on_profit_2000_rows[[#This Row],[order date]])</f>
        <v>2023</v>
      </c>
      <c r="M1885" t="str">
        <f>IF(discount_impact_on_profit_2000_rows[[#This Row],[Discount %]]=0,"Zero Discount",IF(discount_impact_on_profit_2000_rows[[#This Row],[Discount %]]&lt;=10,"Low Discount","High Discount"))</f>
        <v>High Discount</v>
      </c>
      <c r="N1885" t="str">
        <f t="shared" si="29"/>
        <v>10-20%</v>
      </c>
    </row>
    <row r="1886" spans="1:14">
      <c r="A1886" s="1">
        <v>45772</v>
      </c>
      <c r="B1886" t="s">
        <v>1948</v>
      </c>
      <c r="C1886" t="s">
        <v>53</v>
      </c>
      <c r="D1886" t="s">
        <v>70</v>
      </c>
      <c r="E1886">
        <v>3599.43</v>
      </c>
      <c r="F1886" t="s">
        <v>13</v>
      </c>
      <c r="G1886">
        <v>6349.89</v>
      </c>
      <c r="H1886">
        <v>2750.46</v>
      </c>
      <c r="I1886">
        <v>10</v>
      </c>
      <c r="J1886">
        <v>6</v>
      </c>
      <c r="K1886" t="str">
        <f>TEXT(discount_impact_on_profit_2000_rows[[#This Row],[order date]],"mmmm")</f>
        <v>April</v>
      </c>
      <c r="L1886">
        <f>YEAR(discount_impact_on_profit_2000_rows[[#This Row],[order date]])</f>
        <v>2025</v>
      </c>
      <c r="M1886" t="str">
        <f>IF(discount_impact_on_profit_2000_rows[[#This Row],[Discount %]]=0,"Zero Discount",IF(discount_impact_on_profit_2000_rows[[#This Row],[Discount %]]&lt;=10,"Low Discount","High Discount"))</f>
        <v>Low Discount</v>
      </c>
      <c r="N1886" t="str">
        <f t="shared" si="29"/>
        <v>0-10%</v>
      </c>
    </row>
    <row r="1887" spans="1:14">
      <c r="A1887" s="1">
        <v>45814</v>
      </c>
      <c r="B1887" t="s">
        <v>1949</v>
      </c>
      <c r="C1887" t="s">
        <v>21</v>
      </c>
      <c r="D1887" t="s">
        <v>97</v>
      </c>
      <c r="E1887">
        <v>5486.09</v>
      </c>
      <c r="F1887" t="s">
        <v>31</v>
      </c>
      <c r="G1887">
        <v>6918.59</v>
      </c>
      <c r="H1887">
        <v>1432.5</v>
      </c>
      <c r="I1887">
        <v>0</v>
      </c>
      <c r="J1887">
        <v>1</v>
      </c>
      <c r="K1887" t="str">
        <f>TEXT(discount_impact_on_profit_2000_rows[[#This Row],[order date]],"mmmm")</f>
        <v>June</v>
      </c>
      <c r="L1887">
        <f>YEAR(discount_impact_on_profit_2000_rows[[#This Row],[order date]])</f>
        <v>2025</v>
      </c>
      <c r="M1887" t="str">
        <f>IF(discount_impact_on_profit_2000_rows[[#This Row],[Discount %]]=0,"Zero Discount",IF(discount_impact_on_profit_2000_rows[[#This Row],[Discount %]]&lt;=10,"Low Discount","High Discount"))</f>
        <v>Zero Discount</v>
      </c>
      <c r="N1887" t="str">
        <f t="shared" si="29"/>
        <v>0-10%</v>
      </c>
    </row>
    <row r="1888" spans="1:14">
      <c r="A1888" s="1">
        <v>45238</v>
      </c>
      <c r="B1888" t="s">
        <v>1950</v>
      </c>
      <c r="C1888" t="s">
        <v>18</v>
      </c>
      <c r="D1888" t="s">
        <v>188</v>
      </c>
      <c r="E1888">
        <v>474.12</v>
      </c>
      <c r="F1888" t="s">
        <v>36</v>
      </c>
      <c r="G1888">
        <v>853.41</v>
      </c>
      <c r="H1888">
        <v>379.29</v>
      </c>
      <c r="I1888">
        <v>10</v>
      </c>
      <c r="J1888">
        <v>2</v>
      </c>
      <c r="K1888" t="str">
        <f>TEXT(discount_impact_on_profit_2000_rows[[#This Row],[order date]],"mmmm")</f>
        <v>November</v>
      </c>
      <c r="L1888">
        <f>YEAR(discount_impact_on_profit_2000_rows[[#This Row],[order date]])</f>
        <v>2023</v>
      </c>
      <c r="M1888" t="str">
        <f>IF(discount_impact_on_profit_2000_rows[[#This Row],[Discount %]]=0,"Zero Discount",IF(discount_impact_on_profit_2000_rows[[#This Row],[Discount %]]&lt;=10,"Low Discount","High Discount"))</f>
        <v>Low Discount</v>
      </c>
      <c r="N1888" t="str">
        <f t="shared" si="29"/>
        <v>0-10%</v>
      </c>
    </row>
    <row r="1889" spans="1:14">
      <c r="A1889" s="1">
        <v>46021</v>
      </c>
      <c r="B1889" t="s">
        <v>1951</v>
      </c>
      <c r="C1889" t="s">
        <v>18</v>
      </c>
      <c r="D1889" t="s">
        <v>19</v>
      </c>
      <c r="E1889">
        <v>733.05</v>
      </c>
      <c r="F1889" t="s">
        <v>26</v>
      </c>
      <c r="G1889">
        <v>1150.23</v>
      </c>
      <c r="H1889">
        <v>417.18</v>
      </c>
      <c r="I1889">
        <v>10</v>
      </c>
      <c r="J1889">
        <v>1</v>
      </c>
      <c r="K1889" t="str">
        <f>TEXT(discount_impact_on_profit_2000_rows[[#This Row],[order date]],"mmmm")</f>
        <v>December</v>
      </c>
      <c r="L1889">
        <f>YEAR(discount_impact_on_profit_2000_rows[[#This Row],[order date]])</f>
        <v>2025</v>
      </c>
      <c r="M1889" t="str">
        <f>IF(discount_impact_on_profit_2000_rows[[#This Row],[Discount %]]=0,"Zero Discount",IF(discount_impact_on_profit_2000_rows[[#This Row],[Discount %]]&lt;=10,"Low Discount","High Discount"))</f>
        <v>Low Discount</v>
      </c>
      <c r="N1889" t="str">
        <f t="shared" si="29"/>
        <v>0-10%</v>
      </c>
    </row>
    <row r="1890" spans="1:14">
      <c r="A1890" s="1">
        <v>45771</v>
      </c>
      <c r="B1890" t="s">
        <v>1952</v>
      </c>
      <c r="C1890" t="s">
        <v>11</v>
      </c>
      <c r="D1890" t="s">
        <v>64</v>
      </c>
      <c r="E1890">
        <v>1082.6199999999999</v>
      </c>
      <c r="F1890" t="s">
        <v>23</v>
      </c>
      <c r="G1890">
        <v>1582.57</v>
      </c>
      <c r="H1890">
        <v>499.95</v>
      </c>
      <c r="I1890">
        <v>5</v>
      </c>
      <c r="J1890">
        <v>2</v>
      </c>
      <c r="K1890" t="str">
        <f>TEXT(discount_impact_on_profit_2000_rows[[#This Row],[order date]],"mmmm")</f>
        <v>April</v>
      </c>
      <c r="L1890">
        <f>YEAR(discount_impact_on_profit_2000_rows[[#This Row],[order date]])</f>
        <v>2025</v>
      </c>
      <c r="M1890" t="str">
        <f>IF(discount_impact_on_profit_2000_rows[[#This Row],[Discount %]]=0,"Zero Discount",IF(discount_impact_on_profit_2000_rows[[#This Row],[Discount %]]&lt;=10,"Low Discount","High Discount"))</f>
        <v>Low Discount</v>
      </c>
      <c r="N1890" t="str">
        <f t="shared" si="29"/>
        <v>0-10%</v>
      </c>
    </row>
    <row r="1891" spans="1:14">
      <c r="A1891" s="1">
        <v>45305</v>
      </c>
      <c r="B1891" t="s">
        <v>1953</v>
      </c>
      <c r="C1891" t="s">
        <v>11</v>
      </c>
      <c r="D1891" t="s">
        <v>38</v>
      </c>
      <c r="E1891">
        <v>5753.15</v>
      </c>
      <c r="F1891" t="s">
        <v>36</v>
      </c>
      <c r="G1891">
        <v>8432.57</v>
      </c>
      <c r="H1891">
        <v>2679.42</v>
      </c>
      <c r="I1891">
        <v>25</v>
      </c>
      <c r="J1891">
        <v>4</v>
      </c>
      <c r="K1891" t="str">
        <f>TEXT(discount_impact_on_profit_2000_rows[[#This Row],[order date]],"mmmm")</f>
        <v>January</v>
      </c>
      <c r="L1891">
        <f>YEAR(discount_impact_on_profit_2000_rows[[#This Row],[order date]])</f>
        <v>2024</v>
      </c>
      <c r="M1891" t="str">
        <f>IF(discount_impact_on_profit_2000_rows[[#This Row],[Discount %]]=0,"Zero Discount",IF(discount_impact_on_profit_2000_rows[[#This Row],[Discount %]]&lt;=10,"Low Discount","High Discount"))</f>
        <v>High Discount</v>
      </c>
      <c r="N1891" t="str">
        <f t="shared" si="29"/>
        <v>20-30%</v>
      </c>
    </row>
    <row r="1892" spans="1:14">
      <c r="A1892" s="1">
        <v>45052</v>
      </c>
      <c r="B1892" t="s">
        <v>1954</v>
      </c>
      <c r="C1892" t="s">
        <v>21</v>
      </c>
      <c r="D1892" t="s">
        <v>82</v>
      </c>
      <c r="E1892">
        <v>15627.74</v>
      </c>
      <c r="F1892" t="s">
        <v>26</v>
      </c>
      <c r="G1892">
        <v>20561.73</v>
      </c>
      <c r="H1892">
        <v>4933.99</v>
      </c>
      <c r="I1892">
        <v>5</v>
      </c>
      <c r="J1892">
        <v>2</v>
      </c>
      <c r="K1892" t="str">
        <f>TEXT(discount_impact_on_profit_2000_rows[[#This Row],[order date]],"mmmm")</f>
        <v>May</v>
      </c>
      <c r="L1892">
        <f>YEAR(discount_impact_on_profit_2000_rows[[#This Row],[order date]])</f>
        <v>2023</v>
      </c>
      <c r="M1892" t="str">
        <f>IF(discount_impact_on_profit_2000_rows[[#This Row],[Discount %]]=0,"Zero Discount",IF(discount_impact_on_profit_2000_rows[[#This Row],[Discount %]]&lt;=10,"Low Discount","High Discount"))</f>
        <v>Low Discount</v>
      </c>
      <c r="N1892" t="str">
        <f t="shared" si="29"/>
        <v>0-10%</v>
      </c>
    </row>
    <row r="1893" spans="1:14">
      <c r="A1893" s="1">
        <v>45678</v>
      </c>
      <c r="B1893" t="s">
        <v>1955</v>
      </c>
      <c r="C1893" t="s">
        <v>21</v>
      </c>
      <c r="D1893" t="s">
        <v>154</v>
      </c>
      <c r="E1893">
        <v>8820.67</v>
      </c>
      <c r="F1893" t="s">
        <v>31</v>
      </c>
      <c r="G1893">
        <v>8863.98</v>
      </c>
      <c r="H1893">
        <v>43.31</v>
      </c>
      <c r="I1893">
        <v>17</v>
      </c>
      <c r="J1893">
        <v>1</v>
      </c>
      <c r="K1893" t="str">
        <f>TEXT(discount_impact_on_profit_2000_rows[[#This Row],[order date]],"mmmm")</f>
        <v>January</v>
      </c>
      <c r="L1893">
        <f>YEAR(discount_impact_on_profit_2000_rows[[#This Row],[order date]])</f>
        <v>2025</v>
      </c>
      <c r="M1893" t="str">
        <f>IF(discount_impact_on_profit_2000_rows[[#This Row],[Discount %]]=0,"Zero Discount",IF(discount_impact_on_profit_2000_rows[[#This Row],[Discount %]]&lt;=10,"Low Discount","High Discount"))</f>
        <v>High Discount</v>
      </c>
      <c r="N1893" t="str">
        <f t="shared" si="29"/>
        <v>10-20%</v>
      </c>
    </row>
    <row r="1894" spans="1:14">
      <c r="A1894" s="1">
        <v>45724</v>
      </c>
      <c r="B1894" t="s">
        <v>1956</v>
      </c>
      <c r="C1894" t="s">
        <v>21</v>
      </c>
      <c r="D1894" t="s">
        <v>154</v>
      </c>
      <c r="E1894">
        <v>18164.47</v>
      </c>
      <c r="F1894" t="s">
        <v>36</v>
      </c>
      <c r="G1894">
        <v>20787.939999999999</v>
      </c>
      <c r="H1894">
        <v>2623.47</v>
      </c>
      <c r="I1894">
        <v>20</v>
      </c>
      <c r="J1894">
        <v>1</v>
      </c>
      <c r="K1894" t="str">
        <f>TEXT(discount_impact_on_profit_2000_rows[[#This Row],[order date]],"mmmm")</f>
        <v>March</v>
      </c>
      <c r="L1894">
        <f>YEAR(discount_impact_on_profit_2000_rows[[#This Row],[order date]])</f>
        <v>2025</v>
      </c>
      <c r="M1894" t="str">
        <f>IF(discount_impact_on_profit_2000_rows[[#This Row],[Discount %]]=0,"Zero Discount",IF(discount_impact_on_profit_2000_rows[[#This Row],[Discount %]]&lt;=10,"Low Discount","High Discount"))</f>
        <v>High Discount</v>
      </c>
      <c r="N1894" t="str">
        <f t="shared" si="29"/>
        <v>10-20%</v>
      </c>
    </row>
    <row r="1895" spans="1:14">
      <c r="A1895" s="1">
        <v>45648</v>
      </c>
      <c r="B1895" t="s">
        <v>1957</v>
      </c>
      <c r="C1895" t="s">
        <v>21</v>
      </c>
      <c r="D1895" t="s">
        <v>97</v>
      </c>
      <c r="E1895">
        <v>1300.6400000000001</v>
      </c>
      <c r="F1895" t="s">
        <v>31</v>
      </c>
      <c r="G1895">
        <v>1742.38</v>
      </c>
      <c r="H1895">
        <v>441.74</v>
      </c>
      <c r="I1895">
        <v>10</v>
      </c>
      <c r="J1895">
        <v>1</v>
      </c>
      <c r="K1895" t="str">
        <f>TEXT(discount_impact_on_profit_2000_rows[[#This Row],[order date]],"mmmm")</f>
        <v>December</v>
      </c>
      <c r="L1895">
        <f>YEAR(discount_impact_on_profit_2000_rows[[#This Row],[order date]])</f>
        <v>2024</v>
      </c>
      <c r="M1895" t="str">
        <f>IF(discount_impact_on_profit_2000_rows[[#This Row],[Discount %]]=0,"Zero Discount",IF(discount_impact_on_profit_2000_rows[[#This Row],[Discount %]]&lt;=10,"Low Discount","High Discount"))</f>
        <v>Low Discount</v>
      </c>
      <c r="N1895" t="str">
        <f t="shared" si="29"/>
        <v>0-10%</v>
      </c>
    </row>
    <row r="1896" spans="1:14">
      <c r="A1896" s="1">
        <v>45570</v>
      </c>
      <c r="B1896" t="s">
        <v>1958</v>
      </c>
      <c r="C1896" t="s">
        <v>11</v>
      </c>
      <c r="D1896" t="s">
        <v>207</v>
      </c>
      <c r="E1896">
        <v>1351.52</v>
      </c>
      <c r="F1896" t="s">
        <v>31</v>
      </c>
      <c r="G1896">
        <v>3233.98</v>
      </c>
      <c r="H1896">
        <v>1882.46</v>
      </c>
      <c r="I1896">
        <v>5</v>
      </c>
      <c r="J1896">
        <v>10</v>
      </c>
      <c r="K1896" t="str">
        <f>TEXT(discount_impact_on_profit_2000_rows[[#This Row],[order date]],"mmmm")</f>
        <v>October</v>
      </c>
      <c r="L1896">
        <f>YEAR(discount_impact_on_profit_2000_rows[[#This Row],[order date]])</f>
        <v>2024</v>
      </c>
      <c r="M1896" t="str">
        <f>IF(discount_impact_on_profit_2000_rows[[#This Row],[Discount %]]=0,"Zero Discount",IF(discount_impact_on_profit_2000_rows[[#This Row],[Discount %]]&lt;=10,"Low Discount","High Discount"))</f>
        <v>Low Discount</v>
      </c>
      <c r="N1896" t="str">
        <f t="shared" si="29"/>
        <v>0-10%</v>
      </c>
    </row>
    <row r="1897" spans="1:14">
      <c r="A1897" s="1">
        <v>45994</v>
      </c>
      <c r="B1897" t="s">
        <v>1959</v>
      </c>
      <c r="C1897" t="s">
        <v>21</v>
      </c>
      <c r="D1897" t="s">
        <v>57</v>
      </c>
      <c r="E1897">
        <v>6309.54</v>
      </c>
      <c r="F1897" t="s">
        <v>26</v>
      </c>
      <c r="G1897">
        <v>7417.57</v>
      </c>
      <c r="H1897">
        <v>1108.03</v>
      </c>
      <c r="I1897">
        <v>10</v>
      </c>
      <c r="J1897">
        <v>1</v>
      </c>
      <c r="K1897" t="str">
        <f>TEXT(discount_impact_on_profit_2000_rows[[#This Row],[order date]],"mmmm")</f>
        <v>December</v>
      </c>
      <c r="L1897">
        <f>YEAR(discount_impact_on_profit_2000_rows[[#This Row],[order date]])</f>
        <v>2025</v>
      </c>
      <c r="M1897" t="str">
        <f>IF(discount_impact_on_profit_2000_rows[[#This Row],[Discount %]]=0,"Zero Discount",IF(discount_impact_on_profit_2000_rows[[#This Row],[Discount %]]&lt;=10,"Low Discount","High Discount"))</f>
        <v>Low Discount</v>
      </c>
      <c r="N1897" t="str">
        <f t="shared" si="29"/>
        <v>0-10%</v>
      </c>
    </row>
    <row r="1898" spans="1:14">
      <c r="A1898" s="1">
        <v>44934</v>
      </c>
      <c r="B1898" t="s">
        <v>1960</v>
      </c>
      <c r="C1898" t="s">
        <v>53</v>
      </c>
      <c r="D1898" t="s">
        <v>54</v>
      </c>
      <c r="E1898">
        <v>4255.1099999999997</v>
      </c>
      <c r="F1898" t="s">
        <v>26</v>
      </c>
      <c r="G1898">
        <v>7549.1</v>
      </c>
      <c r="H1898">
        <v>3293.99</v>
      </c>
      <c r="I1898">
        <v>10</v>
      </c>
      <c r="J1898">
        <v>3</v>
      </c>
      <c r="K1898" t="str">
        <f>TEXT(discount_impact_on_profit_2000_rows[[#This Row],[order date]],"mmmm")</f>
        <v>January</v>
      </c>
      <c r="L1898">
        <f>YEAR(discount_impact_on_profit_2000_rows[[#This Row],[order date]])</f>
        <v>2023</v>
      </c>
      <c r="M1898" t="str">
        <f>IF(discount_impact_on_profit_2000_rows[[#This Row],[Discount %]]=0,"Zero Discount",IF(discount_impact_on_profit_2000_rows[[#This Row],[Discount %]]&lt;=10,"Low Discount","High Discount"))</f>
        <v>Low Discount</v>
      </c>
      <c r="N1898" t="str">
        <f t="shared" si="29"/>
        <v>0-10%</v>
      </c>
    </row>
    <row r="1899" spans="1:14">
      <c r="A1899" s="1">
        <v>45939</v>
      </c>
      <c r="B1899" t="s">
        <v>1961</v>
      </c>
      <c r="C1899" t="s">
        <v>11</v>
      </c>
      <c r="D1899" t="s">
        <v>64</v>
      </c>
      <c r="E1899">
        <v>541.41</v>
      </c>
      <c r="F1899" t="s">
        <v>31</v>
      </c>
      <c r="G1899">
        <v>948.24</v>
      </c>
      <c r="H1899">
        <v>406.83</v>
      </c>
      <c r="I1899">
        <v>5</v>
      </c>
      <c r="J1899">
        <v>1</v>
      </c>
      <c r="K1899" t="str">
        <f>TEXT(discount_impact_on_profit_2000_rows[[#This Row],[order date]],"mmmm")</f>
        <v>October</v>
      </c>
      <c r="L1899">
        <f>YEAR(discount_impact_on_profit_2000_rows[[#This Row],[order date]])</f>
        <v>2025</v>
      </c>
      <c r="M1899" t="str">
        <f>IF(discount_impact_on_profit_2000_rows[[#This Row],[Discount %]]=0,"Zero Discount",IF(discount_impact_on_profit_2000_rows[[#This Row],[Discount %]]&lt;=10,"Low Discount","High Discount"))</f>
        <v>Low Discount</v>
      </c>
      <c r="N1899" t="str">
        <f t="shared" si="29"/>
        <v>0-10%</v>
      </c>
    </row>
    <row r="1900" spans="1:14">
      <c r="A1900" s="1">
        <v>44996</v>
      </c>
      <c r="B1900" t="s">
        <v>1962</v>
      </c>
      <c r="C1900" t="s">
        <v>53</v>
      </c>
      <c r="D1900" t="s">
        <v>152</v>
      </c>
      <c r="E1900">
        <v>4163.29</v>
      </c>
      <c r="F1900" t="s">
        <v>26</v>
      </c>
      <c r="G1900">
        <v>6554.73</v>
      </c>
      <c r="H1900">
        <v>2391.44</v>
      </c>
      <c r="I1900">
        <v>0</v>
      </c>
      <c r="J1900">
        <v>6</v>
      </c>
      <c r="K1900" t="str">
        <f>TEXT(discount_impact_on_profit_2000_rows[[#This Row],[order date]],"mmmm")</f>
        <v>March</v>
      </c>
      <c r="L1900">
        <f>YEAR(discount_impact_on_profit_2000_rows[[#This Row],[order date]])</f>
        <v>2023</v>
      </c>
      <c r="M1900" t="str">
        <f>IF(discount_impact_on_profit_2000_rows[[#This Row],[Discount %]]=0,"Zero Discount",IF(discount_impact_on_profit_2000_rows[[#This Row],[Discount %]]&lt;=10,"Low Discount","High Discount"))</f>
        <v>Zero Discount</v>
      </c>
      <c r="N1900" t="str">
        <f t="shared" si="29"/>
        <v>0-10%</v>
      </c>
    </row>
    <row r="1901" spans="1:14">
      <c r="A1901" s="1">
        <v>45927</v>
      </c>
      <c r="B1901" t="s">
        <v>1963</v>
      </c>
      <c r="C1901" t="s">
        <v>21</v>
      </c>
      <c r="D1901" t="s">
        <v>22</v>
      </c>
      <c r="E1901">
        <v>47435.68</v>
      </c>
      <c r="F1901" t="s">
        <v>13</v>
      </c>
      <c r="G1901">
        <v>65788.59</v>
      </c>
      <c r="H1901">
        <v>18352.91</v>
      </c>
      <c r="I1901">
        <v>0</v>
      </c>
      <c r="J1901">
        <v>8</v>
      </c>
      <c r="K1901" t="str">
        <f>TEXT(discount_impact_on_profit_2000_rows[[#This Row],[order date]],"mmmm")</f>
        <v>September</v>
      </c>
      <c r="L1901">
        <f>YEAR(discount_impact_on_profit_2000_rows[[#This Row],[order date]])</f>
        <v>2025</v>
      </c>
      <c r="M1901" t="str">
        <f>IF(discount_impact_on_profit_2000_rows[[#This Row],[Discount %]]=0,"Zero Discount",IF(discount_impact_on_profit_2000_rows[[#This Row],[Discount %]]&lt;=10,"Low Discount","High Discount"))</f>
        <v>Zero Discount</v>
      </c>
      <c r="N1901" t="str">
        <f t="shared" si="29"/>
        <v>0-10%</v>
      </c>
    </row>
    <row r="1902" spans="1:14">
      <c r="A1902" s="1">
        <v>45421</v>
      </c>
      <c r="B1902" t="s">
        <v>1964</v>
      </c>
      <c r="C1902" t="s">
        <v>21</v>
      </c>
      <c r="D1902" t="s">
        <v>57</v>
      </c>
      <c r="E1902">
        <v>13932.07</v>
      </c>
      <c r="F1902" t="s">
        <v>23</v>
      </c>
      <c r="G1902">
        <v>15688.1</v>
      </c>
      <c r="H1902">
        <v>1756.03</v>
      </c>
      <c r="I1902">
        <v>15</v>
      </c>
      <c r="J1902">
        <v>4</v>
      </c>
      <c r="K1902" t="str">
        <f>TEXT(discount_impact_on_profit_2000_rows[[#This Row],[order date]],"mmmm")</f>
        <v>May</v>
      </c>
      <c r="L1902">
        <f>YEAR(discount_impact_on_profit_2000_rows[[#This Row],[order date]])</f>
        <v>2024</v>
      </c>
      <c r="M1902" t="str">
        <f>IF(discount_impact_on_profit_2000_rows[[#This Row],[Discount %]]=0,"Zero Discount",IF(discount_impact_on_profit_2000_rows[[#This Row],[Discount %]]&lt;=10,"Low Discount","High Discount"))</f>
        <v>High Discount</v>
      </c>
      <c r="N1902" t="str">
        <f t="shared" si="29"/>
        <v>10-20%</v>
      </c>
    </row>
    <row r="1903" spans="1:14">
      <c r="A1903" s="1">
        <v>44969</v>
      </c>
      <c r="B1903" t="s">
        <v>1965</v>
      </c>
      <c r="C1903" t="s">
        <v>53</v>
      </c>
      <c r="D1903" t="s">
        <v>95</v>
      </c>
      <c r="E1903">
        <v>2064.16</v>
      </c>
      <c r="F1903" t="s">
        <v>31</v>
      </c>
      <c r="G1903">
        <v>3828.85</v>
      </c>
      <c r="H1903">
        <v>1764.69</v>
      </c>
      <c r="I1903">
        <v>15</v>
      </c>
      <c r="J1903">
        <v>2</v>
      </c>
      <c r="K1903" t="str">
        <f>TEXT(discount_impact_on_profit_2000_rows[[#This Row],[order date]],"mmmm")</f>
        <v>February</v>
      </c>
      <c r="L1903">
        <f>YEAR(discount_impact_on_profit_2000_rows[[#This Row],[order date]])</f>
        <v>2023</v>
      </c>
      <c r="M1903" t="str">
        <f>IF(discount_impact_on_profit_2000_rows[[#This Row],[Discount %]]=0,"Zero Discount",IF(discount_impact_on_profit_2000_rows[[#This Row],[Discount %]]&lt;=10,"Low Discount","High Discount"))</f>
        <v>High Discount</v>
      </c>
      <c r="N1903" t="str">
        <f t="shared" si="29"/>
        <v>10-20%</v>
      </c>
    </row>
    <row r="1904" spans="1:14">
      <c r="A1904" s="1">
        <v>45635</v>
      </c>
      <c r="B1904" t="s">
        <v>1966</v>
      </c>
      <c r="C1904" t="s">
        <v>33</v>
      </c>
      <c r="D1904" t="s">
        <v>44</v>
      </c>
      <c r="E1904">
        <v>15423.31</v>
      </c>
      <c r="F1904" t="s">
        <v>26</v>
      </c>
      <c r="G1904">
        <v>21315.66</v>
      </c>
      <c r="H1904">
        <v>5892.35</v>
      </c>
      <c r="I1904">
        <v>0</v>
      </c>
      <c r="J1904">
        <v>3</v>
      </c>
      <c r="K1904" t="str">
        <f>TEXT(discount_impact_on_profit_2000_rows[[#This Row],[order date]],"mmmm")</f>
        <v>December</v>
      </c>
      <c r="L1904">
        <f>YEAR(discount_impact_on_profit_2000_rows[[#This Row],[order date]])</f>
        <v>2024</v>
      </c>
      <c r="M1904" t="str">
        <f>IF(discount_impact_on_profit_2000_rows[[#This Row],[Discount %]]=0,"Zero Discount",IF(discount_impact_on_profit_2000_rows[[#This Row],[Discount %]]&lt;=10,"Low Discount","High Discount"))</f>
        <v>Zero Discount</v>
      </c>
      <c r="N1904" t="str">
        <f t="shared" si="29"/>
        <v>0-10%</v>
      </c>
    </row>
    <row r="1905" spans="1:14">
      <c r="A1905" s="1">
        <v>45915</v>
      </c>
      <c r="B1905" t="s">
        <v>1967</v>
      </c>
      <c r="C1905" t="s">
        <v>15</v>
      </c>
      <c r="D1905" t="s">
        <v>76</v>
      </c>
      <c r="E1905">
        <v>11895.28</v>
      </c>
      <c r="F1905" t="s">
        <v>26</v>
      </c>
      <c r="G1905">
        <v>12310.93</v>
      </c>
      <c r="H1905">
        <v>415.65</v>
      </c>
      <c r="I1905">
        <v>25</v>
      </c>
      <c r="J1905">
        <v>2</v>
      </c>
      <c r="K1905" t="str">
        <f>TEXT(discount_impact_on_profit_2000_rows[[#This Row],[order date]],"mmmm")</f>
        <v>September</v>
      </c>
      <c r="L1905">
        <f>YEAR(discount_impact_on_profit_2000_rows[[#This Row],[order date]])</f>
        <v>2025</v>
      </c>
      <c r="M1905" t="str">
        <f>IF(discount_impact_on_profit_2000_rows[[#This Row],[Discount %]]=0,"Zero Discount",IF(discount_impact_on_profit_2000_rows[[#This Row],[Discount %]]&lt;=10,"Low Discount","High Discount"))</f>
        <v>High Discount</v>
      </c>
      <c r="N1905" t="str">
        <f t="shared" si="29"/>
        <v>20-30%</v>
      </c>
    </row>
    <row r="1906" spans="1:14">
      <c r="A1906" s="1">
        <v>45345</v>
      </c>
      <c r="B1906" t="s">
        <v>1968</v>
      </c>
      <c r="C1906" t="s">
        <v>53</v>
      </c>
      <c r="D1906" t="s">
        <v>78</v>
      </c>
      <c r="E1906">
        <v>3134.76</v>
      </c>
      <c r="F1906" t="s">
        <v>23</v>
      </c>
      <c r="G1906">
        <v>4487.04</v>
      </c>
      <c r="H1906">
        <v>1352.28</v>
      </c>
      <c r="I1906">
        <v>10</v>
      </c>
      <c r="J1906">
        <v>3</v>
      </c>
      <c r="K1906" t="str">
        <f>TEXT(discount_impact_on_profit_2000_rows[[#This Row],[order date]],"mmmm")</f>
        <v>February</v>
      </c>
      <c r="L1906">
        <f>YEAR(discount_impact_on_profit_2000_rows[[#This Row],[order date]])</f>
        <v>2024</v>
      </c>
      <c r="M1906" t="str">
        <f>IF(discount_impact_on_profit_2000_rows[[#This Row],[Discount %]]=0,"Zero Discount",IF(discount_impact_on_profit_2000_rows[[#This Row],[Discount %]]&lt;=10,"Low Discount","High Discount"))</f>
        <v>Low Discount</v>
      </c>
      <c r="N1906" t="str">
        <f t="shared" si="29"/>
        <v>0-10%</v>
      </c>
    </row>
    <row r="1907" spans="1:14">
      <c r="A1907" s="1">
        <v>45899</v>
      </c>
      <c r="B1907" t="s">
        <v>1969</v>
      </c>
      <c r="C1907" t="s">
        <v>33</v>
      </c>
      <c r="D1907" t="s">
        <v>102</v>
      </c>
      <c r="E1907">
        <v>82528.78</v>
      </c>
      <c r="F1907" t="s">
        <v>26</v>
      </c>
      <c r="G1907">
        <v>125899.59</v>
      </c>
      <c r="H1907">
        <v>43370.81</v>
      </c>
      <c r="I1907">
        <v>10</v>
      </c>
      <c r="J1907">
        <v>6</v>
      </c>
      <c r="K1907" t="str">
        <f>TEXT(discount_impact_on_profit_2000_rows[[#This Row],[order date]],"mmmm")</f>
        <v>August</v>
      </c>
      <c r="L1907">
        <f>YEAR(discount_impact_on_profit_2000_rows[[#This Row],[order date]])</f>
        <v>2025</v>
      </c>
      <c r="M1907" t="str">
        <f>IF(discount_impact_on_profit_2000_rows[[#This Row],[Discount %]]=0,"Zero Discount",IF(discount_impact_on_profit_2000_rows[[#This Row],[Discount %]]&lt;=10,"Low Discount","High Discount"))</f>
        <v>Low Discount</v>
      </c>
      <c r="N1907" t="str">
        <f t="shared" si="29"/>
        <v>0-10%</v>
      </c>
    </row>
    <row r="1908" spans="1:14">
      <c r="A1908" s="1">
        <v>45804</v>
      </c>
      <c r="B1908" t="s">
        <v>1970</v>
      </c>
      <c r="C1908" t="s">
        <v>21</v>
      </c>
      <c r="D1908" t="s">
        <v>22</v>
      </c>
      <c r="E1908">
        <v>10280.02</v>
      </c>
      <c r="F1908" t="s">
        <v>31</v>
      </c>
      <c r="G1908">
        <v>10313.26</v>
      </c>
      <c r="H1908">
        <v>33.24</v>
      </c>
      <c r="I1908">
        <v>15</v>
      </c>
      <c r="J1908">
        <v>2</v>
      </c>
      <c r="K1908" t="str">
        <f>TEXT(discount_impact_on_profit_2000_rows[[#This Row],[order date]],"mmmm")</f>
        <v>May</v>
      </c>
      <c r="L1908">
        <f>YEAR(discount_impact_on_profit_2000_rows[[#This Row],[order date]])</f>
        <v>2025</v>
      </c>
      <c r="M1908" t="str">
        <f>IF(discount_impact_on_profit_2000_rows[[#This Row],[Discount %]]=0,"Zero Discount",IF(discount_impact_on_profit_2000_rows[[#This Row],[Discount %]]&lt;=10,"Low Discount","High Discount"))</f>
        <v>High Discount</v>
      </c>
      <c r="N1908" t="str">
        <f t="shared" si="29"/>
        <v>10-20%</v>
      </c>
    </row>
    <row r="1909" spans="1:14">
      <c r="A1909" s="1">
        <v>45526</v>
      </c>
      <c r="B1909" t="s">
        <v>1971</v>
      </c>
      <c r="C1909" t="s">
        <v>21</v>
      </c>
      <c r="D1909" t="s">
        <v>57</v>
      </c>
      <c r="E1909">
        <v>36085.370000000003</v>
      </c>
      <c r="F1909" t="s">
        <v>36</v>
      </c>
      <c r="G1909">
        <v>37167.93</v>
      </c>
      <c r="H1909">
        <v>1082.56</v>
      </c>
      <c r="I1909">
        <v>20</v>
      </c>
      <c r="J1909">
        <v>4</v>
      </c>
      <c r="K1909" t="str">
        <f>TEXT(discount_impact_on_profit_2000_rows[[#This Row],[order date]],"mmmm")</f>
        <v>August</v>
      </c>
      <c r="L1909">
        <f>YEAR(discount_impact_on_profit_2000_rows[[#This Row],[order date]])</f>
        <v>2024</v>
      </c>
      <c r="M1909" t="str">
        <f>IF(discount_impact_on_profit_2000_rows[[#This Row],[Discount %]]=0,"Zero Discount",IF(discount_impact_on_profit_2000_rows[[#This Row],[Discount %]]&lt;=10,"Low Discount","High Discount"))</f>
        <v>High Discount</v>
      </c>
      <c r="N1909" t="str">
        <f t="shared" si="29"/>
        <v>10-20%</v>
      </c>
    </row>
    <row r="1910" spans="1:14">
      <c r="A1910" s="1">
        <v>45978</v>
      </c>
      <c r="B1910" t="s">
        <v>1972</v>
      </c>
      <c r="C1910" t="s">
        <v>21</v>
      </c>
      <c r="D1910" t="s">
        <v>109</v>
      </c>
      <c r="E1910">
        <v>1467.92</v>
      </c>
      <c r="F1910" t="s">
        <v>13</v>
      </c>
      <c r="G1910">
        <v>1530.81</v>
      </c>
      <c r="H1910">
        <v>62.89</v>
      </c>
      <c r="I1910">
        <v>25</v>
      </c>
      <c r="J1910">
        <v>1</v>
      </c>
      <c r="K1910" t="str">
        <f>TEXT(discount_impact_on_profit_2000_rows[[#This Row],[order date]],"mmmm")</f>
        <v>November</v>
      </c>
      <c r="L1910">
        <f>YEAR(discount_impact_on_profit_2000_rows[[#This Row],[order date]])</f>
        <v>2025</v>
      </c>
      <c r="M1910" t="str">
        <f>IF(discount_impact_on_profit_2000_rows[[#This Row],[Discount %]]=0,"Zero Discount",IF(discount_impact_on_profit_2000_rows[[#This Row],[Discount %]]&lt;=10,"Low Discount","High Discount"))</f>
        <v>High Discount</v>
      </c>
      <c r="N1910" t="str">
        <f t="shared" si="29"/>
        <v>20-30%</v>
      </c>
    </row>
    <row r="1911" spans="1:14">
      <c r="A1911" s="1">
        <v>45870</v>
      </c>
      <c r="B1911" t="s">
        <v>1973</v>
      </c>
      <c r="C1911" t="s">
        <v>53</v>
      </c>
      <c r="D1911" t="s">
        <v>54</v>
      </c>
      <c r="E1911">
        <v>13259.75</v>
      </c>
      <c r="F1911" t="s">
        <v>36</v>
      </c>
      <c r="G1911">
        <v>24051.25</v>
      </c>
      <c r="H1911">
        <v>10791.5</v>
      </c>
      <c r="I1911">
        <v>0</v>
      </c>
      <c r="J1911">
        <v>10</v>
      </c>
      <c r="K1911" t="str">
        <f>TEXT(discount_impact_on_profit_2000_rows[[#This Row],[order date]],"mmmm")</f>
        <v>August</v>
      </c>
      <c r="L1911">
        <f>YEAR(discount_impact_on_profit_2000_rows[[#This Row],[order date]])</f>
        <v>2025</v>
      </c>
      <c r="M1911" t="str">
        <f>IF(discount_impact_on_profit_2000_rows[[#This Row],[Discount %]]=0,"Zero Discount",IF(discount_impact_on_profit_2000_rows[[#This Row],[Discount %]]&lt;=10,"Low Discount","High Discount"))</f>
        <v>Zero Discount</v>
      </c>
      <c r="N1911" t="str">
        <f t="shared" si="29"/>
        <v>0-10%</v>
      </c>
    </row>
    <row r="1912" spans="1:14">
      <c r="A1912" s="1">
        <v>45466</v>
      </c>
      <c r="B1912" t="s">
        <v>1974</v>
      </c>
      <c r="C1912" t="s">
        <v>21</v>
      </c>
      <c r="D1912" t="s">
        <v>82</v>
      </c>
      <c r="E1912">
        <v>1249.6400000000001</v>
      </c>
      <c r="F1912" t="s">
        <v>31</v>
      </c>
      <c r="G1912">
        <v>1803.51</v>
      </c>
      <c r="H1912">
        <v>553.87</v>
      </c>
      <c r="I1912">
        <v>0</v>
      </c>
      <c r="J1912">
        <v>1</v>
      </c>
      <c r="K1912" t="str">
        <f>TEXT(discount_impact_on_profit_2000_rows[[#This Row],[order date]],"mmmm")</f>
        <v>June</v>
      </c>
      <c r="L1912">
        <f>YEAR(discount_impact_on_profit_2000_rows[[#This Row],[order date]])</f>
        <v>2024</v>
      </c>
      <c r="M1912" t="str">
        <f>IF(discount_impact_on_profit_2000_rows[[#This Row],[Discount %]]=0,"Zero Discount",IF(discount_impact_on_profit_2000_rows[[#This Row],[Discount %]]&lt;=10,"Low Discount","High Discount"))</f>
        <v>Zero Discount</v>
      </c>
      <c r="N1912" t="str">
        <f t="shared" si="29"/>
        <v>0-10%</v>
      </c>
    </row>
    <row r="1913" spans="1:14">
      <c r="A1913" s="1">
        <v>45550</v>
      </c>
      <c r="B1913" t="s">
        <v>1975</v>
      </c>
      <c r="C1913" t="s">
        <v>33</v>
      </c>
      <c r="D1913" t="s">
        <v>197</v>
      </c>
      <c r="E1913">
        <v>9864.43</v>
      </c>
      <c r="F1913" t="s">
        <v>36</v>
      </c>
      <c r="G1913">
        <v>12709.34</v>
      </c>
      <c r="H1913">
        <v>2844.91</v>
      </c>
      <c r="I1913">
        <v>10</v>
      </c>
      <c r="J1913">
        <v>1</v>
      </c>
      <c r="K1913" t="str">
        <f>TEXT(discount_impact_on_profit_2000_rows[[#This Row],[order date]],"mmmm")</f>
        <v>September</v>
      </c>
      <c r="L1913">
        <f>YEAR(discount_impact_on_profit_2000_rows[[#This Row],[order date]])</f>
        <v>2024</v>
      </c>
      <c r="M1913" t="str">
        <f>IF(discount_impact_on_profit_2000_rows[[#This Row],[Discount %]]=0,"Zero Discount",IF(discount_impact_on_profit_2000_rows[[#This Row],[Discount %]]&lt;=10,"Low Discount","High Discount"))</f>
        <v>Low Discount</v>
      </c>
      <c r="N1913" t="str">
        <f t="shared" si="29"/>
        <v>0-10%</v>
      </c>
    </row>
    <row r="1914" spans="1:14">
      <c r="A1914" s="1">
        <v>45689</v>
      </c>
      <c r="B1914" t="s">
        <v>1976</v>
      </c>
      <c r="C1914" t="s">
        <v>15</v>
      </c>
      <c r="D1914" t="s">
        <v>40</v>
      </c>
      <c r="E1914">
        <v>2862.5</v>
      </c>
      <c r="F1914" t="s">
        <v>26</v>
      </c>
      <c r="G1914">
        <v>4415.8900000000003</v>
      </c>
      <c r="H1914">
        <v>1553.39</v>
      </c>
      <c r="I1914">
        <v>0</v>
      </c>
      <c r="J1914">
        <v>2</v>
      </c>
      <c r="K1914" t="str">
        <f>TEXT(discount_impact_on_profit_2000_rows[[#This Row],[order date]],"mmmm")</f>
        <v>February</v>
      </c>
      <c r="L1914">
        <f>YEAR(discount_impact_on_profit_2000_rows[[#This Row],[order date]])</f>
        <v>2025</v>
      </c>
      <c r="M1914" t="str">
        <f>IF(discount_impact_on_profit_2000_rows[[#This Row],[Discount %]]=0,"Zero Discount",IF(discount_impact_on_profit_2000_rows[[#This Row],[Discount %]]&lt;=10,"Low Discount","High Discount"))</f>
        <v>Zero Discount</v>
      </c>
      <c r="N1914" t="str">
        <f t="shared" si="29"/>
        <v>0-10%</v>
      </c>
    </row>
    <row r="1915" spans="1:14">
      <c r="A1915" s="1">
        <v>45116</v>
      </c>
      <c r="B1915" t="s">
        <v>1977</v>
      </c>
      <c r="C1915" t="s">
        <v>53</v>
      </c>
      <c r="D1915" t="s">
        <v>54</v>
      </c>
      <c r="E1915">
        <v>324.44</v>
      </c>
      <c r="F1915" t="s">
        <v>13</v>
      </c>
      <c r="G1915">
        <v>699.52</v>
      </c>
      <c r="H1915">
        <v>375.08</v>
      </c>
      <c r="I1915">
        <v>0</v>
      </c>
      <c r="J1915">
        <v>1</v>
      </c>
      <c r="K1915" t="str">
        <f>TEXT(discount_impact_on_profit_2000_rows[[#This Row],[order date]],"mmmm")</f>
        <v>July</v>
      </c>
      <c r="L1915">
        <f>YEAR(discount_impact_on_profit_2000_rows[[#This Row],[order date]])</f>
        <v>2023</v>
      </c>
      <c r="M1915" t="str">
        <f>IF(discount_impact_on_profit_2000_rows[[#This Row],[Discount %]]=0,"Zero Discount",IF(discount_impact_on_profit_2000_rows[[#This Row],[Discount %]]&lt;=10,"Low Discount","High Discount"))</f>
        <v>Zero Discount</v>
      </c>
      <c r="N1915" t="str">
        <f t="shared" si="29"/>
        <v>0-10%</v>
      </c>
    </row>
    <row r="1916" spans="1:14">
      <c r="A1916" s="1">
        <v>45196</v>
      </c>
      <c r="B1916" t="s">
        <v>1978</v>
      </c>
      <c r="C1916" t="s">
        <v>18</v>
      </c>
      <c r="D1916" t="s">
        <v>140</v>
      </c>
      <c r="E1916">
        <v>271.25</v>
      </c>
      <c r="F1916" t="s">
        <v>26</v>
      </c>
      <c r="G1916">
        <v>322.51</v>
      </c>
      <c r="H1916">
        <v>51.26</v>
      </c>
      <c r="I1916">
        <v>20</v>
      </c>
      <c r="J1916">
        <v>2</v>
      </c>
      <c r="K1916" t="str">
        <f>TEXT(discount_impact_on_profit_2000_rows[[#This Row],[order date]],"mmmm")</f>
        <v>September</v>
      </c>
      <c r="L1916">
        <f>YEAR(discount_impact_on_profit_2000_rows[[#This Row],[order date]])</f>
        <v>2023</v>
      </c>
      <c r="M1916" t="str">
        <f>IF(discount_impact_on_profit_2000_rows[[#This Row],[Discount %]]=0,"Zero Discount",IF(discount_impact_on_profit_2000_rows[[#This Row],[Discount %]]&lt;=10,"Low Discount","High Discount"))</f>
        <v>High Discount</v>
      </c>
      <c r="N1916" t="str">
        <f t="shared" si="29"/>
        <v>10-20%</v>
      </c>
    </row>
    <row r="1917" spans="1:14">
      <c r="A1917" s="1">
        <v>45184</v>
      </c>
      <c r="B1917" t="s">
        <v>1979</v>
      </c>
      <c r="C1917" t="s">
        <v>53</v>
      </c>
      <c r="D1917" t="s">
        <v>70</v>
      </c>
      <c r="E1917">
        <v>2076.42</v>
      </c>
      <c r="F1917" t="s">
        <v>31</v>
      </c>
      <c r="G1917">
        <v>4562.8999999999996</v>
      </c>
      <c r="H1917">
        <v>2486.48</v>
      </c>
      <c r="I1917">
        <v>10</v>
      </c>
      <c r="J1917">
        <v>5</v>
      </c>
      <c r="K1917" t="str">
        <f>TEXT(discount_impact_on_profit_2000_rows[[#This Row],[order date]],"mmmm")</f>
        <v>September</v>
      </c>
      <c r="L1917">
        <f>YEAR(discount_impact_on_profit_2000_rows[[#This Row],[order date]])</f>
        <v>2023</v>
      </c>
      <c r="M1917" t="str">
        <f>IF(discount_impact_on_profit_2000_rows[[#This Row],[Discount %]]=0,"Zero Discount",IF(discount_impact_on_profit_2000_rows[[#This Row],[Discount %]]&lt;=10,"Low Discount","High Discount"))</f>
        <v>Low Discount</v>
      </c>
      <c r="N1917" t="str">
        <f t="shared" si="29"/>
        <v>0-10%</v>
      </c>
    </row>
    <row r="1918" spans="1:14">
      <c r="A1918" s="1">
        <v>45514</v>
      </c>
      <c r="B1918" t="s">
        <v>1980</v>
      </c>
      <c r="C1918" t="s">
        <v>21</v>
      </c>
      <c r="D1918" t="s">
        <v>154</v>
      </c>
      <c r="E1918">
        <v>29993.599999999999</v>
      </c>
      <c r="F1918" t="s">
        <v>36</v>
      </c>
      <c r="G1918">
        <v>30048.99</v>
      </c>
      <c r="H1918">
        <v>55.39</v>
      </c>
      <c r="I1918">
        <v>16</v>
      </c>
      <c r="J1918">
        <v>3</v>
      </c>
      <c r="K1918" t="str">
        <f>TEXT(discount_impact_on_profit_2000_rows[[#This Row],[order date]],"mmmm")</f>
        <v>August</v>
      </c>
      <c r="L1918">
        <f>YEAR(discount_impact_on_profit_2000_rows[[#This Row],[order date]])</f>
        <v>2024</v>
      </c>
      <c r="M1918" t="str">
        <f>IF(discount_impact_on_profit_2000_rows[[#This Row],[Discount %]]=0,"Zero Discount",IF(discount_impact_on_profit_2000_rows[[#This Row],[Discount %]]&lt;=10,"Low Discount","High Discount"))</f>
        <v>High Discount</v>
      </c>
      <c r="N1918" t="str">
        <f t="shared" si="29"/>
        <v>10-20%</v>
      </c>
    </row>
    <row r="1919" spans="1:14">
      <c r="A1919" s="1">
        <v>45432</v>
      </c>
      <c r="B1919" t="s">
        <v>1981</v>
      </c>
      <c r="C1919" t="s">
        <v>11</v>
      </c>
      <c r="D1919" t="s">
        <v>64</v>
      </c>
      <c r="E1919">
        <v>2071.15</v>
      </c>
      <c r="F1919" t="s">
        <v>36</v>
      </c>
      <c r="G1919">
        <v>2717.59</v>
      </c>
      <c r="H1919">
        <v>646.44000000000005</v>
      </c>
      <c r="I1919">
        <v>20</v>
      </c>
      <c r="J1919">
        <v>4</v>
      </c>
      <c r="K1919" t="str">
        <f>TEXT(discount_impact_on_profit_2000_rows[[#This Row],[order date]],"mmmm")</f>
        <v>May</v>
      </c>
      <c r="L1919">
        <f>YEAR(discount_impact_on_profit_2000_rows[[#This Row],[order date]])</f>
        <v>2024</v>
      </c>
      <c r="M1919" t="str">
        <f>IF(discount_impact_on_profit_2000_rows[[#This Row],[Discount %]]=0,"Zero Discount",IF(discount_impact_on_profit_2000_rows[[#This Row],[Discount %]]&lt;=10,"Low Discount","High Discount"))</f>
        <v>High Discount</v>
      </c>
      <c r="N1919" t="str">
        <f t="shared" si="29"/>
        <v>10-20%</v>
      </c>
    </row>
    <row r="1920" spans="1:14">
      <c r="A1920" s="1">
        <v>45310</v>
      </c>
      <c r="B1920" t="s">
        <v>1982</v>
      </c>
      <c r="C1920" t="s">
        <v>21</v>
      </c>
      <c r="D1920" t="s">
        <v>22</v>
      </c>
      <c r="E1920">
        <v>29139.53</v>
      </c>
      <c r="F1920" t="s">
        <v>31</v>
      </c>
      <c r="G1920">
        <v>29242.48</v>
      </c>
      <c r="H1920">
        <v>102.95</v>
      </c>
      <c r="I1920">
        <v>17</v>
      </c>
      <c r="J1920">
        <v>6</v>
      </c>
      <c r="K1920" t="str">
        <f>TEXT(discount_impact_on_profit_2000_rows[[#This Row],[order date]],"mmmm")</f>
        <v>January</v>
      </c>
      <c r="L1920">
        <f>YEAR(discount_impact_on_profit_2000_rows[[#This Row],[order date]])</f>
        <v>2024</v>
      </c>
      <c r="M1920" t="str">
        <f>IF(discount_impact_on_profit_2000_rows[[#This Row],[Discount %]]=0,"Zero Discount",IF(discount_impact_on_profit_2000_rows[[#This Row],[Discount %]]&lt;=10,"Low Discount","High Discount"))</f>
        <v>High Discount</v>
      </c>
      <c r="N1920" t="str">
        <f t="shared" si="29"/>
        <v>10-20%</v>
      </c>
    </row>
    <row r="1921" spans="1:14">
      <c r="A1921" s="1">
        <v>45933</v>
      </c>
      <c r="B1921" t="s">
        <v>1983</v>
      </c>
      <c r="C1921" t="s">
        <v>53</v>
      </c>
      <c r="D1921" t="s">
        <v>95</v>
      </c>
      <c r="E1921">
        <v>2783.27</v>
      </c>
      <c r="F1921" t="s">
        <v>31</v>
      </c>
      <c r="G1921">
        <v>3640.54</v>
      </c>
      <c r="H1921">
        <v>857.27</v>
      </c>
      <c r="I1921">
        <v>20</v>
      </c>
      <c r="J1921">
        <v>1</v>
      </c>
      <c r="K1921" t="str">
        <f>TEXT(discount_impact_on_profit_2000_rows[[#This Row],[order date]],"mmmm")</f>
        <v>October</v>
      </c>
      <c r="L1921">
        <f>YEAR(discount_impact_on_profit_2000_rows[[#This Row],[order date]])</f>
        <v>2025</v>
      </c>
      <c r="M1921" t="str">
        <f>IF(discount_impact_on_profit_2000_rows[[#This Row],[Discount %]]=0,"Zero Discount",IF(discount_impact_on_profit_2000_rows[[#This Row],[Discount %]]&lt;=10,"Low Discount","High Discount"))</f>
        <v>High Discount</v>
      </c>
      <c r="N1921" t="str">
        <f t="shared" si="29"/>
        <v>10-20%</v>
      </c>
    </row>
    <row r="1922" spans="1:14">
      <c r="A1922" s="1">
        <v>44982</v>
      </c>
      <c r="B1922" t="s">
        <v>1984</v>
      </c>
      <c r="C1922" t="s">
        <v>11</v>
      </c>
      <c r="D1922" t="s">
        <v>38</v>
      </c>
      <c r="E1922">
        <v>3436.94</v>
      </c>
      <c r="F1922" t="s">
        <v>26</v>
      </c>
      <c r="G1922">
        <v>6568.11</v>
      </c>
      <c r="H1922">
        <v>3131.17</v>
      </c>
      <c r="I1922">
        <v>0</v>
      </c>
      <c r="J1922">
        <v>2</v>
      </c>
      <c r="K1922" t="str">
        <f>TEXT(discount_impact_on_profit_2000_rows[[#This Row],[order date]],"mmmm")</f>
        <v>February</v>
      </c>
      <c r="L1922">
        <f>YEAR(discount_impact_on_profit_2000_rows[[#This Row],[order date]])</f>
        <v>2023</v>
      </c>
      <c r="M1922" t="str">
        <f>IF(discount_impact_on_profit_2000_rows[[#This Row],[Discount %]]=0,"Zero Discount",IF(discount_impact_on_profit_2000_rows[[#This Row],[Discount %]]&lt;=10,"Low Discount","High Discount"))</f>
        <v>Zero Discount</v>
      </c>
      <c r="N1922" t="str">
        <f t="shared" ref="N1922:N1985" si="30">IF(I1922&lt;=10,"0-10%",IF(I1922&lt;=20,"10-20%",IF(I1922&lt;=30,"20-30%","30%+")))</f>
        <v>0-10%</v>
      </c>
    </row>
    <row r="1923" spans="1:14">
      <c r="A1923" s="1">
        <v>45476</v>
      </c>
      <c r="B1923" t="s">
        <v>1985</v>
      </c>
      <c r="C1923" t="s">
        <v>21</v>
      </c>
      <c r="D1923" t="s">
        <v>57</v>
      </c>
      <c r="E1923">
        <v>20981.49</v>
      </c>
      <c r="F1923" t="s">
        <v>36</v>
      </c>
      <c r="G1923">
        <v>24649.89</v>
      </c>
      <c r="H1923">
        <v>3668.4</v>
      </c>
      <c r="I1923">
        <v>10</v>
      </c>
      <c r="J1923">
        <v>3</v>
      </c>
      <c r="K1923" t="str">
        <f>TEXT(discount_impact_on_profit_2000_rows[[#This Row],[order date]],"mmmm")</f>
        <v>July</v>
      </c>
      <c r="L1923">
        <f>YEAR(discount_impact_on_profit_2000_rows[[#This Row],[order date]])</f>
        <v>2024</v>
      </c>
      <c r="M1923" t="str">
        <f>IF(discount_impact_on_profit_2000_rows[[#This Row],[Discount %]]=0,"Zero Discount",IF(discount_impact_on_profit_2000_rows[[#This Row],[Discount %]]&lt;=10,"Low Discount","High Discount"))</f>
        <v>Low Discount</v>
      </c>
      <c r="N1923" t="str">
        <f t="shared" si="30"/>
        <v>0-10%</v>
      </c>
    </row>
    <row r="1924" spans="1:14">
      <c r="A1924" s="1">
        <v>45575</v>
      </c>
      <c r="B1924" t="s">
        <v>1986</v>
      </c>
      <c r="C1924" t="s">
        <v>18</v>
      </c>
      <c r="D1924" t="s">
        <v>19</v>
      </c>
      <c r="E1924">
        <v>1398.85</v>
      </c>
      <c r="F1924" t="s">
        <v>36</v>
      </c>
      <c r="G1924">
        <v>2007.96</v>
      </c>
      <c r="H1924">
        <v>609.11</v>
      </c>
      <c r="I1924">
        <v>0</v>
      </c>
      <c r="J1924">
        <v>8</v>
      </c>
      <c r="K1924" t="str">
        <f>TEXT(discount_impact_on_profit_2000_rows[[#This Row],[order date]],"mmmm")</f>
        <v>October</v>
      </c>
      <c r="L1924">
        <f>YEAR(discount_impact_on_profit_2000_rows[[#This Row],[order date]])</f>
        <v>2024</v>
      </c>
      <c r="M1924" t="str">
        <f>IF(discount_impact_on_profit_2000_rows[[#This Row],[Discount %]]=0,"Zero Discount",IF(discount_impact_on_profit_2000_rows[[#This Row],[Discount %]]&lt;=10,"Low Discount","High Discount"))</f>
        <v>Zero Discount</v>
      </c>
      <c r="N1924" t="str">
        <f t="shared" si="30"/>
        <v>0-10%</v>
      </c>
    </row>
    <row r="1925" spans="1:14">
      <c r="A1925" s="1">
        <v>45745</v>
      </c>
      <c r="B1925" t="s">
        <v>1987</v>
      </c>
      <c r="C1925" t="s">
        <v>33</v>
      </c>
      <c r="D1925" t="s">
        <v>203</v>
      </c>
      <c r="E1925">
        <v>9164.58</v>
      </c>
      <c r="F1925" t="s">
        <v>23</v>
      </c>
      <c r="G1925">
        <v>12535.95</v>
      </c>
      <c r="H1925">
        <v>3371.37</v>
      </c>
      <c r="I1925">
        <v>10</v>
      </c>
      <c r="J1925">
        <v>5</v>
      </c>
      <c r="K1925" t="str">
        <f>TEXT(discount_impact_on_profit_2000_rows[[#This Row],[order date]],"mmmm")</f>
        <v>March</v>
      </c>
      <c r="L1925">
        <f>YEAR(discount_impact_on_profit_2000_rows[[#This Row],[order date]])</f>
        <v>2025</v>
      </c>
      <c r="M1925" t="str">
        <f>IF(discount_impact_on_profit_2000_rows[[#This Row],[Discount %]]=0,"Zero Discount",IF(discount_impact_on_profit_2000_rows[[#This Row],[Discount %]]&lt;=10,"Low Discount","High Discount"))</f>
        <v>Low Discount</v>
      </c>
      <c r="N1925" t="str">
        <f t="shared" si="30"/>
        <v>0-10%</v>
      </c>
    </row>
    <row r="1926" spans="1:14">
      <c r="A1926" s="1">
        <v>45726</v>
      </c>
      <c r="B1926" t="s">
        <v>1988</v>
      </c>
      <c r="C1926" t="s">
        <v>11</v>
      </c>
      <c r="D1926" t="s">
        <v>64</v>
      </c>
      <c r="E1926">
        <v>666.63</v>
      </c>
      <c r="F1926" t="s">
        <v>23</v>
      </c>
      <c r="G1926">
        <v>826.33</v>
      </c>
      <c r="H1926">
        <v>159.69999999999999</v>
      </c>
      <c r="I1926">
        <v>30</v>
      </c>
      <c r="J1926">
        <v>1</v>
      </c>
      <c r="K1926" t="str">
        <f>TEXT(discount_impact_on_profit_2000_rows[[#This Row],[order date]],"mmmm")</f>
        <v>March</v>
      </c>
      <c r="L1926">
        <f>YEAR(discount_impact_on_profit_2000_rows[[#This Row],[order date]])</f>
        <v>2025</v>
      </c>
      <c r="M1926" t="str">
        <f>IF(discount_impact_on_profit_2000_rows[[#This Row],[Discount %]]=0,"Zero Discount",IF(discount_impact_on_profit_2000_rows[[#This Row],[Discount %]]&lt;=10,"Low Discount","High Discount"))</f>
        <v>High Discount</v>
      </c>
      <c r="N1926" t="str">
        <f t="shared" si="30"/>
        <v>20-30%</v>
      </c>
    </row>
    <row r="1927" spans="1:14">
      <c r="A1927" s="1">
        <v>45691</v>
      </c>
      <c r="B1927" t="s">
        <v>1989</v>
      </c>
      <c r="C1927" t="s">
        <v>53</v>
      </c>
      <c r="D1927" t="s">
        <v>152</v>
      </c>
      <c r="E1927">
        <v>5607.12</v>
      </c>
      <c r="F1927" t="s">
        <v>13</v>
      </c>
      <c r="G1927">
        <v>11373.81</v>
      </c>
      <c r="H1927">
        <v>5766.69</v>
      </c>
      <c r="I1927">
        <v>0</v>
      </c>
      <c r="J1927">
        <v>8</v>
      </c>
      <c r="K1927" t="str">
        <f>TEXT(discount_impact_on_profit_2000_rows[[#This Row],[order date]],"mmmm")</f>
        <v>February</v>
      </c>
      <c r="L1927">
        <f>YEAR(discount_impact_on_profit_2000_rows[[#This Row],[order date]])</f>
        <v>2025</v>
      </c>
      <c r="M1927" t="str">
        <f>IF(discount_impact_on_profit_2000_rows[[#This Row],[Discount %]]=0,"Zero Discount",IF(discount_impact_on_profit_2000_rows[[#This Row],[Discount %]]&lt;=10,"Low Discount","High Discount"))</f>
        <v>Zero Discount</v>
      </c>
      <c r="N1927" t="str">
        <f t="shared" si="30"/>
        <v>0-10%</v>
      </c>
    </row>
    <row r="1928" spans="1:14">
      <c r="A1928" s="1">
        <v>45080</v>
      </c>
      <c r="B1928" t="s">
        <v>1990</v>
      </c>
      <c r="C1928" t="s">
        <v>18</v>
      </c>
      <c r="D1928" t="s">
        <v>88</v>
      </c>
      <c r="E1928">
        <v>242.48</v>
      </c>
      <c r="F1928" t="s">
        <v>13</v>
      </c>
      <c r="G1928">
        <v>477.66</v>
      </c>
      <c r="H1928">
        <v>235.18</v>
      </c>
      <c r="I1928">
        <v>0</v>
      </c>
      <c r="J1928">
        <v>2</v>
      </c>
      <c r="K1928" t="str">
        <f>TEXT(discount_impact_on_profit_2000_rows[[#This Row],[order date]],"mmmm")</f>
        <v>June</v>
      </c>
      <c r="L1928">
        <f>YEAR(discount_impact_on_profit_2000_rows[[#This Row],[order date]])</f>
        <v>2023</v>
      </c>
      <c r="M1928" t="str">
        <f>IF(discount_impact_on_profit_2000_rows[[#This Row],[Discount %]]=0,"Zero Discount",IF(discount_impact_on_profit_2000_rows[[#This Row],[Discount %]]&lt;=10,"Low Discount","High Discount"))</f>
        <v>Zero Discount</v>
      </c>
      <c r="N1928" t="str">
        <f t="shared" si="30"/>
        <v>0-10%</v>
      </c>
    </row>
    <row r="1929" spans="1:14">
      <c r="A1929" s="1">
        <v>45378</v>
      </c>
      <c r="B1929" t="s">
        <v>1991</v>
      </c>
      <c r="C1929" t="s">
        <v>53</v>
      </c>
      <c r="D1929" t="s">
        <v>59</v>
      </c>
      <c r="E1929">
        <v>1781.42</v>
      </c>
      <c r="F1929" t="s">
        <v>36</v>
      </c>
      <c r="G1929">
        <v>2666.66</v>
      </c>
      <c r="H1929">
        <v>885.24</v>
      </c>
      <c r="I1929">
        <v>10</v>
      </c>
      <c r="J1929">
        <v>2</v>
      </c>
      <c r="K1929" t="str">
        <f>TEXT(discount_impact_on_profit_2000_rows[[#This Row],[order date]],"mmmm")</f>
        <v>March</v>
      </c>
      <c r="L1929">
        <f>YEAR(discount_impact_on_profit_2000_rows[[#This Row],[order date]])</f>
        <v>2024</v>
      </c>
      <c r="M1929" t="str">
        <f>IF(discount_impact_on_profit_2000_rows[[#This Row],[Discount %]]=0,"Zero Discount",IF(discount_impact_on_profit_2000_rows[[#This Row],[Discount %]]&lt;=10,"Low Discount","High Discount"))</f>
        <v>Low Discount</v>
      </c>
      <c r="N1929" t="str">
        <f t="shared" si="30"/>
        <v>0-10%</v>
      </c>
    </row>
    <row r="1930" spans="1:14">
      <c r="A1930" s="1">
        <v>45064</v>
      </c>
      <c r="B1930" t="s">
        <v>1992</v>
      </c>
      <c r="C1930" t="s">
        <v>21</v>
      </c>
      <c r="D1930" t="s">
        <v>57</v>
      </c>
      <c r="E1930">
        <v>12729.43</v>
      </c>
      <c r="F1930" t="s">
        <v>31</v>
      </c>
      <c r="G1930">
        <v>14948.11</v>
      </c>
      <c r="H1930">
        <v>2218.6799999999998</v>
      </c>
      <c r="I1930">
        <v>5</v>
      </c>
      <c r="J1930">
        <v>5</v>
      </c>
      <c r="K1930" t="str">
        <f>TEXT(discount_impact_on_profit_2000_rows[[#This Row],[order date]],"mmmm")</f>
        <v>May</v>
      </c>
      <c r="L1930">
        <f>YEAR(discount_impact_on_profit_2000_rows[[#This Row],[order date]])</f>
        <v>2023</v>
      </c>
      <c r="M1930" t="str">
        <f>IF(discount_impact_on_profit_2000_rows[[#This Row],[Discount %]]=0,"Zero Discount",IF(discount_impact_on_profit_2000_rows[[#This Row],[Discount %]]&lt;=10,"Low Discount","High Discount"))</f>
        <v>Low Discount</v>
      </c>
      <c r="N1930" t="str">
        <f t="shared" si="30"/>
        <v>0-10%</v>
      </c>
    </row>
    <row r="1931" spans="1:14">
      <c r="A1931" s="1">
        <v>45669</v>
      </c>
      <c r="B1931" t="s">
        <v>1993</v>
      </c>
      <c r="C1931" t="s">
        <v>15</v>
      </c>
      <c r="D1931" t="s">
        <v>76</v>
      </c>
      <c r="E1931">
        <v>3190.23</v>
      </c>
      <c r="F1931" t="s">
        <v>31</v>
      </c>
      <c r="G1931">
        <v>4202.29</v>
      </c>
      <c r="H1931">
        <v>1012.06</v>
      </c>
      <c r="I1931">
        <v>15</v>
      </c>
      <c r="J1931">
        <v>2</v>
      </c>
      <c r="K1931" t="str">
        <f>TEXT(discount_impact_on_profit_2000_rows[[#This Row],[order date]],"mmmm")</f>
        <v>January</v>
      </c>
      <c r="L1931">
        <f>YEAR(discount_impact_on_profit_2000_rows[[#This Row],[order date]])</f>
        <v>2025</v>
      </c>
      <c r="M1931" t="str">
        <f>IF(discount_impact_on_profit_2000_rows[[#This Row],[Discount %]]=0,"Zero Discount",IF(discount_impact_on_profit_2000_rows[[#This Row],[Discount %]]&lt;=10,"Low Discount","High Discount"))</f>
        <v>High Discount</v>
      </c>
      <c r="N1931" t="str">
        <f t="shared" si="30"/>
        <v>10-20%</v>
      </c>
    </row>
    <row r="1932" spans="1:14">
      <c r="A1932" s="1">
        <v>45609</v>
      </c>
      <c r="B1932" t="s">
        <v>1994</v>
      </c>
      <c r="C1932" t="s">
        <v>33</v>
      </c>
      <c r="D1932" t="s">
        <v>44</v>
      </c>
      <c r="E1932">
        <v>5327.45</v>
      </c>
      <c r="F1932" t="s">
        <v>31</v>
      </c>
      <c r="G1932">
        <v>6955.28</v>
      </c>
      <c r="H1932">
        <v>1627.83</v>
      </c>
      <c r="I1932">
        <v>15</v>
      </c>
      <c r="J1932">
        <v>2</v>
      </c>
      <c r="K1932" t="str">
        <f>TEXT(discount_impact_on_profit_2000_rows[[#This Row],[order date]],"mmmm")</f>
        <v>November</v>
      </c>
      <c r="L1932">
        <f>YEAR(discount_impact_on_profit_2000_rows[[#This Row],[order date]])</f>
        <v>2024</v>
      </c>
      <c r="M1932" t="str">
        <f>IF(discount_impact_on_profit_2000_rows[[#This Row],[Discount %]]=0,"Zero Discount",IF(discount_impact_on_profit_2000_rows[[#This Row],[Discount %]]&lt;=10,"Low Discount","High Discount"))</f>
        <v>High Discount</v>
      </c>
      <c r="N1932" t="str">
        <f t="shared" si="30"/>
        <v>10-20%</v>
      </c>
    </row>
    <row r="1933" spans="1:14">
      <c r="A1933" s="1">
        <v>45677</v>
      </c>
      <c r="B1933" t="s">
        <v>1995</v>
      </c>
      <c r="C1933" t="s">
        <v>11</v>
      </c>
      <c r="D1933" t="s">
        <v>38</v>
      </c>
      <c r="E1933">
        <v>1874.8</v>
      </c>
      <c r="F1933" t="s">
        <v>31</v>
      </c>
      <c r="G1933">
        <v>3944.8</v>
      </c>
      <c r="H1933">
        <v>2070</v>
      </c>
      <c r="I1933">
        <v>10</v>
      </c>
      <c r="J1933">
        <v>3</v>
      </c>
      <c r="K1933" t="str">
        <f>TEXT(discount_impact_on_profit_2000_rows[[#This Row],[order date]],"mmmm")</f>
        <v>January</v>
      </c>
      <c r="L1933">
        <f>YEAR(discount_impact_on_profit_2000_rows[[#This Row],[order date]])</f>
        <v>2025</v>
      </c>
      <c r="M1933" t="str">
        <f>IF(discount_impact_on_profit_2000_rows[[#This Row],[Discount %]]=0,"Zero Discount",IF(discount_impact_on_profit_2000_rows[[#This Row],[Discount %]]&lt;=10,"Low Discount","High Discount"))</f>
        <v>Low Discount</v>
      </c>
      <c r="N1933" t="str">
        <f t="shared" si="30"/>
        <v>0-10%</v>
      </c>
    </row>
    <row r="1934" spans="1:14">
      <c r="A1934" s="1">
        <v>45576</v>
      </c>
      <c r="B1934" t="s">
        <v>1996</v>
      </c>
      <c r="C1934" t="s">
        <v>21</v>
      </c>
      <c r="D1934" t="s">
        <v>109</v>
      </c>
      <c r="E1934">
        <v>2601.36</v>
      </c>
      <c r="F1934" t="s">
        <v>26</v>
      </c>
      <c r="G1934">
        <v>3227.28</v>
      </c>
      <c r="H1934">
        <v>625.91999999999996</v>
      </c>
      <c r="I1934">
        <v>10</v>
      </c>
      <c r="J1934">
        <v>1</v>
      </c>
      <c r="K1934" t="str">
        <f>TEXT(discount_impact_on_profit_2000_rows[[#This Row],[order date]],"mmmm")</f>
        <v>October</v>
      </c>
      <c r="L1934">
        <f>YEAR(discount_impact_on_profit_2000_rows[[#This Row],[order date]])</f>
        <v>2024</v>
      </c>
      <c r="M1934" t="str">
        <f>IF(discount_impact_on_profit_2000_rows[[#This Row],[Discount %]]=0,"Zero Discount",IF(discount_impact_on_profit_2000_rows[[#This Row],[Discount %]]&lt;=10,"Low Discount","High Discount"))</f>
        <v>Low Discount</v>
      </c>
      <c r="N1934" t="str">
        <f t="shared" si="30"/>
        <v>0-10%</v>
      </c>
    </row>
    <row r="1935" spans="1:14">
      <c r="A1935" s="1">
        <v>45053</v>
      </c>
      <c r="B1935" t="s">
        <v>1997</v>
      </c>
      <c r="C1935" t="s">
        <v>21</v>
      </c>
      <c r="D1935" t="s">
        <v>123</v>
      </c>
      <c r="E1935">
        <v>21359.06</v>
      </c>
      <c r="F1935" t="s">
        <v>26</v>
      </c>
      <c r="G1935">
        <v>21999.83</v>
      </c>
      <c r="H1935">
        <v>640.77</v>
      </c>
      <c r="I1935">
        <v>25</v>
      </c>
      <c r="J1935">
        <v>1</v>
      </c>
      <c r="K1935" t="str">
        <f>TEXT(discount_impact_on_profit_2000_rows[[#This Row],[order date]],"mmmm")</f>
        <v>May</v>
      </c>
      <c r="L1935">
        <f>YEAR(discount_impact_on_profit_2000_rows[[#This Row],[order date]])</f>
        <v>2023</v>
      </c>
      <c r="M1935" t="str">
        <f>IF(discount_impact_on_profit_2000_rows[[#This Row],[Discount %]]=0,"Zero Discount",IF(discount_impact_on_profit_2000_rows[[#This Row],[Discount %]]&lt;=10,"Low Discount","High Discount"))</f>
        <v>High Discount</v>
      </c>
      <c r="N1935" t="str">
        <f t="shared" si="30"/>
        <v>20-30%</v>
      </c>
    </row>
    <row r="1936" spans="1:14">
      <c r="A1936" s="1">
        <v>45263</v>
      </c>
      <c r="B1936" t="s">
        <v>1998</v>
      </c>
      <c r="C1936" t="s">
        <v>18</v>
      </c>
      <c r="D1936" t="s">
        <v>50</v>
      </c>
      <c r="E1936">
        <v>1037.45</v>
      </c>
      <c r="F1936" t="s">
        <v>23</v>
      </c>
      <c r="G1936">
        <v>1880.38</v>
      </c>
      <c r="H1936">
        <v>842.93</v>
      </c>
      <c r="I1936">
        <v>0</v>
      </c>
      <c r="J1936">
        <v>5</v>
      </c>
      <c r="K1936" t="str">
        <f>TEXT(discount_impact_on_profit_2000_rows[[#This Row],[order date]],"mmmm")</f>
        <v>December</v>
      </c>
      <c r="L1936">
        <f>YEAR(discount_impact_on_profit_2000_rows[[#This Row],[order date]])</f>
        <v>2023</v>
      </c>
      <c r="M1936" t="str">
        <f>IF(discount_impact_on_profit_2000_rows[[#This Row],[Discount %]]=0,"Zero Discount",IF(discount_impact_on_profit_2000_rows[[#This Row],[Discount %]]&lt;=10,"Low Discount","High Discount"))</f>
        <v>Zero Discount</v>
      </c>
      <c r="N1936" t="str">
        <f t="shared" si="30"/>
        <v>0-10%</v>
      </c>
    </row>
    <row r="1937" spans="1:14">
      <c r="A1937" s="1">
        <v>45844</v>
      </c>
      <c r="B1937" t="s">
        <v>1999</v>
      </c>
      <c r="C1937" t="s">
        <v>15</v>
      </c>
      <c r="D1937" t="s">
        <v>86</v>
      </c>
      <c r="E1937">
        <v>8244.2000000000007</v>
      </c>
      <c r="F1937" t="s">
        <v>36</v>
      </c>
      <c r="G1937">
        <v>10361.77</v>
      </c>
      <c r="H1937">
        <v>2117.5700000000002</v>
      </c>
      <c r="I1937">
        <v>5</v>
      </c>
      <c r="J1937">
        <v>5</v>
      </c>
      <c r="K1937" t="str">
        <f>TEXT(discount_impact_on_profit_2000_rows[[#This Row],[order date]],"mmmm")</f>
        <v>July</v>
      </c>
      <c r="L1937">
        <f>YEAR(discount_impact_on_profit_2000_rows[[#This Row],[order date]])</f>
        <v>2025</v>
      </c>
      <c r="M1937" t="str">
        <f>IF(discount_impact_on_profit_2000_rows[[#This Row],[Discount %]]=0,"Zero Discount",IF(discount_impact_on_profit_2000_rows[[#This Row],[Discount %]]&lt;=10,"Low Discount","High Discount"))</f>
        <v>Low Discount</v>
      </c>
      <c r="N1937" t="str">
        <f t="shared" si="30"/>
        <v>0-10%</v>
      </c>
    </row>
    <row r="1938" spans="1:14">
      <c r="A1938" s="1">
        <v>45950</v>
      </c>
      <c r="B1938" t="s">
        <v>2000</v>
      </c>
      <c r="C1938" t="s">
        <v>21</v>
      </c>
      <c r="D1938" t="s">
        <v>46</v>
      </c>
      <c r="E1938">
        <v>4946.6899999999996</v>
      </c>
      <c r="F1938" t="s">
        <v>36</v>
      </c>
      <c r="G1938">
        <v>5541.64</v>
      </c>
      <c r="H1938">
        <v>594.95000000000005</v>
      </c>
      <c r="I1938">
        <v>20</v>
      </c>
      <c r="J1938">
        <v>4</v>
      </c>
      <c r="K1938" t="str">
        <f>TEXT(discount_impact_on_profit_2000_rows[[#This Row],[order date]],"mmmm")</f>
        <v>October</v>
      </c>
      <c r="L1938">
        <f>YEAR(discount_impact_on_profit_2000_rows[[#This Row],[order date]])</f>
        <v>2025</v>
      </c>
      <c r="M1938" t="str">
        <f>IF(discount_impact_on_profit_2000_rows[[#This Row],[Discount %]]=0,"Zero Discount",IF(discount_impact_on_profit_2000_rows[[#This Row],[Discount %]]&lt;=10,"Low Discount","High Discount"))</f>
        <v>High Discount</v>
      </c>
      <c r="N1938" t="str">
        <f t="shared" si="30"/>
        <v>10-20%</v>
      </c>
    </row>
    <row r="1939" spans="1:14">
      <c r="A1939" s="1">
        <v>45664</v>
      </c>
      <c r="B1939" t="s">
        <v>2001</v>
      </c>
      <c r="C1939" t="s">
        <v>11</v>
      </c>
      <c r="D1939" t="s">
        <v>30</v>
      </c>
      <c r="E1939">
        <v>987.4</v>
      </c>
      <c r="F1939" t="s">
        <v>31</v>
      </c>
      <c r="G1939">
        <v>1370.57</v>
      </c>
      <c r="H1939">
        <v>383.17</v>
      </c>
      <c r="I1939">
        <v>25</v>
      </c>
      <c r="J1939">
        <v>1</v>
      </c>
      <c r="K1939" t="str">
        <f>TEXT(discount_impact_on_profit_2000_rows[[#This Row],[order date]],"mmmm")</f>
        <v>January</v>
      </c>
      <c r="L1939">
        <f>YEAR(discount_impact_on_profit_2000_rows[[#This Row],[order date]])</f>
        <v>2025</v>
      </c>
      <c r="M1939" t="str">
        <f>IF(discount_impact_on_profit_2000_rows[[#This Row],[Discount %]]=0,"Zero Discount",IF(discount_impact_on_profit_2000_rows[[#This Row],[Discount %]]&lt;=10,"Low Discount","High Discount"))</f>
        <v>High Discount</v>
      </c>
      <c r="N1939" t="str">
        <f t="shared" si="30"/>
        <v>20-30%</v>
      </c>
    </row>
    <row r="1940" spans="1:14">
      <c r="A1940" s="1">
        <v>45888</v>
      </c>
      <c r="B1940" t="s">
        <v>2002</v>
      </c>
      <c r="C1940" t="s">
        <v>11</v>
      </c>
      <c r="D1940" t="s">
        <v>64</v>
      </c>
      <c r="E1940">
        <v>4337.76</v>
      </c>
      <c r="F1940" t="s">
        <v>26</v>
      </c>
      <c r="G1940">
        <v>8920.0499999999993</v>
      </c>
      <c r="H1940">
        <v>4582.29</v>
      </c>
      <c r="I1940">
        <v>10</v>
      </c>
      <c r="J1940">
        <v>2</v>
      </c>
      <c r="K1940" t="str">
        <f>TEXT(discount_impact_on_profit_2000_rows[[#This Row],[order date]],"mmmm")</f>
        <v>August</v>
      </c>
      <c r="L1940">
        <f>YEAR(discount_impact_on_profit_2000_rows[[#This Row],[order date]])</f>
        <v>2025</v>
      </c>
      <c r="M1940" t="str">
        <f>IF(discount_impact_on_profit_2000_rows[[#This Row],[Discount %]]=0,"Zero Discount",IF(discount_impact_on_profit_2000_rows[[#This Row],[Discount %]]&lt;=10,"Low Discount","High Discount"))</f>
        <v>Low Discount</v>
      </c>
      <c r="N1940" t="str">
        <f t="shared" si="30"/>
        <v>0-10%</v>
      </c>
    </row>
    <row r="1941" spans="1:14">
      <c r="A1941" s="1">
        <v>45043</v>
      </c>
      <c r="B1941" t="s">
        <v>2003</v>
      </c>
      <c r="C1941" t="s">
        <v>11</v>
      </c>
      <c r="D1941" t="s">
        <v>80</v>
      </c>
      <c r="E1941">
        <v>903.88</v>
      </c>
      <c r="F1941" t="s">
        <v>36</v>
      </c>
      <c r="G1941">
        <v>1301.6199999999999</v>
      </c>
      <c r="H1941">
        <v>397.74</v>
      </c>
      <c r="I1941">
        <v>15</v>
      </c>
      <c r="J1941">
        <v>5</v>
      </c>
      <c r="K1941" t="str">
        <f>TEXT(discount_impact_on_profit_2000_rows[[#This Row],[order date]],"mmmm")</f>
        <v>April</v>
      </c>
      <c r="L1941">
        <f>YEAR(discount_impact_on_profit_2000_rows[[#This Row],[order date]])</f>
        <v>2023</v>
      </c>
      <c r="M1941" t="str">
        <f>IF(discount_impact_on_profit_2000_rows[[#This Row],[Discount %]]=0,"Zero Discount",IF(discount_impact_on_profit_2000_rows[[#This Row],[Discount %]]&lt;=10,"Low Discount","High Discount"))</f>
        <v>High Discount</v>
      </c>
      <c r="N1941" t="str">
        <f t="shared" si="30"/>
        <v>10-20%</v>
      </c>
    </row>
    <row r="1942" spans="1:14">
      <c r="A1942" s="1">
        <v>45450</v>
      </c>
      <c r="B1942" t="s">
        <v>2004</v>
      </c>
      <c r="C1942" t="s">
        <v>21</v>
      </c>
      <c r="D1942" t="s">
        <v>82</v>
      </c>
      <c r="E1942">
        <v>44559.42</v>
      </c>
      <c r="F1942" t="s">
        <v>26</v>
      </c>
      <c r="G1942">
        <v>63029.47</v>
      </c>
      <c r="H1942">
        <v>18470.05</v>
      </c>
      <c r="I1942">
        <v>5</v>
      </c>
      <c r="J1942">
        <v>3</v>
      </c>
      <c r="K1942" t="str">
        <f>TEXT(discount_impact_on_profit_2000_rows[[#This Row],[order date]],"mmmm")</f>
        <v>June</v>
      </c>
      <c r="L1942">
        <f>YEAR(discount_impact_on_profit_2000_rows[[#This Row],[order date]])</f>
        <v>2024</v>
      </c>
      <c r="M1942" t="str">
        <f>IF(discount_impact_on_profit_2000_rows[[#This Row],[Discount %]]=0,"Zero Discount",IF(discount_impact_on_profit_2000_rows[[#This Row],[Discount %]]&lt;=10,"Low Discount","High Discount"))</f>
        <v>Low Discount</v>
      </c>
      <c r="N1942" t="str">
        <f t="shared" si="30"/>
        <v>0-10%</v>
      </c>
    </row>
    <row r="1943" spans="1:14">
      <c r="A1943" s="1">
        <v>45470</v>
      </c>
      <c r="B1943" t="s">
        <v>2005</v>
      </c>
      <c r="C1943" t="s">
        <v>11</v>
      </c>
      <c r="D1943" t="s">
        <v>38</v>
      </c>
      <c r="E1943">
        <v>2698.84</v>
      </c>
      <c r="F1943" t="s">
        <v>31</v>
      </c>
      <c r="G1943">
        <v>6002.29</v>
      </c>
      <c r="H1943">
        <v>3303.45</v>
      </c>
      <c r="I1943">
        <v>15</v>
      </c>
      <c r="J1943">
        <v>2</v>
      </c>
      <c r="K1943" t="str">
        <f>TEXT(discount_impact_on_profit_2000_rows[[#This Row],[order date]],"mmmm")</f>
        <v>June</v>
      </c>
      <c r="L1943">
        <f>YEAR(discount_impact_on_profit_2000_rows[[#This Row],[order date]])</f>
        <v>2024</v>
      </c>
      <c r="M1943" t="str">
        <f>IF(discount_impact_on_profit_2000_rows[[#This Row],[Discount %]]=0,"Zero Discount",IF(discount_impact_on_profit_2000_rows[[#This Row],[Discount %]]&lt;=10,"Low Discount","High Discount"))</f>
        <v>High Discount</v>
      </c>
      <c r="N1943" t="str">
        <f t="shared" si="30"/>
        <v>10-20%</v>
      </c>
    </row>
    <row r="1944" spans="1:14">
      <c r="A1944" s="1">
        <v>45810</v>
      </c>
      <c r="B1944" t="s">
        <v>2006</v>
      </c>
      <c r="C1944" t="s">
        <v>11</v>
      </c>
      <c r="D1944" t="s">
        <v>38</v>
      </c>
      <c r="E1944">
        <v>2645.53</v>
      </c>
      <c r="F1944" t="s">
        <v>13</v>
      </c>
      <c r="G1944">
        <v>3906.79</v>
      </c>
      <c r="H1944">
        <v>1261.26</v>
      </c>
      <c r="I1944">
        <v>20</v>
      </c>
      <c r="J1944">
        <v>4</v>
      </c>
      <c r="K1944" t="str">
        <f>TEXT(discount_impact_on_profit_2000_rows[[#This Row],[order date]],"mmmm")</f>
        <v>June</v>
      </c>
      <c r="L1944">
        <f>YEAR(discount_impact_on_profit_2000_rows[[#This Row],[order date]])</f>
        <v>2025</v>
      </c>
      <c r="M1944" t="str">
        <f>IF(discount_impact_on_profit_2000_rows[[#This Row],[Discount %]]=0,"Zero Discount",IF(discount_impact_on_profit_2000_rows[[#This Row],[Discount %]]&lt;=10,"Low Discount","High Discount"))</f>
        <v>High Discount</v>
      </c>
      <c r="N1944" t="str">
        <f t="shared" si="30"/>
        <v>10-20%</v>
      </c>
    </row>
    <row r="1945" spans="1:14">
      <c r="A1945" s="1">
        <v>45678</v>
      </c>
      <c r="B1945" t="s">
        <v>2007</v>
      </c>
      <c r="C1945" t="s">
        <v>53</v>
      </c>
      <c r="D1945" t="s">
        <v>54</v>
      </c>
      <c r="E1945">
        <v>29740.14</v>
      </c>
      <c r="F1945" t="s">
        <v>36</v>
      </c>
      <c r="G1945">
        <v>64851.48</v>
      </c>
      <c r="H1945">
        <v>35111.339999999997</v>
      </c>
      <c r="I1945">
        <v>0</v>
      </c>
      <c r="J1945">
        <v>10</v>
      </c>
      <c r="K1945" t="str">
        <f>TEXT(discount_impact_on_profit_2000_rows[[#This Row],[order date]],"mmmm")</f>
        <v>January</v>
      </c>
      <c r="L1945">
        <f>YEAR(discount_impact_on_profit_2000_rows[[#This Row],[order date]])</f>
        <v>2025</v>
      </c>
      <c r="M1945" t="str">
        <f>IF(discount_impact_on_profit_2000_rows[[#This Row],[Discount %]]=0,"Zero Discount",IF(discount_impact_on_profit_2000_rows[[#This Row],[Discount %]]&lt;=10,"Low Discount","High Discount"))</f>
        <v>Zero Discount</v>
      </c>
      <c r="N1945" t="str">
        <f t="shared" si="30"/>
        <v>0-10%</v>
      </c>
    </row>
    <row r="1946" spans="1:14">
      <c r="A1946" s="1">
        <v>44929</v>
      </c>
      <c r="B1946" t="s">
        <v>2008</v>
      </c>
      <c r="C1946" t="s">
        <v>21</v>
      </c>
      <c r="D1946" t="s">
        <v>109</v>
      </c>
      <c r="E1946">
        <v>4420.75</v>
      </c>
      <c r="F1946" t="s">
        <v>31</v>
      </c>
      <c r="G1946">
        <v>6285.94</v>
      </c>
      <c r="H1946">
        <v>1865.19</v>
      </c>
      <c r="I1946">
        <v>5</v>
      </c>
      <c r="J1946">
        <v>6</v>
      </c>
      <c r="K1946" t="str">
        <f>TEXT(discount_impact_on_profit_2000_rows[[#This Row],[order date]],"mmmm")</f>
        <v>January</v>
      </c>
      <c r="L1946">
        <f>YEAR(discount_impact_on_profit_2000_rows[[#This Row],[order date]])</f>
        <v>2023</v>
      </c>
      <c r="M1946" t="str">
        <f>IF(discount_impact_on_profit_2000_rows[[#This Row],[Discount %]]=0,"Zero Discount",IF(discount_impact_on_profit_2000_rows[[#This Row],[Discount %]]&lt;=10,"Low Discount","High Discount"))</f>
        <v>Low Discount</v>
      </c>
      <c r="N1946" t="str">
        <f t="shared" si="30"/>
        <v>0-10%</v>
      </c>
    </row>
    <row r="1947" spans="1:14">
      <c r="A1947" s="1">
        <v>45748</v>
      </c>
      <c r="B1947" t="s">
        <v>2009</v>
      </c>
      <c r="C1947" t="s">
        <v>15</v>
      </c>
      <c r="D1947" t="s">
        <v>76</v>
      </c>
      <c r="E1947">
        <v>23816.47</v>
      </c>
      <c r="F1947" t="s">
        <v>36</v>
      </c>
      <c r="G1947">
        <v>27957.57</v>
      </c>
      <c r="H1947">
        <v>4141.1000000000004</v>
      </c>
      <c r="I1947">
        <v>15</v>
      </c>
      <c r="J1947">
        <v>2</v>
      </c>
      <c r="K1947" t="str">
        <f>TEXT(discount_impact_on_profit_2000_rows[[#This Row],[order date]],"mmmm")</f>
        <v>April</v>
      </c>
      <c r="L1947">
        <f>YEAR(discount_impact_on_profit_2000_rows[[#This Row],[order date]])</f>
        <v>2025</v>
      </c>
      <c r="M1947" t="str">
        <f>IF(discount_impact_on_profit_2000_rows[[#This Row],[Discount %]]=0,"Zero Discount",IF(discount_impact_on_profit_2000_rows[[#This Row],[Discount %]]&lt;=10,"Low Discount","High Discount"))</f>
        <v>High Discount</v>
      </c>
      <c r="N1947" t="str">
        <f t="shared" si="30"/>
        <v>10-20%</v>
      </c>
    </row>
    <row r="1948" spans="1:14">
      <c r="A1948" s="1">
        <v>45618</v>
      </c>
      <c r="B1948" t="s">
        <v>2010</v>
      </c>
      <c r="C1948" t="s">
        <v>21</v>
      </c>
      <c r="D1948" t="s">
        <v>22</v>
      </c>
      <c r="E1948">
        <v>893.91</v>
      </c>
      <c r="F1948" t="s">
        <v>26</v>
      </c>
      <c r="G1948">
        <v>1037.3699999999999</v>
      </c>
      <c r="H1948">
        <v>143.46</v>
      </c>
      <c r="I1948">
        <v>5</v>
      </c>
      <c r="J1948">
        <v>1</v>
      </c>
      <c r="K1948" t="str">
        <f>TEXT(discount_impact_on_profit_2000_rows[[#This Row],[order date]],"mmmm")</f>
        <v>November</v>
      </c>
      <c r="L1948">
        <f>YEAR(discount_impact_on_profit_2000_rows[[#This Row],[order date]])</f>
        <v>2024</v>
      </c>
      <c r="M1948" t="str">
        <f>IF(discount_impact_on_profit_2000_rows[[#This Row],[Discount %]]=0,"Zero Discount",IF(discount_impact_on_profit_2000_rows[[#This Row],[Discount %]]&lt;=10,"Low Discount","High Discount"))</f>
        <v>Low Discount</v>
      </c>
      <c r="N1948" t="str">
        <f t="shared" si="30"/>
        <v>0-10%</v>
      </c>
    </row>
    <row r="1949" spans="1:14">
      <c r="A1949" s="1">
        <v>45072</v>
      </c>
      <c r="B1949" t="s">
        <v>2011</v>
      </c>
      <c r="C1949" t="s">
        <v>15</v>
      </c>
      <c r="D1949" t="s">
        <v>86</v>
      </c>
      <c r="E1949">
        <v>9678.09</v>
      </c>
      <c r="F1949" t="s">
        <v>31</v>
      </c>
      <c r="G1949">
        <v>12354.89</v>
      </c>
      <c r="H1949">
        <v>2676.8</v>
      </c>
      <c r="I1949">
        <v>10</v>
      </c>
      <c r="J1949">
        <v>4</v>
      </c>
      <c r="K1949" t="str">
        <f>TEXT(discount_impact_on_profit_2000_rows[[#This Row],[order date]],"mmmm")</f>
        <v>May</v>
      </c>
      <c r="L1949">
        <f>YEAR(discount_impact_on_profit_2000_rows[[#This Row],[order date]])</f>
        <v>2023</v>
      </c>
      <c r="M1949" t="str">
        <f>IF(discount_impact_on_profit_2000_rows[[#This Row],[Discount %]]=0,"Zero Discount",IF(discount_impact_on_profit_2000_rows[[#This Row],[Discount %]]&lt;=10,"Low Discount","High Discount"))</f>
        <v>Low Discount</v>
      </c>
      <c r="N1949" t="str">
        <f t="shared" si="30"/>
        <v>0-10%</v>
      </c>
    </row>
    <row r="1950" spans="1:14">
      <c r="A1950" s="1">
        <v>45540</v>
      </c>
      <c r="B1950" t="s">
        <v>2012</v>
      </c>
      <c r="C1950" t="s">
        <v>11</v>
      </c>
      <c r="D1950" t="s">
        <v>12</v>
      </c>
      <c r="E1950">
        <v>1715.62</v>
      </c>
      <c r="F1950" t="s">
        <v>13</v>
      </c>
      <c r="G1950">
        <v>2871.9</v>
      </c>
      <c r="H1950">
        <v>1156.28</v>
      </c>
      <c r="I1950">
        <v>25</v>
      </c>
      <c r="J1950">
        <v>5</v>
      </c>
      <c r="K1950" t="str">
        <f>TEXT(discount_impact_on_profit_2000_rows[[#This Row],[order date]],"mmmm")</f>
        <v>September</v>
      </c>
      <c r="L1950">
        <f>YEAR(discount_impact_on_profit_2000_rows[[#This Row],[order date]])</f>
        <v>2024</v>
      </c>
      <c r="M1950" t="str">
        <f>IF(discount_impact_on_profit_2000_rows[[#This Row],[Discount %]]=0,"Zero Discount",IF(discount_impact_on_profit_2000_rows[[#This Row],[Discount %]]&lt;=10,"Low Discount","High Discount"))</f>
        <v>High Discount</v>
      </c>
      <c r="N1950" t="str">
        <f t="shared" si="30"/>
        <v>20-30%</v>
      </c>
    </row>
    <row r="1951" spans="1:14">
      <c r="A1951" s="1">
        <v>45352</v>
      </c>
      <c r="B1951" t="s">
        <v>2013</v>
      </c>
      <c r="C1951" t="s">
        <v>21</v>
      </c>
      <c r="D1951" t="s">
        <v>154</v>
      </c>
      <c r="E1951">
        <v>1720.02</v>
      </c>
      <c r="F1951" t="s">
        <v>23</v>
      </c>
      <c r="G1951">
        <v>1809.48</v>
      </c>
      <c r="H1951">
        <v>89.46</v>
      </c>
      <c r="I1951">
        <v>15</v>
      </c>
      <c r="J1951">
        <v>2</v>
      </c>
      <c r="K1951" t="str">
        <f>TEXT(discount_impact_on_profit_2000_rows[[#This Row],[order date]],"mmmm")</f>
        <v>March</v>
      </c>
      <c r="L1951">
        <f>YEAR(discount_impact_on_profit_2000_rows[[#This Row],[order date]])</f>
        <v>2024</v>
      </c>
      <c r="M1951" t="str">
        <f>IF(discount_impact_on_profit_2000_rows[[#This Row],[Discount %]]=0,"Zero Discount",IF(discount_impact_on_profit_2000_rows[[#This Row],[Discount %]]&lt;=10,"Low Discount","High Discount"))</f>
        <v>High Discount</v>
      </c>
      <c r="N1951" t="str">
        <f t="shared" si="30"/>
        <v>10-20%</v>
      </c>
    </row>
    <row r="1952" spans="1:14">
      <c r="A1952" s="1">
        <v>45088</v>
      </c>
      <c r="B1952" t="s">
        <v>2014</v>
      </c>
      <c r="C1952" t="s">
        <v>33</v>
      </c>
      <c r="D1952" t="s">
        <v>92</v>
      </c>
      <c r="E1952">
        <v>34334.75</v>
      </c>
      <c r="F1952" t="s">
        <v>36</v>
      </c>
      <c r="G1952">
        <v>37717.53</v>
      </c>
      <c r="H1952">
        <v>3382.78</v>
      </c>
      <c r="I1952">
        <v>30</v>
      </c>
      <c r="J1952">
        <v>3</v>
      </c>
      <c r="K1952" t="str">
        <f>TEXT(discount_impact_on_profit_2000_rows[[#This Row],[order date]],"mmmm")</f>
        <v>June</v>
      </c>
      <c r="L1952">
        <f>YEAR(discount_impact_on_profit_2000_rows[[#This Row],[order date]])</f>
        <v>2023</v>
      </c>
      <c r="M1952" t="str">
        <f>IF(discount_impact_on_profit_2000_rows[[#This Row],[Discount %]]=0,"Zero Discount",IF(discount_impact_on_profit_2000_rows[[#This Row],[Discount %]]&lt;=10,"Low Discount","High Discount"))</f>
        <v>High Discount</v>
      </c>
      <c r="N1952" t="str">
        <f t="shared" si="30"/>
        <v>20-30%</v>
      </c>
    </row>
    <row r="1953" spans="1:14">
      <c r="A1953" s="1">
        <v>45133</v>
      </c>
      <c r="B1953" t="s">
        <v>2015</v>
      </c>
      <c r="C1953" t="s">
        <v>11</v>
      </c>
      <c r="D1953" t="s">
        <v>80</v>
      </c>
      <c r="E1953">
        <v>5222.18</v>
      </c>
      <c r="F1953" t="s">
        <v>13</v>
      </c>
      <c r="G1953">
        <v>11189.01</v>
      </c>
      <c r="H1953">
        <v>5966.83</v>
      </c>
      <c r="I1953">
        <v>5</v>
      </c>
      <c r="J1953">
        <v>4</v>
      </c>
      <c r="K1953" t="str">
        <f>TEXT(discount_impact_on_profit_2000_rows[[#This Row],[order date]],"mmmm")</f>
        <v>July</v>
      </c>
      <c r="L1953">
        <f>YEAR(discount_impact_on_profit_2000_rows[[#This Row],[order date]])</f>
        <v>2023</v>
      </c>
      <c r="M1953" t="str">
        <f>IF(discount_impact_on_profit_2000_rows[[#This Row],[Discount %]]=0,"Zero Discount",IF(discount_impact_on_profit_2000_rows[[#This Row],[Discount %]]&lt;=10,"Low Discount","High Discount"))</f>
        <v>Low Discount</v>
      </c>
      <c r="N1953" t="str">
        <f t="shared" si="30"/>
        <v>0-10%</v>
      </c>
    </row>
    <row r="1954" spans="1:14">
      <c r="A1954" s="1">
        <v>45771</v>
      </c>
      <c r="B1954" t="s">
        <v>2016</v>
      </c>
      <c r="C1954" t="s">
        <v>21</v>
      </c>
      <c r="D1954" t="s">
        <v>154</v>
      </c>
      <c r="E1954">
        <v>8742.19</v>
      </c>
      <c r="F1954" t="s">
        <v>36</v>
      </c>
      <c r="G1954">
        <v>9609.08</v>
      </c>
      <c r="H1954">
        <v>866.89</v>
      </c>
      <c r="I1954">
        <v>20</v>
      </c>
      <c r="J1954">
        <v>6</v>
      </c>
      <c r="K1954" t="str">
        <f>TEXT(discount_impact_on_profit_2000_rows[[#This Row],[order date]],"mmmm")</f>
        <v>April</v>
      </c>
      <c r="L1954">
        <f>YEAR(discount_impact_on_profit_2000_rows[[#This Row],[order date]])</f>
        <v>2025</v>
      </c>
      <c r="M1954" t="str">
        <f>IF(discount_impact_on_profit_2000_rows[[#This Row],[Discount %]]=0,"Zero Discount",IF(discount_impact_on_profit_2000_rows[[#This Row],[Discount %]]&lt;=10,"Low Discount","High Discount"))</f>
        <v>High Discount</v>
      </c>
      <c r="N1954" t="str">
        <f t="shared" si="30"/>
        <v>10-20%</v>
      </c>
    </row>
    <row r="1955" spans="1:14">
      <c r="A1955" s="1">
        <v>45618</v>
      </c>
      <c r="B1955" t="s">
        <v>2017</v>
      </c>
      <c r="C1955" t="s">
        <v>18</v>
      </c>
      <c r="D1955" t="s">
        <v>140</v>
      </c>
      <c r="E1955">
        <v>1016.01</v>
      </c>
      <c r="F1955" t="s">
        <v>36</v>
      </c>
      <c r="G1955">
        <v>1595.07</v>
      </c>
      <c r="H1955">
        <v>579.05999999999995</v>
      </c>
      <c r="I1955">
        <v>25</v>
      </c>
      <c r="J1955">
        <v>3</v>
      </c>
      <c r="K1955" t="str">
        <f>TEXT(discount_impact_on_profit_2000_rows[[#This Row],[order date]],"mmmm")</f>
        <v>November</v>
      </c>
      <c r="L1955">
        <f>YEAR(discount_impact_on_profit_2000_rows[[#This Row],[order date]])</f>
        <v>2024</v>
      </c>
      <c r="M1955" t="str">
        <f>IF(discount_impact_on_profit_2000_rows[[#This Row],[Discount %]]=0,"Zero Discount",IF(discount_impact_on_profit_2000_rows[[#This Row],[Discount %]]&lt;=10,"Low Discount","High Discount"))</f>
        <v>High Discount</v>
      </c>
      <c r="N1955" t="str">
        <f t="shared" si="30"/>
        <v>20-30%</v>
      </c>
    </row>
    <row r="1956" spans="1:14">
      <c r="A1956" s="1">
        <v>45831</v>
      </c>
      <c r="B1956" t="s">
        <v>2018</v>
      </c>
      <c r="C1956" t="s">
        <v>33</v>
      </c>
      <c r="D1956" t="s">
        <v>44</v>
      </c>
      <c r="E1956">
        <v>16065.71</v>
      </c>
      <c r="F1956" t="s">
        <v>26</v>
      </c>
      <c r="G1956">
        <v>20578.55</v>
      </c>
      <c r="H1956">
        <v>4512.84</v>
      </c>
      <c r="I1956">
        <v>5</v>
      </c>
      <c r="J1956">
        <v>1</v>
      </c>
      <c r="K1956" t="str">
        <f>TEXT(discount_impact_on_profit_2000_rows[[#This Row],[order date]],"mmmm")</f>
        <v>June</v>
      </c>
      <c r="L1956">
        <f>YEAR(discount_impact_on_profit_2000_rows[[#This Row],[order date]])</f>
        <v>2025</v>
      </c>
      <c r="M1956" t="str">
        <f>IF(discount_impact_on_profit_2000_rows[[#This Row],[Discount %]]=0,"Zero Discount",IF(discount_impact_on_profit_2000_rows[[#This Row],[Discount %]]&lt;=10,"Low Discount","High Discount"))</f>
        <v>Low Discount</v>
      </c>
      <c r="N1956" t="str">
        <f t="shared" si="30"/>
        <v>0-10%</v>
      </c>
    </row>
    <row r="1957" spans="1:14">
      <c r="A1957" s="1">
        <v>45105</v>
      </c>
      <c r="B1957" t="s">
        <v>2019</v>
      </c>
      <c r="C1957" t="s">
        <v>33</v>
      </c>
      <c r="D1957" t="s">
        <v>34</v>
      </c>
      <c r="E1957">
        <v>20225.14</v>
      </c>
      <c r="F1957" t="s">
        <v>36</v>
      </c>
      <c r="G1957">
        <v>20831.89</v>
      </c>
      <c r="H1957">
        <v>606.75</v>
      </c>
      <c r="I1957">
        <v>24</v>
      </c>
      <c r="J1957">
        <v>6</v>
      </c>
      <c r="K1957" t="str">
        <f>TEXT(discount_impact_on_profit_2000_rows[[#This Row],[order date]],"mmmm")</f>
        <v>June</v>
      </c>
      <c r="L1957">
        <f>YEAR(discount_impact_on_profit_2000_rows[[#This Row],[order date]])</f>
        <v>2023</v>
      </c>
      <c r="M1957" t="str">
        <f>IF(discount_impact_on_profit_2000_rows[[#This Row],[Discount %]]=0,"Zero Discount",IF(discount_impact_on_profit_2000_rows[[#This Row],[Discount %]]&lt;=10,"Low Discount","High Discount"))</f>
        <v>High Discount</v>
      </c>
      <c r="N1957" t="str">
        <f t="shared" si="30"/>
        <v>20-30%</v>
      </c>
    </row>
    <row r="1958" spans="1:14">
      <c r="A1958" s="1">
        <v>45768</v>
      </c>
      <c r="B1958" t="s">
        <v>2020</v>
      </c>
      <c r="C1958" t="s">
        <v>53</v>
      </c>
      <c r="D1958" t="s">
        <v>54</v>
      </c>
      <c r="E1958">
        <v>747.9</v>
      </c>
      <c r="F1958" t="s">
        <v>26</v>
      </c>
      <c r="G1958">
        <v>1184.1400000000001</v>
      </c>
      <c r="H1958">
        <v>436.24</v>
      </c>
      <c r="I1958">
        <v>20</v>
      </c>
      <c r="J1958">
        <v>1</v>
      </c>
      <c r="K1958" t="str">
        <f>TEXT(discount_impact_on_profit_2000_rows[[#This Row],[order date]],"mmmm")</f>
        <v>April</v>
      </c>
      <c r="L1958">
        <f>YEAR(discount_impact_on_profit_2000_rows[[#This Row],[order date]])</f>
        <v>2025</v>
      </c>
      <c r="M1958" t="str">
        <f>IF(discount_impact_on_profit_2000_rows[[#This Row],[Discount %]]=0,"Zero Discount",IF(discount_impact_on_profit_2000_rows[[#This Row],[Discount %]]&lt;=10,"Low Discount","High Discount"))</f>
        <v>High Discount</v>
      </c>
      <c r="N1958" t="str">
        <f t="shared" si="30"/>
        <v>10-20%</v>
      </c>
    </row>
    <row r="1959" spans="1:14">
      <c r="A1959" s="1">
        <v>45618</v>
      </c>
      <c r="B1959" t="s">
        <v>2021</v>
      </c>
      <c r="C1959" t="s">
        <v>11</v>
      </c>
      <c r="D1959" t="s">
        <v>30</v>
      </c>
      <c r="E1959">
        <v>907.56</v>
      </c>
      <c r="F1959" t="s">
        <v>26</v>
      </c>
      <c r="G1959">
        <v>1934.29</v>
      </c>
      <c r="H1959">
        <v>1026.73</v>
      </c>
      <c r="I1959">
        <v>5</v>
      </c>
      <c r="J1959">
        <v>2</v>
      </c>
      <c r="K1959" t="str">
        <f>TEXT(discount_impact_on_profit_2000_rows[[#This Row],[order date]],"mmmm")</f>
        <v>November</v>
      </c>
      <c r="L1959">
        <f>YEAR(discount_impact_on_profit_2000_rows[[#This Row],[order date]])</f>
        <v>2024</v>
      </c>
      <c r="M1959" t="str">
        <f>IF(discount_impact_on_profit_2000_rows[[#This Row],[Discount %]]=0,"Zero Discount",IF(discount_impact_on_profit_2000_rows[[#This Row],[Discount %]]&lt;=10,"Low Discount","High Discount"))</f>
        <v>Low Discount</v>
      </c>
      <c r="N1959" t="str">
        <f t="shared" si="30"/>
        <v>0-10%</v>
      </c>
    </row>
    <row r="1960" spans="1:14">
      <c r="A1960" s="1">
        <v>46009</v>
      </c>
      <c r="B1960" t="s">
        <v>2022</v>
      </c>
      <c r="C1960" t="s">
        <v>18</v>
      </c>
      <c r="D1960" t="s">
        <v>188</v>
      </c>
      <c r="E1960">
        <v>528.34</v>
      </c>
      <c r="F1960" t="s">
        <v>13</v>
      </c>
      <c r="G1960">
        <v>1053.18</v>
      </c>
      <c r="H1960">
        <v>524.84</v>
      </c>
      <c r="I1960">
        <v>10</v>
      </c>
      <c r="J1960">
        <v>2</v>
      </c>
      <c r="K1960" t="str">
        <f>TEXT(discount_impact_on_profit_2000_rows[[#This Row],[order date]],"mmmm")</f>
        <v>December</v>
      </c>
      <c r="L1960">
        <f>YEAR(discount_impact_on_profit_2000_rows[[#This Row],[order date]])</f>
        <v>2025</v>
      </c>
      <c r="M1960" t="str">
        <f>IF(discount_impact_on_profit_2000_rows[[#This Row],[Discount %]]=0,"Zero Discount",IF(discount_impact_on_profit_2000_rows[[#This Row],[Discount %]]&lt;=10,"Low Discount","High Discount"))</f>
        <v>Low Discount</v>
      </c>
      <c r="N1960" t="str">
        <f t="shared" si="30"/>
        <v>0-10%</v>
      </c>
    </row>
    <row r="1961" spans="1:14">
      <c r="A1961" s="1">
        <v>45703</v>
      </c>
      <c r="B1961" t="s">
        <v>2023</v>
      </c>
      <c r="C1961" t="s">
        <v>21</v>
      </c>
      <c r="D1961" t="s">
        <v>123</v>
      </c>
      <c r="E1961">
        <v>7705.98</v>
      </c>
      <c r="F1961" t="s">
        <v>31</v>
      </c>
      <c r="G1961">
        <v>9876.5400000000009</v>
      </c>
      <c r="H1961">
        <v>2170.56</v>
      </c>
      <c r="I1961">
        <v>5</v>
      </c>
      <c r="J1961">
        <v>2</v>
      </c>
      <c r="K1961" t="str">
        <f>TEXT(discount_impact_on_profit_2000_rows[[#This Row],[order date]],"mmmm")</f>
        <v>February</v>
      </c>
      <c r="L1961">
        <f>YEAR(discount_impact_on_profit_2000_rows[[#This Row],[order date]])</f>
        <v>2025</v>
      </c>
      <c r="M1961" t="str">
        <f>IF(discount_impact_on_profit_2000_rows[[#This Row],[Discount %]]=0,"Zero Discount",IF(discount_impact_on_profit_2000_rows[[#This Row],[Discount %]]&lt;=10,"Low Discount","High Discount"))</f>
        <v>Low Discount</v>
      </c>
      <c r="N1961" t="str">
        <f t="shared" si="30"/>
        <v>0-10%</v>
      </c>
    </row>
    <row r="1962" spans="1:14">
      <c r="A1962" s="1">
        <v>45012</v>
      </c>
      <c r="B1962" t="s">
        <v>2024</v>
      </c>
      <c r="C1962" t="s">
        <v>11</v>
      </c>
      <c r="D1962" t="s">
        <v>38</v>
      </c>
      <c r="E1962">
        <v>607.17999999999995</v>
      </c>
      <c r="F1962" t="s">
        <v>26</v>
      </c>
      <c r="G1962">
        <v>1350.35</v>
      </c>
      <c r="H1962">
        <v>743.17</v>
      </c>
      <c r="I1962">
        <v>5</v>
      </c>
      <c r="J1962">
        <v>3</v>
      </c>
      <c r="K1962" t="str">
        <f>TEXT(discount_impact_on_profit_2000_rows[[#This Row],[order date]],"mmmm")</f>
        <v>March</v>
      </c>
      <c r="L1962">
        <f>YEAR(discount_impact_on_profit_2000_rows[[#This Row],[order date]])</f>
        <v>2023</v>
      </c>
      <c r="M1962" t="str">
        <f>IF(discount_impact_on_profit_2000_rows[[#This Row],[Discount %]]=0,"Zero Discount",IF(discount_impact_on_profit_2000_rows[[#This Row],[Discount %]]&lt;=10,"Low Discount","High Discount"))</f>
        <v>Low Discount</v>
      </c>
      <c r="N1962" t="str">
        <f t="shared" si="30"/>
        <v>0-10%</v>
      </c>
    </row>
    <row r="1963" spans="1:14">
      <c r="A1963" s="1">
        <v>45322</v>
      </c>
      <c r="B1963" t="s">
        <v>2025</v>
      </c>
      <c r="C1963" t="s">
        <v>21</v>
      </c>
      <c r="D1963" t="s">
        <v>97</v>
      </c>
      <c r="E1963">
        <v>11468.65</v>
      </c>
      <c r="F1963" t="s">
        <v>36</v>
      </c>
      <c r="G1963">
        <v>14175.28</v>
      </c>
      <c r="H1963">
        <v>2706.63</v>
      </c>
      <c r="I1963">
        <v>5</v>
      </c>
      <c r="J1963">
        <v>1</v>
      </c>
      <c r="K1963" t="str">
        <f>TEXT(discount_impact_on_profit_2000_rows[[#This Row],[order date]],"mmmm")</f>
        <v>January</v>
      </c>
      <c r="L1963">
        <f>YEAR(discount_impact_on_profit_2000_rows[[#This Row],[order date]])</f>
        <v>2024</v>
      </c>
      <c r="M1963" t="str">
        <f>IF(discount_impact_on_profit_2000_rows[[#This Row],[Discount %]]=0,"Zero Discount",IF(discount_impact_on_profit_2000_rows[[#This Row],[Discount %]]&lt;=10,"Low Discount","High Discount"))</f>
        <v>Low Discount</v>
      </c>
      <c r="N1963" t="str">
        <f t="shared" si="30"/>
        <v>0-10%</v>
      </c>
    </row>
    <row r="1964" spans="1:14">
      <c r="A1964" s="1">
        <v>44939</v>
      </c>
      <c r="B1964" t="s">
        <v>2026</v>
      </c>
      <c r="C1964" t="s">
        <v>33</v>
      </c>
      <c r="D1964" t="s">
        <v>92</v>
      </c>
      <c r="E1964">
        <v>3825.64</v>
      </c>
      <c r="F1964" t="s">
        <v>36</v>
      </c>
      <c r="G1964">
        <v>3995.67</v>
      </c>
      <c r="H1964">
        <v>170.03</v>
      </c>
      <c r="I1964">
        <v>25</v>
      </c>
      <c r="J1964">
        <v>1</v>
      </c>
      <c r="K1964" t="str">
        <f>TEXT(discount_impact_on_profit_2000_rows[[#This Row],[order date]],"mmmm")</f>
        <v>January</v>
      </c>
      <c r="L1964">
        <f>YEAR(discount_impact_on_profit_2000_rows[[#This Row],[order date]])</f>
        <v>2023</v>
      </c>
      <c r="M1964" t="str">
        <f>IF(discount_impact_on_profit_2000_rows[[#This Row],[Discount %]]=0,"Zero Discount",IF(discount_impact_on_profit_2000_rows[[#This Row],[Discount %]]&lt;=10,"Low Discount","High Discount"))</f>
        <v>High Discount</v>
      </c>
      <c r="N1964" t="str">
        <f t="shared" si="30"/>
        <v>20-30%</v>
      </c>
    </row>
    <row r="1965" spans="1:14">
      <c r="A1965" s="1">
        <v>45297</v>
      </c>
      <c r="B1965" t="s">
        <v>2027</v>
      </c>
      <c r="C1965" t="s">
        <v>53</v>
      </c>
      <c r="D1965" t="s">
        <v>54</v>
      </c>
      <c r="E1965">
        <v>15238.66</v>
      </c>
      <c r="F1965" t="s">
        <v>23</v>
      </c>
      <c r="G1965">
        <v>37607.1</v>
      </c>
      <c r="H1965">
        <v>22368.44</v>
      </c>
      <c r="I1965">
        <v>0</v>
      </c>
      <c r="J1965">
        <v>6</v>
      </c>
      <c r="K1965" t="str">
        <f>TEXT(discount_impact_on_profit_2000_rows[[#This Row],[order date]],"mmmm")</f>
        <v>January</v>
      </c>
      <c r="L1965">
        <f>YEAR(discount_impact_on_profit_2000_rows[[#This Row],[order date]])</f>
        <v>2024</v>
      </c>
      <c r="M1965" t="str">
        <f>IF(discount_impact_on_profit_2000_rows[[#This Row],[Discount %]]=0,"Zero Discount",IF(discount_impact_on_profit_2000_rows[[#This Row],[Discount %]]&lt;=10,"Low Discount","High Discount"))</f>
        <v>Zero Discount</v>
      </c>
      <c r="N1965" t="str">
        <f t="shared" si="30"/>
        <v>0-10%</v>
      </c>
    </row>
    <row r="1966" spans="1:14">
      <c r="A1966" s="1">
        <v>45369</v>
      </c>
      <c r="B1966" t="s">
        <v>2028</v>
      </c>
      <c r="C1966" t="s">
        <v>33</v>
      </c>
      <c r="D1966" t="s">
        <v>44</v>
      </c>
      <c r="E1966">
        <v>13388.22</v>
      </c>
      <c r="F1966" t="s">
        <v>36</v>
      </c>
      <c r="G1966">
        <v>16460.47</v>
      </c>
      <c r="H1966">
        <v>3072.25</v>
      </c>
      <c r="I1966">
        <v>15</v>
      </c>
      <c r="J1966">
        <v>1</v>
      </c>
      <c r="K1966" t="str">
        <f>TEXT(discount_impact_on_profit_2000_rows[[#This Row],[order date]],"mmmm")</f>
        <v>March</v>
      </c>
      <c r="L1966">
        <f>YEAR(discount_impact_on_profit_2000_rows[[#This Row],[order date]])</f>
        <v>2024</v>
      </c>
      <c r="M1966" t="str">
        <f>IF(discount_impact_on_profit_2000_rows[[#This Row],[Discount %]]=0,"Zero Discount",IF(discount_impact_on_profit_2000_rows[[#This Row],[Discount %]]&lt;=10,"Low Discount","High Discount"))</f>
        <v>High Discount</v>
      </c>
      <c r="N1966" t="str">
        <f t="shared" si="30"/>
        <v>10-20%</v>
      </c>
    </row>
    <row r="1967" spans="1:14">
      <c r="A1967" s="1">
        <v>45162</v>
      </c>
      <c r="B1967" t="s">
        <v>2029</v>
      </c>
      <c r="C1967" t="s">
        <v>33</v>
      </c>
      <c r="D1967" t="s">
        <v>102</v>
      </c>
      <c r="E1967">
        <v>3846.09</v>
      </c>
      <c r="F1967" t="s">
        <v>26</v>
      </c>
      <c r="G1967">
        <v>4973.9399999999996</v>
      </c>
      <c r="H1967">
        <v>1127.8499999999999</v>
      </c>
      <c r="I1967">
        <v>5</v>
      </c>
      <c r="J1967">
        <v>2</v>
      </c>
      <c r="K1967" t="str">
        <f>TEXT(discount_impact_on_profit_2000_rows[[#This Row],[order date]],"mmmm")</f>
        <v>August</v>
      </c>
      <c r="L1967">
        <f>YEAR(discount_impact_on_profit_2000_rows[[#This Row],[order date]])</f>
        <v>2023</v>
      </c>
      <c r="M1967" t="str">
        <f>IF(discount_impact_on_profit_2000_rows[[#This Row],[Discount %]]=0,"Zero Discount",IF(discount_impact_on_profit_2000_rows[[#This Row],[Discount %]]&lt;=10,"Low Discount","High Discount"))</f>
        <v>Low Discount</v>
      </c>
      <c r="N1967" t="str">
        <f t="shared" si="30"/>
        <v>0-10%</v>
      </c>
    </row>
    <row r="1968" spans="1:14">
      <c r="A1968" s="1">
        <v>45770</v>
      </c>
      <c r="B1968" t="s">
        <v>2030</v>
      </c>
      <c r="C1968" t="s">
        <v>18</v>
      </c>
      <c r="D1968" t="s">
        <v>42</v>
      </c>
      <c r="E1968">
        <v>500.39</v>
      </c>
      <c r="F1968" t="s">
        <v>26</v>
      </c>
      <c r="G1968">
        <v>765.07</v>
      </c>
      <c r="H1968">
        <v>264.68</v>
      </c>
      <c r="I1968">
        <v>30</v>
      </c>
      <c r="J1968">
        <v>1</v>
      </c>
      <c r="K1968" t="str">
        <f>TEXT(discount_impact_on_profit_2000_rows[[#This Row],[order date]],"mmmm")</f>
        <v>April</v>
      </c>
      <c r="L1968">
        <f>YEAR(discount_impact_on_profit_2000_rows[[#This Row],[order date]])</f>
        <v>2025</v>
      </c>
      <c r="M1968" t="str">
        <f>IF(discount_impact_on_profit_2000_rows[[#This Row],[Discount %]]=0,"Zero Discount",IF(discount_impact_on_profit_2000_rows[[#This Row],[Discount %]]&lt;=10,"Low Discount","High Discount"))</f>
        <v>High Discount</v>
      </c>
      <c r="N1968" t="str">
        <f t="shared" si="30"/>
        <v>20-30%</v>
      </c>
    </row>
    <row r="1969" spans="1:14">
      <c r="A1969" s="1">
        <v>45644</v>
      </c>
      <c r="B1969" t="s">
        <v>2031</v>
      </c>
      <c r="C1969" t="s">
        <v>18</v>
      </c>
      <c r="D1969" t="s">
        <v>50</v>
      </c>
      <c r="E1969">
        <v>254.83</v>
      </c>
      <c r="F1969" t="s">
        <v>36</v>
      </c>
      <c r="G1969">
        <v>383.33</v>
      </c>
      <c r="H1969">
        <v>128.5</v>
      </c>
      <c r="I1969">
        <v>25</v>
      </c>
      <c r="J1969">
        <v>2</v>
      </c>
      <c r="K1969" t="str">
        <f>TEXT(discount_impact_on_profit_2000_rows[[#This Row],[order date]],"mmmm")</f>
        <v>December</v>
      </c>
      <c r="L1969">
        <f>YEAR(discount_impact_on_profit_2000_rows[[#This Row],[order date]])</f>
        <v>2024</v>
      </c>
      <c r="M1969" t="str">
        <f>IF(discount_impact_on_profit_2000_rows[[#This Row],[Discount %]]=0,"Zero Discount",IF(discount_impact_on_profit_2000_rows[[#This Row],[Discount %]]&lt;=10,"Low Discount","High Discount"))</f>
        <v>High Discount</v>
      </c>
      <c r="N1969" t="str">
        <f t="shared" si="30"/>
        <v>20-30%</v>
      </c>
    </row>
    <row r="1970" spans="1:14">
      <c r="A1970" s="1">
        <v>45027</v>
      </c>
      <c r="B1970" t="s">
        <v>2032</v>
      </c>
      <c r="C1970" t="s">
        <v>11</v>
      </c>
      <c r="D1970" t="s">
        <v>12</v>
      </c>
      <c r="E1970">
        <v>6733.18</v>
      </c>
      <c r="F1970" t="s">
        <v>36</v>
      </c>
      <c r="G1970">
        <v>12472.18</v>
      </c>
      <c r="H1970">
        <v>5739</v>
      </c>
      <c r="I1970">
        <v>5</v>
      </c>
      <c r="J1970">
        <v>4</v>
      </c>
      <c r="K1970" t="str">
        <f>TEXT(discount_impact_on_profit_2000_rows[[#This Row],[order date]],"mmmm")</f>
        <v>April</v>
      </c>
      <c r="L1970">
        <f>YEAR(discount_impact_on_profit_2000_rows[[#This Row],[order date]])</f>
        <v>2023</v>
      </c>
      <c r="M1970" t="str">
        <f>IF(discount_impact_on_profit_2000_rows[[#This Row],[Discount %]]=0,"Zero Discount",IF(discount_impact_on_profit_2000_rows[[#This Row],[Discount %]]&lt;=10,"Low Discount","High Discount"))</f>
        <v>Low Discount</v>
      </c>
      <c r="N1970" t="str">
        <f t="shared" si="30"/>
        <v>0-10%</v>
      </c>
    </row>
    <row r="1971" spans="1:14">
      <c r="A1971" s="1">
        <v>46018</v>
      </c>
      <c r="B1971" t="s">
        <v>2033</v>
      </c>
      <c r="C1971" t="s">
        <v>11</v>
      </c>
      <c r="D1971" t="s">
        <v>207</v>
      </c>
      <c r="E1971">
        <v>2911.25</v>
      </c>
      <c r="F1971" t="s">
        <v>13</v>
      </c>
      <c r="G1971">
        <v>5253.91</v>
      </c>
      <c r="H1971">
        <v>2342.66</v>
      </c>
      <c r="I1971">
        <v>10</v>
      </c>
      <c r="J1971">
        <v>3</v>
      </c>
      <c r="K1971" t="str">
        <f>TEXT(discount_impact_on_profit_2000_rows[[#This Row],[order date]],"mmmm")</f>
        <v>December</v>
      </c>
      <c r="L1971">
        <f>YEAR(discount_impact_on_profit_2000_rows[[#This Row],[order date]])</f>
        <v>2025</v>
      </c>
      <c r="M1971" t="str">
        <f>IF(discount_impact_on_profit_2000_rows[[#This Row],[Discount %]]=0,"Zero Discount",IF(discount_impact_on_profit_2000_rows[[#This Row],[Discount %]]&lt;=10,"Low Discount","High Discount"))</f>
        <v>Low Discount</v>
      </c>
      <c r="N1971" t="str">
        <f t="shared" si="30"/>
        <v>0-10%</v>
      </c>
    </row>
    <row r="1972" spans="1:14">
      <c r="A1972" s="1">
        <v>44931</v>
      </c>
      <c r="B1972" t="s">
        <v>2034</v>
      </c>
      <c r="C1972" t="s">
        <v>21</v>
      </c>
      <c r="D1972" t="s">
        <v>22</v>
      </c>
      <c r="E1972">
        <v>6803.93</v>
      </c>
      <c r="F1972" t="s">
        <v>31</v>
      </c>
      <c r="G1972">
        <v>9738.17</v>
      </c>
      <c r="H1972">
        <v>2934.24</v>
      </c>
      <c r="I1972">
        <v>0</v>
      </c>
      <c r="J1972">
        <v>2</v>
      </c>
      <c r="K1972" t="str">
        <f>TEXT(discount_impact_on_profit_2000_rows[[#This Row],[order date]],"mmmm")</f>
        <v>January</v>
      </c>
      <c r="L1972">
        <f>YEAR(discount_impact_on_profit_2000_rows[[#This Row],[order date]])</f>
        <v>2023</v>
      </c>
      <c r="M1972" t="str">
        <f>IF(discount_impact_on_profit_2000_rows[[#This Row],[Discount %]]=0,"Zero Discount",IF(discount_impact_on_profit_2000_rows[[#This Row],[Discount %]]&lt;=10,"Low Discount","High Discount"))</f>
        <v>Zero Discount</v>
      </c>
      <c r="N1972" t="str">
        <f t="shared" si="30"/>
        <v>0-10%</v>
      </c>
    </row>
    <row r="1973" spans="1:14">
      <c r="A1973" s="1">
        <v>45276</v>
      </c>
      <c r="B1973" t="s">
        <v>2035</v>
      </c>
      <c r="C1973" t="s">
        <v>15</v>
      </c>
      <c r="D1973" t="s">
        <v>28</v>
      </c>
      <c r="E1973">
        <v>29955.9</v>
      </c>
      <c r="F1973" t="s">
        <v>13</v>
      </c>
      <c r="G1973">
        <v>39554.400000000001</v>
      </c>
      <c r="H1973">
        <v>9598.5</v>
      </c>
      <c r="I1973">
        <v>5</v>
      </c>
      <c r="J1973">
        <v>8</v>
      </c>
      <c r="K1973" t="str">
        <f>TEXT(discount_impact_on_profit_2000_rows[[#This Row],[order date]],"mmmm")</f>
        <v>December</v>
      </c>
      <c r="L1973">
        <f>YEAR(discount_impact_on_profit_2000_rows[[#This Row],[order date]])</f>
        <v>2023</v>
      </c>
      <c r="M1973" t="str">
        <f>IF(discount_impact_on_profit_2000_rows[[#This Row],[Discount %]]=0,"Zero Discount",IF(discount_impact_on_profit_2000_rows[[#This Row],[Discount %]]&lt;=10,"Low Discount","High Discount"))</f>
        <v>Low Discount</v>
      </c>
      <c r="N1973" t="str">
        <f t="shared" si="30"/>
        <v>0-10%</v>
      </c>
    </row>
    <row r="1974" spans="1:14">
      <c r="A1974" s="1">
        <v>45739</v>
      </c>
      <c r="B1974" t="s">
        <v>2036</v>
      </c>
      <c r="C1974" t="s">
        <v>11</v>
      </c>
      <c r="D1974" t="s">
        <v>30</v>
      </c>
      <c r="E1974">
        <v>2070.0300000000002</v>
      </c>
      <c r="F1974" t="s">
        <v>23</v>
      </c>
      <c r="G1974">
        <v>4223.4799999999996</v>
      </c>
      <c r="H1974">
        <v>2153.4499999999998</v>
      </c>
      <c r="I1974">
        <v>5</v>
      </c>
      <c r="J1974">
        <v>1</v>
      </c>
      <c r="K1974" t="str">
        <f>TEXT(discount_impact_on_profit_2000_rows[[#This Row],[order date]],"mmmm")</f>
        <v>March</v>
      </c>
      <c r="L1974">
        <f>YEAR(discount_impact_on_profit_2000_rows[[#This Row],[order date]])</f>
        <v>2025</v>
      </c>
      <c r="M1974" t="str">
        <f>IF(discount_impact_on_profit_2000_rows[[#This Row],[Discount %]]=0,"Zero Discount",IF(discount_impact_on_profit_2000_rows[[#This Row],[Discount %]]&lt;=10,"Low Discount","High Discount"))</f>
        <v>Low Discount</v>
      </c>
      <c r="N1974" t="str">
        <f t="shared" si="30"/>
        <v>0-10%</v>
      </c>
    </row>
    <row r="1975" spans="1:14">
      <c r="A1975" s="1">
        <v>45069</v>
      </c>
      <c r="B1975" t="s">
        <v>2037</v>
      </c>
      <c r="C1975" t="s">
        <v>33</v>
      </c>
      <c r="D1975" t="s">
        <v>273</v>
      </c>
      <c r="E1975">
        <v>11237.81</v>
      </c>
      <c r="F1975" t="s">
        <v>26</v>
      </c>
      <c r="G1975">
        <v>13365.81</v>
      </c>
      <c r="H1975">
        <v>2128</v>
      </c>
      <c r="I1975">
        <v>10</v>
      </c>
      <c r="J1975">
        <v>3</v>
      </c>
      <c r="K1975" t="str">
        <f>TEXT(discount_impact_on_profit_2000_rows[[#This Row],[order date]],"mmmm")</f>
        <v>May</v>
      </c>
      <c r="L1975">
        <f>YEAR(discount_impact_on_profit_2000_rows[[#This Row],[order date]])</f>
        <v>2023</v>
      </c>
      <c r="M1975" t="str">
        <f>IF(discount_impact_on_profit_2000_rows[[#This Row],[Discount %]]=0,"Zero Discount",IF(discount_impact_on_profit_2000_rows[[#This Row],[Discount %]]&lt;=10,"Low Discount","High Discount"))</f>
        <v>Low Discount</v>
      </c>
      <c r="N1975" t="str">
        <f t="shared" si="30"/>
        <v>0-10%</v>
      </c>
    </row>
    <row r="1976" spans="1:14">
      <c r="A1976" s="1">
        <v>45676</v>
      </c>
      <c r="B1976" t="s">
        <v>2038</v>
      </c>
      <c r="C1976" t="s">
        <v>11</v>
      </c>
      <c r="D1976" t="s">
        <v>25</v>
      </c>
      <c r="E1976">
        <v>12936.45</v>
      </c>
      <c r="F1976" t="s">
        <v>23</v>
      </c>
      <c r="G1976">
        <v>16577.25</v>
      </c>
      <c r="H1976">
        <v>3640.8</v>
      </c>
      <c r="I1976">
        <v>30</v>
      </c>
      <c r="J1976">
        <v>6</v>
      </c>
      <c r="K1976" t="str">
        <f>TEXT(discount_impact_on_profit_2000_rows[[#This Row],[order date]],"mmmm")</f>
        <v>January</v>
      </c>
      <c r="L1976">
        <f>YEAR(discount_impact_on_profit_2000_rows[[#This Row],[order date]])</f>
        <v>2025</v>
      </c>
      <c r="M1976" t="str">
        <f>IF(discount_impact_on_profit_2000_rows[[#This Row],[Discount %]]=0,"Zero Discount",IF(discount_impact_on_profit_2000_rows[[#This Row],[Discount %]]&lt;=10,"Low Discount","High Discount"))</f>
        <v>High Discount</v>
      </c>
      <c r="N1976" t="str">
        <f t="shared" si="30"/>
        <v>20-30%</v>
      </c>
    </row>
    <row r="1977" spans="1:14">
      <c r="A1977" s="1">
        <v>45225</v>
      </c>
      <c r="B1977" t="s">
        <v>2039</v>
      </c>
      <c r="C1977" t="s">
        <v>21</v>
      </c>
      <c r="D1977" t="s">
        <v>57</v>
      </c>
      <c r="E1977">
        <v>12065.46</v>
      </c>
      <c r="F1977" t="s">
        <v>26</v>
      </c>
      <c r="G1977">
        <v>12402.31</v>
      </c>
      <c r="H1977">
        <v>336.85</v>
      </c>
      <c r="I1977">
        <v>30</v>
      </c>
      <c r="J1977">
        <v>2</v>
      </c>
      <c r="K1977" t="str">
        <f>TEXT(discount_impact_on_profit_2000_rows[[#This Row],[order date]],"mmmm")</f>
        <v>October</v>
      </c>
      <c r="L1977">
        <f>YEAR(discount_impact_on_profit_2000_rows[[#This Row],[order date]])</f>
        <v>2023</v>
      </c>
      <c r="M1977" t="str">
        <f>IF(discount_impact_on_profit_2000_rows[[#This Row],[Discount %]]=0,"Zero Discount",IF(discount_impact_on_profit_2000_rows[[#This Row],[Discount %]]&lt;=10,"Low Discount","High Discount"))</f>
        <v>High Discount</v>
      </c>
      <c r="N1977" t="str">
        <f t="shared" si="30"/>
        <v>20-30%</v>
      </c>
    </row>
    <row r="1978" spans="1:14">
      <c r="A1978" s="1">
        <v>45838</v>
      </c>
      <c r="B1978" t="s">
        <v>2040</v>
      </c>
      <c r="C1978" t="s">
        <v>18</v>
      </c>
      <c r="D1978" t="s">
        <v>104</v>
      </c>
      <c r="E1978">
        <v>811.62</v>
      </c>
      <c r="F1978" t="s">
        <v>31</v>
      </c>
      <c r="G1978">
        <v>1413.12</v>
      </c>
      <c r="H1978">
        <v>601.5</v>
      </c>
      <c r="I1978">
        <v>5</v>
      </c>
      <c r="J1978">
        <v>4</v>
      </c>
      <c r="K1978" t="str">
        <f>TEXT(discount_impact_on_profit_2000_rows[[#This Row],[order date]],"mmmm")</f>
        <v>June</v>
      </c>
      <c r="L1978">
        <f>YEAR(discount_impact_on_profit_2000_rows[[#This Row],[order date]])</f>
        <v>2025</v>
      </c>
      <c r="M1978" t="str">
        <f>IF(discount_impact_on_profit_2000_rows[[#This Row],[Discount %]]=0,"Zero Discount",IF(discount_impact_on_profit_2000_rows[[#This Row],[Discount %]]&lt;=10,"Low Discount","High Discount"))</f>
        <v>Low Discount</v>
      </c>
      <c r="N1978" t="str">
        <f t="shared" si="30"/>
        <v>0-10%</v>
      </c>
    </row>
    <row r="1979" spans="1:14">
      <c r="A1979" s="1">
        <v>45943</v>
      </c>
      <c r="B1979" t="s">
        <v>2041</v>
      </c>
      <c r="C1979" t="s">
        <v>21</v>
      </c>
      <c r="D1979" t="s">
        <v>46</v>
      </c>
      <c r="E1979">
        <v>14982.03</v>
      </c>
      <c r="F1979" t="s">
        <v>26</v>
      </c>
      <c r="G1979">
        <v>15014.53</v>
      </c>
      <c r="H1979">
        <v>32.5</v>
      </c>
      <c r="I1979">
        <v>15</v>
      </c>
      <c r="J1979">
        <v>8</v>
      </c>
      <c r="K1979" t="str">
        <f>TEXT(discount_impact_on_profit_2000_rows[[#This Row],[order date]],"mmmm")</f>
        <v>October</v>
      </c>
      <c r="L1979">
        <f>YEAR(discount_impact_on_profit_2000_rows[[#This Row],[order date]])</f>
        <v>2025</v>
      </c>
      <c r="M1979" t="str">
        <f>IF(discount_impact_on_profit_2000_rows[[#This Row],[Discount %]]=0,"Zero Discount",IF(discount_impact_on_profit_2000_rows[[#This Row],[Discount %]]&lt;=10,"Low Discount","High Discount"))</f>
        <v>High Discount</v>
      </c>
      <c r="N1979" t="str">
        <f t="shared" si="30"/>
        <v>10-20%</v>
      </c>
    </row>
    <row r="1980" spans="1:14">
      <c r="A1980" s="1">
        <v>45841</v>
      </c>
      <c r="B1980" t="s">
        <v>2042</v>
      </c>
      <c r="C1980" t="s">
        <v>11</v>
      </c>
      <c r="D1980" t="s">
        <v>12</v>
      </c>
      <c r="E1980">
        <v>9261.44</v>
      </c>
      <c r="F1980" t="s">
        <v>36</v>
      </c>
      <c r="G1980">
        <v>12183.27</v>
      </c>
      <c r="H1980">
        <v>2921.83</v>
      </c>
      <c r="I1980">
        <v>15</v>
      </c>
      <c r="J1980">
        <v>4</v>
      </c>
      <c r="K1980" t="str">
        <f>TEXT(discount_impact_on_profit_2000_rows[[#This Row],[order date]],"mmmm")</f>
        <v>July</v>
      </c>
      <c r="L1980">
        <f>YEAR(discount_impact_on_profit_2000_rows[[#This Row],[order date]])</f>
        <v>2025</v>
      </c>
      <c r="M1980" t="str">
        <f>IF(discount_impact_on_profit_2000_rows[[#This Row],[Discount %]]=0,"Zero Discount",IF(discount_impact_on_profit_2000_rows[[#This Row],[Discount %]]&lt;=10,"Low Discount","High Discount"))</f>
        <v>High Discount</v>
      </c>
      <c r="N1980" t="str">
        <f t="shared" si="30"/>
        <v>10-20%</v>
      </c>
    </row>
    <row r="1981" spans="1:14">
      <c r="A1981" s="1">
        <v>45215</v>
      </c>
      <c r="B1981" t="s">
        <v>2043</v>
      </c>
      <c r="C1981" t="s">
        <v>18</v>
      </c>
      <c r="D1981" t="s">
        <v>50</v>
      </c>
      <c r="E1981">
        <v>1369.46</v>
      </c>
      <c r="F1981" t="s">
        <v>36</v>
      </c>
      <c r="G1981">
        <v>1930.56</v>
      </c>
      <c r="H1981">
        <v>561.1</v>
      </c>
      <c r="I1981">
        <v>15</v>
      </c>
      <c r="J1981">
        <v>3</v>
      </c>
      <c r="K1981" t="str">
        <f>TEXT(discount_impact_on_profit_2000_rows[[#This Row],[order date]],"mmmm")</f>
        <v>October</v>
      </c>
      <c r="L1981">
        <f>YEAR(discount_impact_on_profit_2000_rows[[#This Row],[order date]])</f>
        <v>2023</v>
      </c>
      <c r="M1981" t="str">
        <f>IF(discount_impact_on_profit_2000_rows[[#This Row],[Discount %]]=0,"Zero Discount",IF(discount_impact_on_profit_2000_rows[[#This Row],[Discount %]]&lt;=10,"Low Discount","High Discount"))</f>
        <v>High Discount</v>
      </c>
      <c r="N1981" t="str">
        <f t="shared" si="30"/>
        <v>10-20%</v>
      </c>
    </row>
    <row r="1982" spans="1:14">
      <c r="A1982" s="1">
        <v>45411</v>
      </c>
      <c r="B1982" t="s">
        <v>2044</v>
      </c>
      <c r="C1982" t="s">
        <v>15</v>
      </c>
      <c r="D1982" t="s">
        <v>40</v>
      </c>
      <c r="E1982">
        <v>27671.09</v>
      </c>
      <c r="F1982" t="s">
        <v>23</v>
      </c>
      <c r="G1982">
        <v>32986.25</v>
      </c>
      <c r="H1982">
        <v>5315.16</v>
      </c>
      <c r="I1982">
        <v>10</v>
      </c>
      <c r="J1982">
        <v>3</v>
      </c>
      <c r="K1982" t="str">
        <f>TEXT(discount_impact_on_profit_2000_rows[[#This Row],[order date]],"mmmm")</f>
        <v>April</v>
      </c>
      <c r="L1982">
        <f>YEAR(discount_impact_on_profit_2000_rows[[#This Row],[order date]])</f>
        <v>2024</v>
      </c>
      <c r="M1982" t="str">
        <f>IF(discount_impact_on_profit_2000_rows[[#This Row],[Discount %]]=0,"Zero Discount",IF(discount_impact_on_profit_2000_rows[[#This Row],[Discount %]]&lt;=10,"Low Discount","High Discount"))</f>
        <v>Low Discount</v>
      </c>
      <c r="N1982" t="str">
        <f t="shared" si="30"/>
        <v>0-10%</v>
      </c>
    </row>
    <row r="1983" spans="1:14">
      <c r="A1983" s="1">
        <v>45110</v>
      </c>
      <c r="B1983" t="s">
        <v>2045</v>
      </c>
      <c r="C1983" t="s">
        <v>53</v>
      </c>
      <c r="D1983" t="s">
        <v>78</v>
      </c>
      <c r="E1983">
        <v>1770.13</v>
      </c>
      <c r="F1983" t="s">
        <v>31</v>
      </c>
      <c r="G1983">
        <v>3896.34</v>
      </c>
      <c r="H1983">
        <v>2126.21</v>
      </c>
      <c r="I1983">
        <v>10</v>
      </c>
      <c r="J1983">
        <v>1</v>
      </c>
      <c r="K1983" t="str">
        <f>TEXT(discount_impact_on_profit_2000_rows[[#This Row],[order date]],"mmmm")</f>
        <v>July</v>
      </c>
      <c r="L1983">
        <f>YEAR(discount_impact_on_profit_2000_rows[[#This Row],[order date]])</f>
        <v>2023</v>
      </c>
      <c r="M1983" t="str">
        <f>IF(discount_impact_on_profit_2000_rows[[#This Row],[Discount %]]=0,"Zero Discount",IF(discount_impact_on_profit_2000_rows[[#This Row],[Discount %]]&lt;=10,"Low Discount","High Discount"))</f>
        <v>Low Discount</v>
      </c>
      <c r="N1983" t="str">
        <f t="shared" si="30"/>
        <v>0-10%</v>
      </c>
    </row>
    <row r="1984" spans="1:14">
      <c r="A1984" s="1">
        <v>45982</v>
      </c>
      <c r="B1984" t="s">
        <v>2046</v>
      </c>
      <c r="C1984" t="s">
        <v>33</v>
      </c>
      <c r="D1984" t="s">
        <v>44</v>
      </c>
      <c r="E1984">
        <v>4134.26</v>
      </c>
      <c r="F1984" t="s">
        <v>13</v>
      </c>
      <c r="G1984">
        <v>5021.38</v>
      </c>
      <c r="H1984">
        <v>887.12</v>
      </c>
      <c r="I1984">
        <v>5</v>
      </c>
      <c r="J1984">
        <v>2</v>
      </c>
      <c r="K1984" t="str">
        <f>TEXT(discount_impact_on_profit_2000_rows[[#This Row],[order date]],"mmmm")</f>
        <v>November</v>
      </c>
      <c r="L1984">
        <f>YEAR(discount_impact_on_profit_2000_rows[[#This Row],[order date]])</f>
        <v>2025</v>
      </c>
      <c r="M1984" t="str">
        <f>IF(discount_impact_on_profit_2000_rows[[#This Row],[Discount %]]=0,"Zero Discount",IF(discount_impact_on_profit_2000_rows[[#This Row],[Discount %]]&lt;=10,"Low Discount","High Discount"))</f>
        <v>Low Discount</v>
      </c>
      <c r="N1984" t="str">
        <f t="shared" si="30"/>
        <v>0-10%</v>
      </c>
    </row>
    <row r="1985" spans="1:14">
      <c r="A1985" s="1">
        <v>44933</v>
      </c>
      <c r="B1985" t="s">
        <v>2047</v>
      </c>
      <c r="C1985" t="s">
        <v>33</v>
      </c>
      <c r="D1985" t="s">
        <v>92</v>
      </c>
      <c r="E1985">
        <v>76834.960000000006</v>
      </c>
      <c r="F1985" t="s">
        <v>36</v>
      </c>
      <c r="G1985">
        <v>81873.7</v>
      </c>
      <c r="H1985">
        <v>5038.74</v>
      </c>
      <c r="I1985">
        <v>25</v>
      </c>
      <c r="J1985">
        <v>8</v>
      </c>
      <c r="K1985" t="str">
        <f>TEXT(discount_impact_on_profit_2000_rows[[#This Row],[order date]],"mmmm")</f>
        <v>January</v>
      </c>
      <c r="L1985">
        <f>YEAR(discount_impact_on_profit_2000_rows[[#This Row],[order date]])</f>
        <v>2023</v>
      </c>
      <c r="M1985" t="str">
        <f>IF(discount_impact_on_profit_2000_rows[[#This Row],[Discount %]]=0,"Zero Discount",IF(discount_impact_on_profit_2000_rows[[#This Row],[Discount %]]&lt;=10,"Low Discount","High Discount"))</f>
        <v>High Discount</v>
      </c>
      <c r="N1985" t="str">
        <f t="shared" si="30"/>
        <v>20-30%</v>
      </c>
    </row>
    <row r="1986" spans="1:14">
      <c r="A1986" s="1">
        <v>45959</v>
      </c>
      <c r="B1986" t="s">
        <v>2048</v>
      </c>
      <c r="C1986" t="s">
        <v>18</v>
      </c>
      <c r="D1986" t="s">
        <v>42</v>
      </c>
      <c r="E1986">
        <v>1564.36</v>
      </c>
      <c r="F1986" t="s">
        <v>23</v>
      </c>
      <c r="G1986">
        <v>1840.49</v>
      </c>
      <c r="H1986">
        <v>276.13</v>
      </c>
      <c r="I1986">
        <v>25</v>
      </c>
      <c r="J1986">
        <v>2</v>
      </c>
      <c r="K1986" t="str">
        <f>TEXT(discount_impact_on_profit_2000_rows[[#This Row],[order date]],"mmmm")</f>
        <v>October</v>
      </c>
      <c r="L1986">
        <f>YEAR(discount_impact_on_profit_2000_rows[[#This Row],[order date]])</f>
        <v>2025</v>
      </c>
      <c r="M1986" t="str">
        <f>IF(discount_impact_on_profit_2000_rows[[#This Row],[Discount %]]=0,"Zero Discount",IF(discount_impact_on_profit_2000_rows[[#This Row],[Discount %]]&lt;=10,"Low Discount","High Discount"))</f>
        <v>High Discount</v>
      </c>
      <c r="N1986" t="str">
        <f t="shared" ref="N1986:N2001" si="31">IF(I1986&lt;=10,"0-10%",IF(I1986&lt;=20,"10-20%",IF(I1986&lt;=30,"20-30%","30%+")))</f>
        <v>20-30%</v>
      </c>
    </row>
    <row r="1987" spans="1:14">
      <c r="A1987" s="1">
        <v>45739</v>
      </c>
      <c r="B1987" t="s">
        <v>2049</v>
      </c>
      <c r="C1987" t="s">
        <v>11</v>
      </c>
      <c r="D1987" t="s">
        <v>80</v>
      </c>
      <c r="E1987">
        <v>2479.2600000000002</v>
      </c>
      <c r="F1987" t="s">
        <v>36</v>
      </c>
      <c r="G1987">
        <v>3114.59</v>
      </c>
      <c r="H1987">
        <v>635.33000000000004</v>
      </c>
      <c r="I1987">
        <v>25</v>
      </c>
      <c r="J1987">
        <v>3</v>
      </c>
      <c r="K1987" t="str">
        <f>TEXT(discount_impact_on_profit_2000_rows[[#This Row],[order date]],"mmmm")</f>
        <v>March</v>
      </c>
      <c r="L1987">
        <f>YEAR(discount_impact_on_profit_2000_rows[[#This Row],[order date]])</f>
        <v>2025</v>
      </c>
      <c r="M1987" t="str">
        <f>IF(discount_impact_on_profit_2000_rows[[#This Row],[Discount %]]=0,"Zero Discount",IF(discount_impact_on_profit_2000_rows[[#This Row],[Discount %]]&lt;=10,"Low Discount","High Discount"))</f>
        <v>High Discount</v>
      </c>
      <c r="N1987" t="str">
        <f t="shared" si="31"/>
        <v>20-30%</v>
      </c>
    </row>
    <row r="1988" spans="1:14">
      <c r="A1988" s="1">
        <v>45934</v>
      </c>
      <c r="B1988" t="s">
        <v>2050</v>
      </c>
      <c r="C1988" t="s">
        <v>18</v>
      </c>
      <c r="D1988" t="s">
        <v>42</v>
      </c>
      <c r="E1988">
        <v>973.16</v>
      </c>
      <c r="F1988" t="s">
        <v>13</v>
      </c>
      <c r="G1988">
        <v>1640.5</v>
      </c>
      <c r="H1988">
        <v>667.34</v>
      </c>
      <c r="I1988">
        <v>0</v>
      </c>
      <c r="J1988">
        <v>5</v>
      </c>
      <c r="K1988" t="str">
        <f>TEXT(discount_impact_on_profit_2000_rows[[#This Row],[order date]],"mmmm")</f>
        <v>October</v>
      </c>
      <c r="L1988">
        <f>YEAR(discount_impact_on_profit_2000_rows[[#This Row],[order date]])</f>
        <v>2025</v>
      </c>
      <c r="M1988" t="str">
        <f>IF(discount_impact_on_profit_2000_rows[[#This Row],[Discount %]]=0,"Zero Discount",IF(discount_impact_on_profit_2000_rows[[#This Row],[Discount %]]&lt;=10,"Low Discount","High Discount"))</f>
        <v>Zero Discount</v>
      </c>
      <c r="N1988" t="str">
        <f t="shared" si="31"/>
        <v>0-10%</v>
      </c>
    </row>
    <row r="1989" spans="1:14">
      <c r="A1989" s="1">
        <v>45273</v>
      </c>
      <c r="B1989" t="s">
        <v>2051</v>
      </c>
      <c r="C1989" t="s">
        <v>11</v>
      </c>
      <c r="D1989" t="s">
        <v>38</v>
      </c>
      <c r="E1989">
        <v>1537.52</v>
      </c>
      <c r="F1989" t="s">
        <v>36</v>
      </c>
      <c r="G1989">
        <v>2437.3000000000002</v>
      </c>
      <c r="H1989">
        <v>899.78</v>
      </c>
      <c r="I1989">
        <v>0</v>
      </c>
      <c r="J1989">
        <v>1</v>
      </c>
      <c r="K1989" t="str">
        <f>TEXT(discount_impact_on_profit_2000_rows[[#This Row],[order date]],"mmmm")</f>
        <v>December</v>
      </c>
      <c r="L1989">
        <f>YEAR(discount_impact_on_profit_2000_rows[[#This Row],[order date]])</f>
        <v>2023</v>
      </c>
      <c r="M1989" t="str">
        <f>IF(discount_impact_on_profit_2000_rows[[#This Row],[Discount %]]=0,"Zero Discount",IF(discount_impact_on_profit_2000_rows[[#This Row],[Discount %]]&lt;=10,"Low Discount","High Discount"))</f>
        <v>Zero Discount</v>
      </c>
      <c r="N1989" t="str">
        <f t="shared" si="31"/>
        <v>0-10%</v>
      </c>
    </row>
    <row r="1990" spans="1:14">
      <c r="A1990" s="1">
        <v>45128</v>
      </c>
      <c r="B1990" t="s">
        <v>2052</v>
      </c>
      <c r="C1990" t="s">
        <v>18</v>
      </c>
      <c r="D1990" t="s">
        <v>42</v>
      </c>
      <c r="E1990">
        <v>399.49</v>
      </c>
      <c r="F1990" t="s">
        <v>36</v>
      </c>
      <c r="G1990">
        <v>641.04</v>
      </c>
      <c r="H1990">
        <v>241.55</v>
      </c>
      <c r="I1990">
        <v>5</v>
      </c>
      <c r="J1990">
        <v>1</v>
      </c>
      <c r="K1990" t="str">
        <f>TEXT(discount_impact_on_profit_2000_rows[[#This Row],[order date]],"mmmm")</f>
        <v>July</v>
      </c>
      <c r="L1990">
        <f>YEAR(discount_impact_on_profit_2000_rows[[#This Row],[order date]])</f>
        <v>2023</v>
      </c>
      <c r="M1990" t="str">
        <f>IF(discount_impact_on_profit_2000_rows[[#This Row],[Discount %]]=0,"Zero Discount",IF(discount_impact_on_profit_2000_rows[[#This Row],[Discount %]]&lt;=10,"Low Discount","High Discount"))</f>
        <v>Low Discount</v>
      </c>
      <c r="N1990" t="str">
        <f t="shared" si="31"/>
        <v>0-10%</v>
      </c>
    </row>
    <row r="1991" spans="1:14">
      <c r="A1991" s="1">
        <v>45996</v>
      </c>
      <c r="B1991" t="s">
        <v>2053</v>
      </c>
      <c r="C1991" t="s">
        <v>11</v>
      </c>
      <c r="D1991" t="s">
        <v>38</v>
      </c>
      <c r="E1991">
        <v>1618.84</v>
      </c>
      <c r="F1991" t="s">
        <v>26</v>
      </c>
      <c r="G1991">
        <v>3640.19</v>
      </c>
      <c r="H1991">
        <v>2021.35</v>
      </c>
      <c r="I1991">
        <v>0</v>
      </c>
      <c r="J1991">
        <v>3</v>
      </c>
      <c r="K1991" t="str">
        <f>TEXT(discount_impact_on_profit_2000_rows[[#This Row],[order date]],"mmmm")</f>
        <v>December</v>
      </c>
      <c r="L1991">
        <f>YEAR(discount_impact_on_profit_2000_rows[[#This Row],[order date]])</f>
        <v>2025</v>
      </c>
      <c r="M1991" t="str">
        <f>IF(discount_impact_on_profit_2000_rows[[#This Row],[Discount %]]=0,"Zero Discount",IF(discount_impact_on_profit_2000_rows[[#This Row],[Discount %]]&lt;=10,"Low Discount","High Discount"))</f>
        <v>Zero Discount</v>
      </c>
      <c r="N1991" t="str">
        <f t="shared" si="31"/>
        <v>0-10%</v>
      </c>
    </row>
    <row r="1992" spans="1:14">
      <c r="A1992" s="1">
        <v>45389</v>
      </c>
      <c r="B1992" t="s">
        <v>2054</v>
      </c>
      <c r="C1992" t="s">
        <v>18</v>
      </c>
      <c r="D1992" t="s">
        <v>188</v>
      </c>
      <c r="E1992">
        <v>319.29000000000002</v>
      </c>
      <c r="F1992" t="s">
        <v>31</v>
      </c>
      <c r="G1992">
        <v>440.17</v>
      </c>
      <c r="H1992">
        <v>120.88</v>
      </c>
      <c r="I1992">
        <v>20</v>
      </c>
      <c r="J1992">
        <v>3</v>
      </c>
      <c r="K1992" t="str">
        <f>TEXT(discount_impact_on_profit_2000_rows[[#This Row],[order date]],"mmmm")</f>
        <v>April</v>
      </c>
      <c r="L1992">
        <f>YEAR(discount_impact_on_profit_2000_rows[[#This Row],[order date]])</f>
        <v>2024</v>
      </c>
      <c r="M1992" t="str">
        <f>IF(discount_impact_on_profit_2000_rows[[#This Row],[Discount %]]=0,"Zero Discount",IF(discount_impact_on_profit_2000_rows[[#This Row],[Discount %]]&lt;=10,"Low Discount","High Discount"))</f>
        <v>High Discount</v>
      </c>
      <c r="N1992" t="str">
        <f t="shared" si="31"/>
        <v>10-20%</v>
      </c>
    </row>
    <row r="1993" spans="1:14">
      <c r="A1993" s="1">
        <v>45091</v>
      </c>
      <c r="B1993" t="s">
        <v>2055</v>
      </c>
      <c r="C1993" t="s">
        <v>53</v>
      </c>
      <c r="D1993" t="s">
        <v>59</v>
      </c>
      <c r="E1993">
        <v>3105.13</v>
      </c>
      <c r="F1993" t="s">
        <v>26</v>
      </c>
      <c r="G1993">
        <v>3895.65</v>
      </c>
      <c r="H1993">
        <v>790.52</v>
      </c>
      <c r="I1993">
        <v>15</v>
      </c>
      <c r="J1993">
        <v>1</v>
      </c>
      <c r="K1993" t="str">
        <f>TEXT(discount_impact_on_profit_2000_rows[[#This Row],[order date]],"mmmm")</f>
        <v>June</v>
      </c>
      <c r="L1993">
        <f>YEAR(discount_impact_on_profit_2000_rows[[#This Row],[order date]])</f>
        <v>2023</v>
      </c>
      <c r="M1993" t="str">
        <f>IF(discount_impact_on_profit_2000_rows[[#This Row],[Discount %]]=0,"Zero Discount",IF(discount_impact_on_profit_2000_rows[[#This Row],[Discount %]]&lt;=10,"Low Discount","High Discount"))</f>
        <v>High Discount</v>
      </c>
      <c r="N1993" t="str">
        <f t="shared" si="31"/>
        <v>10-20%</v>
      </c>
    </row>
    <row r="1994" spans="1:14">
      <c r="A1994" s="1">
        <v>45197</v>
      </c>
      <c r="B1994" t="s">
        <v>2056</v>
      </c>
      <c r="C1994" t="s">
        <v>15</v>
      </c>
      <c r="D1994" t="s">
        <v>86</v>
      </c>
      <c r="E1994">
        <v>23863.43</v>
      </c>
      <c r="F1994" t="s">
        <v>31</v>
      </c>
      <c r="G1994">
        <v>26726.84</v>
      </c>
      <c r="H1994">
        <v>2863.41</v>
      </c>
      <c r="I1994">
        <v>20</v>
      </c>
      <c r="J1994">
        <v>6</v>
      </c>
      <c r="K1994" t="str">
        <f>TEXT(discount_impact_on_profit_2000_rows[[#This Row],[order date]],"mmmm")</f>
        <v>September</v>
      </c>
      <c r="L1994">
        <f>YEAR(discount_impact_on_profit_2000_rows[[#This Row],[order date]])</f>
        <v>2023</v>
      </c>
      <c r="M1994" t="str">
        <f>IF(discount_impact_on_profit_2000_rows[[#This Row],[Discount %]]=0,"Zero Discount",IF(discount_impact_on_profit_2000_rows[[#This Row],[Discount %]]&lt;=10,"Low Discount","High Discount"))</f>
        <v>High Discount</v>
      </c>
      <c r="N1994" t="str">
        <f t="shared" si="31"/>
        <v>10-20%</v>
      </c>
    </row>
    <row r="1995" spans="1:14">
      <c r="A1995" s="1">
        <v>45328</v>
      </c>
      <c r="B1995" t="s">
        <v>2057</v>
      </c>
      <c r="C1995" t="s">
        <v>15</v>
      </c>
      <c r="D1995" t="s">
        <v>16</v>
      </c>
      <c r="E1995">
        <v>14424.47</v>
      </c>
      <c r="F1995" t="s">
        <v>36</v>
      </c>
      <c r="G1995">
        <v>18156.59</v>
      </c>
      <c r="H1995">
        <v>3732.12</v>
      </c>
      <c r="I1995">
        <v>5</v>
      </c>
      <c r="J1995">
        <v>4</v>
      </c>
      <c r="K1995" t="str">
        <f>TEXT(discount_impact_on_profit_2000_rows[[#This Row],[order date]],"mmmm")</f>
        <v>February</v>
      </c>
      <c r="L1995">
        <f>YEAR(discount_impact_on_profit_2000_rows[[#This Row],[order date]])</f>
        <v>2024</v>
      </c>
      <c r="M1995" t="str">
        <f>IF(discount_impact_on_profit_2000_rows[[#This Row],[Discount %]]=0,"Zero Discount",IF(discount_impact_on_profit_2000_rows[[#This Row],[Discount %]]&lt;=10,"Low Discount","High Discount"))</f>
        <v>Low Discount</v>
      </c>
      <c r="N1995" t="str">
        <f t="shared" si="31"/>
        <v>0-10%</v>
      </c>
    </row>
    <row r="1996" spans="1:14">
      <c r="A1996" s="1">
        <v>45994</v>
      </c>
      <c r="B1996" t="s">
        <v>2058</v>
      </c>
      <c r="C1996" t="s">
        <v>18</v>
      </c>
      <c r="D1996" t="s">
        <v>88</v>
      </c>
      <c r="E1996">
        <v>240.77</v>
      </c>
      <c r="F1996" t="s">
        <v>13</v>
      </c>
      <c r="G1996">
        <v>464.73</v>
      </c>
      <c r="H1996">
        <v>223.96</v>
      </c>
      <c r="I1996">
        <v>0</v>
      </c>
      <c r="J1996">
        <v>5</v>
      </c>
      <c r="K1996" t="str">
        <f>TEXT(discount_impact_on_profit_2000_rows[[#This Row],[order date]],"mmmm")</f>
        <v>December</v>
      </c>
      <c r="L1996">
        <f>YEAR(discount_impact_on_profit_2000_rows[[#This Row],[order date]])</f>
        <v>2025</v>
      </c>
      <c r="M1996" t="str">
        <f>IF(discount_impact_on_profit_2000_rows[[#This Row],[Discount %]]=0,"Zero Discount",IF(discount_impact_on_profit_2000_rows[[#This Row],[Discount %]]&lt;=10,"Low Discount","High Discount"))</f>
        <v>Zero Discount</v>
      </c>
      <c r="N1996" t="str">
        <f t="shared" si="31"/>
        <v>0-10%</v>
      </c>
    </row>
    <row r="1997" spans="1:14">
      <c r="A1997" s="1">
        <v>45801</v>
      </c>
      <c r="B1997" t="s">
        <v>2059</v>
      </c>
      <c r="C1997" t="s">
        <v>21</v>
      </c>
      <c r="D1997" t="s">
        <v>109</v>
      </c>
      <c r="E1997">
        <v>40101.94</v>
      </c>
      <c r="F1997" t="s">
        <v>26</v>
      </c>
      <c r="G1997">
        <v>55857.84</v>
      </c>
      <c r="H1997">
        <v>15755.9</v>
      </c>
      <c r="I1997">
        <v>5</v>
      </c>
      <c r="J1997">
        <v>3</v>
      </c>
      <c r="K1997" t="str">
        <f>TEXT(discount_impact_on_profit_2000_rows[[#This Row],[order date]],"mmmm")</f>
        <v>May</v>
      </c>
      <c r="L1997">
        <f>YEAR(discount_impact_on_profit_2000_rows[[#This Row],[order date]])</f>
        <v>2025</v>
      </c>
      <c r="M1997" t="str">
        <f>IF(discount_impact_on_profit_2000_rows[[#This Row],[Discount %]]=0,"Zero Discount",IF(discount_impact_on_profit_2000_rows[[#This Row],[Discount %]]&lt;=10,"Low Discount","High Discount"))</f>
        <v>Low Discount</v>
      </c>
      <c r="N1997" t="str">
        <f t="shared" si="31"/>
        <v>0-10%</v>
      </c>
    </row>
    <row r="1998" spans="1:14">
      <c r="A1998" s="1">
        <v>45033</v>
      </c>
      <c r="B1998" t="s">
        <v>2060</v>
      </c>
      <c r="C1998" t="s">
        <v>53</v>
      </c>
      <c r="D1998" t="s">
        <v>54</v>
      </c>
      <c r="E1998">
        <v>587.67999999999995</v>
      </c>
      <c r="F1998" t="s">
        <v>26</v>
      </c>
      <c r="G1998">
        <v>1114.69</v>
      </c>
      <c r="H1998">
        <v>527.01</v>
      </c>
      <c r="I1998">
        <v>10</v>
      </c>
      <c r="J1998">
        <v>2</v>
      </c>
      <c r="K1998" t="str">
        <f>TEXT(discount_impact_on_profit_2000_rows[[#This Row],[order date]],"mmmm")</f>
        <v>April</v>
      </c>
      <c r="L1998">
        <f>YEAR(discount_impact_on_profit_2000_rows[[#This Row],[order date]])</f>
        <v>2023</v>
      </c>
      <c r="M1998" t="str">
        <f>IF(discount_impact_on_profit_2000_rows[[#This Row],[Discount %]]=0,"Zero Discount",IF(discount_impact_on_profit_2000_rows[[#This Row],[Discount %]]&lt;=10,"Low Discount","High Discount"))</f>
        <v>Low Discount</v>
      </c>
      <c r="N1998" t="str">
        <f t="shared" si="31"/>
        <v>0-10%</v>
      </c>
    </row>
    <row r="1999" spans="1:14">
      <c r="A1999" s="1">
        <v>45292</v>
      </c>
      <c r="B1999" t="s">
        <v>2061</v>
      </c>
      <c r="C1999" t="s">
        <v>11</v>
      </c>
      <c r="D1999" t="s">
        <v>25</v>
      </c>
      <c r="E1999">
        <v>336.54</v>
      </c>
      <c r="F1999" t="s">
        <v>13</v>
      </c>
      <c r="G1999">
        <v>800.94</v>
      </c>
      <c r="H1999">
        <v>464.4</v>
      </c>
      <c r="I1999">
        <v>0</v>
      </c>
      <c r="J1999">
        <v>2</v>
      </c>
      <c r="K1999" t="str">
        <f>TEXT(discount_impact_on_profit_2000_rows[[#This Row],[order date]],"mmmm")</f>
        <v>January</v>
      </c>
      <c r="L1999">
        <f>YEAR(discount_impact_on_profit_2000_rows[[#This Row],[order date]])</f>
        <v>2024</v>
      </c>
      <c r="M1999" t="str">
        <f>IF(discount_impact_on_profit_2000_rows[[#This Row],[Discount %]]=0,"Zero Discount",IF(discount_impact_on_profit_2000_rows[[#This Row],[Discount %]]&lt;=10,"Low Discount","High Discount"))</f>
        <v>Zero Discount</v>
      </c>
      <c r="N1999" t="str">
        <f t="shared" si="31"/>
        <v>0-10%</v>
      </c>
    </row>
    <row r="2000" spans="1:14">
      <c r="A2000" s="1">
        <v>45334</v>
      </c>
      <c r="B2000" t="s">
        <v>2062</v>
      </c>
      <c r="C2000" t="s">
        <v>53</v>
      </c>
      <c r="D2000" t="s">
        <v>78</v>
      </c>
      <c r="E2000">
        <v>3813.4</v>
      </c>
      <c r="F2000" t="s">
        <v>31</v>
      </c>
      <c r="G2000">
        <v>7949.45</v>
      </c>
      <c r="H2000">
        <v>4136.05</v>
      </c>
      <c r="I2000">
        <v>15</v>
      </c>
      <c r="J2000">
        <v>5</v>
      </c>
      <c r="K2000" t="str">
        <f>TEXT(discount_impact_on_profit_2000_rows[[#This Row],[order date]],"mmmm")</f>
        <v>February</v>
      </c>
      <c r="L2000">
        <f>YEAR(discount_impact_on_profit_2000_rows[[#This Row],[order date]])</f>
        <v>2024</v>
      </c>
      <c r="M2000" t="str">
        <f>IF(discount_impact_on_profit_2000_rows[[#This Row],[Discount %]]=0,"Zero Discount",IF(discount_impact_on_profit_2000_rows[[#This Row],[Discount %]]&lt;=10,"Low Discount","High Discount"))</f>
        <v>High Discount</v>
      </c>
      <c r="N2000" t="str">
        <f t="shared" si="31"/>
        <v>10-20%</v>
      </c>
    </row>
    <row r="2001" spans="1:14">
      <c r="A2001" s="1">
        <v>45425</v>
      </c>
      <c r="B2001" t="s">
        <v>2063</v>
      </c>
      <c r="C2001" t="s">
        <v>53</v>
      </c>
      <c r="D2001" t="s">
        <v>54</v>
      </c>
      <c r="E2001">
        <v>3624.59</v>
      </c>
      <c r="F2001" t="s">
        <v>23</v>
      </c>
      <c r="G2001">
        <v>5735.23</v>
      </c>
      <c r="H2001">
        <v>2110.64</v>
      </c>
      <c r="I2001">
        <v>15</v>
      </c>
      <c r="J2001">
        <v>2</v>
      </c>
      <c r="K2001" t="str">
        <f>TEXT(discount_impact_on_profit_2000_rows[[#This Row],[order date]],"mmmm")</f>
        <v>May</v>
      </c>
      <c r="L2001">
        <f>YEAR(discount_impact_on_profit_2000_rows[[#This Row],[order date]])</f>
        <v>2024</v>
      </c>
      <c r="M2001" t="str">
        <f>IF(discount_impact_on_profit_2000_rows[[#This Row],[Discount %]]=0,"Zero Discount",IF(discount_impact_on_profit_2000_rows[[#This Row],[Discount %]]&lt;=10,"Low Discount","High Discount"))</f>
        <v>High Discount</v>
      </c>
      <c r="N2001" t="str">
        <f t="shared" si="31"/>
        <v>10-20%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3A1A-2CD1-4DC3-9C58-7D1F73AB3425}">
  <dimension ref="A6:E7"/>
  <sheetViews>
    <sheetView workbookViewId="0">
      <selection activeCell="C6" sqref="C6"/>
    </sheetView>
  </sheetViews>
  <sheetFormatPr defaultRowHeight="14.4"/>
  <cols>
    <col min="1" max="2" width="10" bestFit="1" customWidth="1"/>
    <col min="3" max="3" width="13.5546875" bestFit="1" customWidth="1"/>
    <col min="4" max="4" width="14.88671875" bestFit="1" customWidth="1"/>
    <col min="5" max="5" width="12" bestFit="1" customWidth="1"/>
    <col min="6" max="6" width="14.44140625" bestFit="1" customWidth="1"/>
  </cols>
  <sheetData>
    <row r="6" spans="1:5">
      <c r="A6" t="s">
        <v>2064</v>
      </c>
      <c r="B6" t="s">
        <v>2065</v>
      </c>
      <c r="C6" t="s">
        <v>2066</v>
      </c>
      <c r="D6" t="s">
        <v>2067</v>
      </c>
      <c r="E6" t="s">
        <v>2069</v>
      </c>
    </row>
    <row r="7" spans="1:5">
      <c r="A7" s="4">
        <v>25002763.460000001</v>
      </c>
      <c r="B7" s="4">
        <v>5592264.1100000003</v>
      </c>
      <c r="C7" s="7">
        <v>11.4855</v>
      </c>
      <c r="D7" s="4">
        <v>19410499.350000001</v>
      </c>
      <c r="E7" s="7">
        <v>5964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B3E9-7563-4234-B680-E022EA7FA4FF}">
  <dimension ref="A1:E45"/>
  <sheetViews>
    <sheetView workbookViewId="0">
      <selection activeCell="A34" sqref="A34"/>
    </sheetView>
  </sheetViews>
  <sheetFormatPr defaultRowHeight="14.4"/>
  <cols>
    <col min="1" max="1" width="19.88671875" bestFit="1" customWidth="1"/>
    <col min="2" max="2" width="10.5546875" bestFit="1" customWidth="1"/>
    <col min="3" max="3" width="20.5546875" bestFit="1" customWidth="1"/>
    <col min="4" max="5" width="10.5546875" bestFit="1" customWidth="1"/>
    <col min="6" max="15" width="15.5546875" bestFit="1" customWidth="1"/>
    <col min="16" max="16" width="10.5546875" bestFit="1" customWidth="1"/>
    <col min="17" max="39" width="15.5546875" bestFit="1" customWidth="1"/>
    <col min="40" max="40" width="10.5546875" bestFit="1" customWidth="1"/>
    <col min="41" max="927" width="15.5546875" bestFit="1" customWidth="1"/>
    <col min="928" max="928" width="10.5546875" bestFit="1" customWidth="1"/>
  </cols>
  <sheetData>
    <row r="1" spans="1:5">
      <c r="C1" s="2" t="s">
        <v>2087</v>
      </c>
    </row>
    <row r="2" spans="1:5">
      <c r="C2" s="3" t="s">
        <v>28</v>
      </c>
    </row>
    <row r="3" spans="1:5">
      <c r="A3" s="2" t="s">
        <v>2085</v>
      </c>
      <c r="B3" s="2" t="s">
        <v>2086</v>
      </c>
      <c r="C3" s="3" t="s">
        <v>113</v>
      </c>
      <c r="D3" s="2" t="s">
        <v>2090</v>
      </c>
      <c r="E3" s="2" t="s">
        <v>2091</v>
      </c>
    </row>
    <row r="4" spans="1:5">
      <c r="A4" s="3" t="s">
        <v>11</v>
      </c>
      <c r="B4" s="3" t="s">
        <v>13</v>
      </c>
      <c r="C4" s="3" t="s">
        <v>50</v>
      </c>
      <c r="D4" s="3" t="s">
        <v>2070</v>
      </c>
      <c r="E4" s="3" t="s">
        <v>2073</v>
      </c>
    </row>
    <row r="5" spans="1:5">
      <c r="A5" s="3" t="s">
        <v>53</v>
      </c>
      <c r="B5" s="3" t="s">
        <v>23</v>
      </c>
      <c r="C5" s="3" t="s">
        <v>109</v>
      </c>
      <c r="D5" s="3" t="s">
        <v>2071</v>
      </c>
      <c r="E5" s="3" t="s">
        <v>2074</v>
      </c>
    </row>
    <row r="6" spans="1:5">
      <c r="A6" s="3" t="s">
        <v>21</v>
      </c>
      <c r="B6" s="3" t="s">
        <v>31</v>
      </c>
      <c r="C6" s="3" t="s">
        <v>197</v>
      </c>
      <c r="D6" s="3" t="s">
        <v>2072</v>
      </c>
      <c r="E6" s="3" t="s">
        <v>2075</v>
      </c>
    </row>
    <row r="7" spans="1:5">
      <c r="A7" s="3" t="s">
        <v>33</v>
      </c>
      <c r="B7" s="3" t="s">
        <v>26</v>
      </c>
      <c r="C7" s="3" t="s">
        <v>59</v>
      </c>
      <c r="D7" s="3" t="s">
        <v>2068</v>
      </c>
      <c r="E7" s="3" t="s">
        <v>2076</v>
      </c>
    </row>
    <row r="8" spans="1:5">
      <c r="A8" s="3" t="s">
        <v>15</v>
      </c>
      <c r="B8" s="3" t="s">
        <v>36</v>
      </c>
      <c r="C8" s="3" t="s">
        <v>84</v>
      </c>
      <c r="E8" s="3" t="s">
        <v>2077</v>
      </c>
    </row>
    <row r="9" spans="1:5">
      <c r="A9" s="3" t="s">
        <v>18</v>
      </c>
      <c r="B9" s="3" t="s">
        <v>2068</v>
      </c>
      <c r="C9" s="3" t="s">
        <v>203</v>
      </c>
      <c r="E9" s="3" t="s">
        <v>2078</v>
      </c>
    </row>
    <row r="10" spans="1:5">
      <c r="A10" s="3" t="s">
        <v>2068</v>
      </c>
      <c r="C10" s="3" t="s">
        <v>46</v>
      </c>
      <c r="E10" s="3" t="s">
        <v>2079</v>
      </c>
    </row>
    <row r="11" spans="1:5">
      <c r="C11" s="3" t="s">
        <v>70</v>
      </c>
      <c r="E11" s="3" t="s">
        <v>2080</v>
      </c>
    </row>
    <row r="12" spans="1:5">
      <c r="C12" s="3" t="s">
        <v>104</v>
      </c>
      <c r="E12" s="3" t="s">
        <v>2081</v>
      </c>
    </row>
    <row r="13" spans="1:5">
      <c r="C13" s="3" t="s">
        <v>40</v>
      </c>
      <c r="E13" s="3" t="s">
        <v>2082</v>
      </c>
    </row>
    <row r="14" spans="1:5">
      <c r="C14" s="3" t="s">
        <v>25</v>
      </c>
      <c r="E14" s="3" t="s">
        <v>2083</v>
      </c>
    </row>
    <row r="15" spans="1:5">
      <c r="C15" s="3" t="s">
        <v>102</v>
      </c>
      <c r="E15" s="3" t="s">
        <v>2084</v>
      </c>
    </row>
    <row r="16" spans="1:5">
      <c r="C16" s="3" t="s">
        <v>80</v>
      </c>
      <c r="E16" s="3" t="s">
        <v>2068</v>
      </c>
    </row>
    <row r="17" spans="3:3">
      <c r="C17" s="3" t="s">
        <v>88</v>
      </c>
    </row>
    <row r="18" spans="3:3">
      <c r="C18" s="3" t="s">
        <v>34</v>
      </c>
    </row>
    <row r="19" spans="3:3">
      <c r="C19" s="3" t="s">
        <v>95</v>
      </c>
    </row>
    <row r="20" spans="3:3">
      <c r="C20" s="3" t="s">
        <v>30</v>
      </c>
    </row>
    <row r="21" spans="3:3">
      <c r="C21" s="3" t="s">
        <v>38</v>
      </c>
    </row>
    <row r="22" spans="3:3">
      <c r="C22" s="3" t="s">
        <v>16</v>
      </c>
    </row>
    <row r="23" spans="3:3">
      <c r="C23" s="3" t="s">
        <v>78</v>
      </c>
    </row>
    <row r="24" spans="3:3">
      <c r="C24" s="3" t="s">
        <v>54</v>
      </c>
    </row>
    <row r="25" spans="3:3">
      <c r="C25" s="3" t="s">
        <v>57</v>
      </c>
    </row>
    <row r="26" spans="3:3">
      <c r="C26" s="3" t="s">
        <v>12</v>
      </c>
    </row>
    <row r="27" spans="3:3">
      <c r="C27" s="3" t="s">
        <v>99</v>
      </c>
    </row>
    <row r="28" spans="3:3">
      <c r="C28" s="3" t="s">
        <v>188</v>
      </c>
    </row>
    <row r="29" spans="3:3">
      <c r="C29" s="3" t="s">
        <v>92</v>
      </c>
    </row>
    <row r="30" spans="3:3">
      <c r="C30" s="3" t="s">
        <v>207</v>
      </c>
    </row>
    <row r="31" spans="3:3">
      <c r="C31" s="3" t="s">
        <v>82</v>
      </c>
    </row>
    <row r="32" spans="3:3">
      <c r="C32" s="3" t="s">
        <v>140</v>
      </c>
    </row>
    <row r="33" spans="3:3">
      <c r="C33" s="3" t="s">
        <v>86</v>
      </c>
    </row>
    <row r="34" spans="3:3">
      <c r="C34" s="3" t="s">
        <v>123</v>
      </c>
    </row>
    <row r="35" spans="3:3">
      <c r="C35" s="3" t="s">
        <v>152</v>
      </c>
    </row>
    <row r="36" spans="3:3">
      <c r="C36" s="3" t="s">
        <v>273</v>
      </c>
    </row>
    <row r="37" spans="3:3">
      <c r="C37" s="3" t="s">
        <v>64</v>
      </c>
    </row>
    <row r="38" spans="3:3">
      <c r="C38" s="3" t="s">
        <v>97</v>
      </c>
    </row>
    <row r="39" spans="3:3">
      <c r="C39" s="3" t="s">
        <v>42</v>
      </c>
    </row>
    <row r="40" spans="3:3">
      <c r="C40" s="3" t="s">
        <v>44</v>
      </c>
    </row>
    <row r="41" spans="3:3">
      <c r="C41" s="3" t="s">
        <v>76</v>
      </c>
    </row>
    <row r="42" spans="3:3">
      <c r="C42" s="3" t="s">
        <v>154</v>
      </c>
    </row>
    <row r="43" spans="3:3">
      <c r="C43" s="3" t="s">
        <v>19</v>
      </c>
    </row>
    <row r="44" spans="3:3">
      <c r="C44" s="3" t="s">
        <v>22</v>
      </c>
    </row>
    <row r="45" spans="3:3">
      <c r="C45" s="3" t="s">
        <v>2068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A140-2A02-447D-A19F-905F09FB550C}">
  <dimension ref="A1:J55"/>
  <sheetViews>
    <sheetView workbookViewId="0">
      <selection activeCell="B15" sqref="B15"/>
    </sheetView>
  </sheetViews>
  <sheetFormatPr defaultRowHeight="14.4"/>
  <cols>
    <col min="1" max="1" width="12.44140625" bestFit="1" customWidth="1"/>
    <col min="2" max="2" width="11.5546875" bestFit="1" customWidth="1"/>
    <col min="3" max="3" width="8" bestFit="1" customWidth="1"/>
    <col min="5" max="5" width="12.44140625" bestFit="1" customWidth="1"/>
    <col min="6" max="6" width="11.5546875" bestFit="1" customWidth="1"/>
    <col min="7" max="7" width="19.88671875" bestFit="1" customWidth="1"/>
    <col min="8" max="8" width="15.5546875" bestFit="1" customWidth="1"/>
    <col min="9" max="10" width="11.5546875" bestFit="1" customWidth="1"/>
    <col min="11" max="11" width="7" bestFit="1" customWidth="1"/>
    <col min="12" max="12" width="8" bestFit="1" customWidth="1"/>
    <col min="13" max="13" width="7" bestFit="1" customWidth="1"/>
    <col min="14" max="14" width="8" bestFit="1" customWidth="1"/>
    <col min="15" max="15" width="10" bestFit="1" customWidth="1"/>
    <col min="16" max="16" width="7" bestFit="1" customWidth="1"/>
    <col min="17" max="17" width="8" bestFit="1" customWidth="1"/>
    <col min="18" max="19" width="7" bestFit="1" customWidth="1"/>
    <col min="20" max="20" width="10" bestFit="1" customWidth="1"/>
    <col min="21" max="23" width="7" bestFit="1" customWidth="1"/>
    <col min="24" max="24" width="5" bestFit="1" customWidth="1"/>
    <col min="25" max="25" width="8" bestFit="1" customWidth="1"/>
    <col min="26" max="26" width="11" bestFit="1" customWidth="1"/>
  </cols>
  <sheetData>
    <row r="1" spans="1:10">
      <c r="G1" s="2" t="s">
        <v>2095</v>
      </c>
      <c r="H1" t="s">
        <v>2097</v>
      </c>
    </row>
    <row r="3" spans="1:10">
      <c r="A3" s="2" t="s">
        <v>2094</v>
      </c>
      <c r="B3" t="s">
        <v>2102</v>
      </c>
      <c r="C3" t="s">
        <v>2101</v>
      </c>
      <c r="E3" s="2" t="s">
        <v>8</v>
      </c>
      <c r="G3" s="2" t="s">
        <v>2094</v>
      </c>
      <c r="H3" t="s">
        <v>2093</v>
      </c>
      <c r="I3" t="s">
        <v>2092</v>
      </c>
    </row>
    <row r="4" spans="1:10">
      <c r="A4" s="3" t="s">
        <v>13</v>
      </c>
      <c r="B4" s="6">
        <v>3376114.85</v>
      </c>
      <c r="C4" s="6">
        <v>739680.92</v>
      </c>
      <c r="E4" s="3">
        <v>0</v>
      </c>
      <c r="G4" s="3" t="s">
        <v>11</v>
      </c>
      <c r="H4" s="6">
        <v>827172.97999999986</v>
      </c>
      <c r="I4" s="6">
        <v>378089.25000000012</v>
      </c>
    </row>
    <row r="5" spans="1:10">
      <c r="A5" s="3" t="s">
        <v>23</v>
      </c>
      <c r="B5" s="6">
        <v>3767835.59</v>
      </c>
      <c r="C5" s="6">
        <v>823148.14</v>
      </c>
      <c r="E5" s="3">
        <v>5</v>
      </c>
      <c r="G5" s="3" t="s">
        <v>53</v>
      </c>
      <c r="H5" s="6">
        <v>1367139.419999999</v>
      </c>
      <c r="I5" s="6">
        <v>613681.8399999995</v>
      </c>
    </row>
    <row r="6" spans="1:10">
      <c r="A6" s="3" t="s">
        <v>31</v>
      </c>
      <c r="B6" s="6">
        <v>5433119.2800000003</v>
      </c>
      <c r="C6" s="6">
        <v>1173891.3500000001</v>
      </c>
      <c r="E6" s="3">
        <v>10</v>
      </c>
      <c r="G6" s="3" t="s">
        <v>21</v>
      </c>
      <c r="H6" s="6">
        <v>5766806.2000000011</v>
      </c>
      <c r="I6" s="6">
        <v>1136830.5899999999</v>
      </c>
    </row>
    <row r="7" spans="1:10">
      <c r="A7" s="3" t="s">
        <v>26</v>
      </c>
      <c r="B7" s="6">
        <v>6398788.3600000003</v>
      </c>
      <c r="C7" s="6">
        <v>1551180.36</v>
      </c>
      <c r="E7" s="3">
        <v>14</v>
      </c>
      <c r="G7" s="3" t="s">
        <v>33</v>
      </c>
      <c r="H7" s="6">
        <v>4408965.6700000009</v>
      </c>
      <c r="I7" s="6">
        <v>1254779.1899999995</v>
      </c>
    </row>
    <row r="8" spans="1:10">
      <c r="A8" s="3" t="s">
        <v>36</v>
      </c>
      <c r="B8" s="6">
        <v>6026905.3799999999</v>
      </c>
      <c r="C8" s="6">
        <v>1304363.3400000001</v>
      </c>
      <c r="E8" s="3">
        <v>15</v>
      </c>
      <c r="G8" s="3" t="s">
        <v>15</v>
      </c>
      <c r="H8" s="6">
        <v>3393741.3599999994</v>
      </c>
      <c r="I8" s="6">
        <v>821847.47</v>
      </c>
    </row>
    <row r="9" spans="1:10">
      <c r="A9" s="3" t="s">
        <v>2068</v>
      </c>
      <c r="B9" s="6">
        <v>25002763.460000001</v>
      </c>
      <c r="C9" s="6">
        <v>5592264.1100000003</v>
      </c>
      <c r="E9" s="3">
        <v>16</v>
      </c>
      <c r="G9" s="3" t="s">
        <v>18</v>
      </c>
      <c r="H9" s="6">
        <v>383397.67000000027</v>
      </c>
      <c r="I9" s="6">
        <v>150702.11000000002</v>
      </c>
    </row>
    <row r="10" spans="1:10">
      <c r="E10" s="3">
        <v>17</v>
      </c>
      <c r="G10" s="3" t="s">
        <v>2068</v>
      </c>
      <c r="H10" s="6">
        <v>16147223.299999999</v>
      </c>
      <c r="I10" s="6">
        <v>4355930.4499999993</v>
      </c>
    </row>
    <row r="11" spans="1:10">
      <c r="A11" s="2" t="s">
        <v>2094</v>
      </c>
      <c r="B11" t="s">
        <v>2093</v>
      </c>
      <c r="C11" t="s">
        <v>2092</v>
      </c>
      <c r="E11" s="3">
        <v>18</v>
      </c>
    </row>
    <row r="12" spans="1:10">
      <c r="A12" s="3" t="s">
        <v>11</v>
      </c>
      <c r="B12" s="6">
        <v>1405965.07</v>
      </c>
      <c r="C12" s="6">
        <v>588309.86</v>
      </c>
      <c r="E12" s="3">
        <v>19</v>
      </c>
    </row>
    <row r="13" spans="1:10">
      <c r="A13" s="3" t="s">
        <v>53</v>
      </c>
      <c r="B13" s="6">
        <v>2064212.71</v>
      </c>
      <c r="C13" s="6">
        <v>856027.68</v>
      </c>
      <c r="E13" s="3">
        <v>20</v>
      </c>
      <c r="H13" s="2" t="s">
        <v>2094</v>
      </c>
      <c r="I13" t="s">
        <v>2093</v>
      </c>
      <c r="J13" t="s">
        <v>2092</v>
      </c>
    </row>
    <row r="14" spans="1:10">
      <c r="A14" s="3" t="s">
        <v>21</v>
      </c>
      <c r="B14" s="6">
        <v>9246602.8000000007</v>
      </c>
      <c r="C14" s="6">
        <v>1355175.19</v>
      </c>
      <c r="E14" s="3">
        <v>21</v>
      </c>
      <c r="H14" s="3" t="s">
        <v>2098</v>
      </c>
      <c r="I14" s="6">
        <v>16147223.300000023</v>
      </c>
      <c r="J14" s="6">
        <v>4355930.4500000011</v>
      </c>
    </row>
    <row r="15" spans="1:10">
      <c r="A15" s="3" t="s">
        <v>33</v>
      </c>
      <c r="B15" s="6">
        <v>6640423.7999999998</v>
      </c>
      <c r="C15" s="6">
        <v>1562789.33</v>
      </c>
      <c r="E15" s="3">
        <v>22</v>
      </c>
      <c r="H15" s="3" t="s">
        <v>2099</v>
      </c>
      <c r="I15" s="6">
        <v>6770284.7999999998</v>
      </c>
      <c r="J15" s="6">
        <v>1027426.57</v>
      </c>
    </row>
    <row r="16" spans="1:10">
      <c r="A16" s="3" t="s">
        <v>15</v>
      </c>
      <c r="B16" s="6">
        <v>5032369</v>
      </c>
      <c r="C16" s="6">
        <v>1014555.48</v>
      </c>
      <c r="E16" s="3">
        <v>23</v>
      </c>
      <c r="H16" s="3" t="s">
        <v>2100</v>
      </c>
      <c r="I16" s="6">
        <v>2085255.3600000003</v>
      </c>
      <c r="J16" s="6">
        <v>208907.08999999994</v>
      </c>
    </row>
    <row r="17" spans="1:10">
      <c r="A17" s="3" t="s">
        <v>18</v>
      </c>
      <c r="B17" s="6">
        <v>613190.07999999996</v>
      </c>
      <c r="C17" s="6">
        <v>215406.57</v>
      </c>
      <c r="E17" s="3">
        <v>24</v>
      </c>
      <c r="H17" s="3" t="s">
        <v>2068</v>
      </c>
      <c r="I17" s="6">
        <v>25002763.460000023</v>
      </c>
      <c r="J17" s="6">
        <v>5592264.1100000013</v>
      </c>
    </row>
    <row r="18" spans="1:10">
      <c r="A18" s="3" t="s">
        <v>2068</v>
      </c>
      <c r="B18" s="6">
        <v>25002763.460000001</v>
      </c>
      <c r="C18" s="6">
        <v>5592264.1100000003</v>
      </c>
      <c r="E18" s="3">
        <v>25</v>
      </c>
    </row>
    <row r="19" spans="1:10">
      <c r="E19" s="3">
        <v>26</v>
      </c>
    </row>
    <row r="20" spans="1:10">
      <c r="A20" s="2" t="s">
        <v>2094</v>
      </c>
      <c r="B20" t="s">
        <v>2102</v>
      </c>
      <c r="C20" t="s">
        <v>2101</v>
      </c>
      <c r="E20" s="3">
        <v>27</v>
      </c>
    </row>
    <row r="21" spans="1:10">
      <c r="A21" s="3" t="s">
        <v>2073</v>
      </c>
      <c r="B21" s="6">
        <v>1926915.84</v>
      </c>
      <c r="C21" s="6">
        <v>481376.66</v>
      </c>
      <c r="E21" s="3">
        <v>28</v>
      </c>
    </row>
    <row r="22" spans="1:10">
      <c r="A22" s="3" t="s">
        <v>2074</v>
      </c>
      <c r="B22" s="6">
        <v>1895508.36</v>
      </c>
      <c r="C22" s="6">
        <v>440772.51</v>
      </c>
      <c r="E22" s="3">
        <v>29</v>
      </c>
    </row>
    <row r="23" spans="1:10">
      <c r="A23" s="3" t="s">
        <v>2075</v>
      </c>
      <c r="B23" s="6">
        <v>2513205.98</v>
      </c>
      <c r="C23" s="6">
        <v>601653.88</v>
      </c>
      <c r="E23" s="3">
        <v>30</v>
      </c>
    </row>
    <row r="24" spans="1:10">
      <c r="A24" s="3" t="s">
        <v>2076</v>
      </c>
      <c r="B24" s="6">
        <v>1699823.06</v>
      </c>
      <c r="C24" s="6">
        <v>411578.34</v>
      </c>
      <c r="E24" s="3" t="s">
        <v>2068</v>
      </c>
    </row>
    <row r="25" spans="1:10">
      <c r="A25" s="3" t="s">
        <v>2077</v>
      </c>
      <c r="B25" s="6">
        <v>1780396.31</v>
      </c>
      <c r="C25" s="6">
        <v>365964.96</v>
      </c>
    </row>
    <row r="26" spans="1:10">
      <c r="A26" s="3" t="s">
        <v>2078</v>
      </c>
      <c r="B26" s="6">
        <v>2251063.5099999998</v>
      </c>
      <c r="C26" s="6">
        <v>577098.36</v>
      </c>
    </row>
    <row r="27" spans="1:10">
      <c r="A27" s="3" t="s">
        <v>2079</v>
      </c>
      <c r="B27" s="6">
        <v>2298692.5</v>
      </c>
      <c r="C27" s="6">
        <v>459786.14</v>
      </c>
    </row>
    <row r="28" spans="1:10">
      <c r="A28" s="3" t="s">
        <v>2080</v>
      </c>
      <c r="B28" s="6">
        <v>2039425.78</v>
      </c>
      <c r="C28" s="6">
        <v>495839.92</v>
      </c>
    </row>
    <row r="29" spans="1:10">
      <c r="A29" s="3" t="s">
        <v>2081</v>
      </c>
      <c r="B29" s="6">
        <v>2500793.1800000002</v>
      </c>
      <c r="C29" s="6">
        <v>473314.96</v>
      </c>
    </row>
    <row r="30" spans="1:10">
      <c r="A30" s="3" t="s">
        <v>2082</v>
      </c>
      <c r="B30" s="6">
        <v>2315977.21</v>
      </c>
      <c r="C30" s="6">
        <v>483853.42</v>
      </c>
    </row>
    <row r="31" spans="1:10">
      <c r="A31" s="3" t="s">
        <v>2083</v>
      </c>
      <c r="B31" s="6">
        <v>1886240.1</v>
      </c>
      <c r="C31" s="6">
        <v>384820.56</v>
      </c>
    </row>
    <row r="32" spans="1:10">
      <c r="A32" s="3" t="s">
        <v>2084</v>
      </c>
      <c r="B32" s="6">
        <v>1894721.63</v>
      </c>
      <c r="C32" s="6">
        <v>416204.4</v>
      </c>
    </row>
    <row r="33" spans="1:4">
      <c r="A33" s="3" t="s">
        <v>2068</v>
      </c>
      <c r="B33" s="6">
        <v>25002763.460000001</v>
      </c>
      <c r="C33" s="6">
        <v>5592264.1100000003</v>
      </c>
    </row>
    <row r="35" spans="1:4">
      <c r="A35" s="2" t="s">
        <v>2094</v>
      </c>
      <c r="B35" t="s">
        <v>2092</v>
      </c>
    </row>
    <row r="36" spans="1:4">
      <c r="A36" s="3">
        <v>0</v>
      </c>
      <c r="B36" s="6">
        <v>1616668.18</v>
      </c>
      <c r="C36" s="3">
        <v>0</v>
      </c>
      <c r="D36">
        <v>1616668.18</v>
      </c>
    </row>
    <row r="37" spans="1:4">
      <c r="A37" s="3">
        <v>5</v>
      </c>
      <c r="B37" s="6">
        <v>1352843.35</v>
      </c>
      <c r="C37" s="3">
        <v>5</v>
      </c>
      <c r="D37">
        <v>1352843.35</v>
      </c>
    </row>
    <row r="38" spans="1:4">
      <c r="A38" s="3">
        <v>10</v>
      </c>
      <c r="B38" s="6">
        <v>1386418.92</v>
      </c>
      <c r="C38" s="3">
        <v>10</v>
      </c>
      <c r="D38">
        <v>1386418.92</v>
      </c>
    </row>
    <row r="39" spans="1:4">
      <c r="A39" s="3">
        <v>14</v>
      </c>
      <c r="B39" s="6">
        <v>121.49</v>
      </c>
      <c r="C39" s="3">
        <v>14</v>
      </c>
      <c r="D39">
        <v>121.49</v>
      </c>
    </row>
    <row r="40" spans="1:4">
      <c r="A40" s="3">
        <v>15</v>
      </c>
      <c r="B40" s="6">
        <v>597079.77</v>
      </c>
      <c r="C40" s="3">
        <v>15</v>
      </c>
      <c r="D40">
        <v>597079.77</v>
      </c>
    </row>
    <row r="41" spans="1:4">
      <c r="A41" s="3">
        <v>16</v>
      </c>
      <c r="B41" s="6">
        <v>390.81</v>
      </c>
      <c r="C41" s="3">
        <v>16</v>
      </c>
      <c r="D41">
        <v>390.81</v>
      </c>
    </row>
    <row r="42" spans="1:4">
      <c r="A42" s="3">
        <v>17</v>
      </c>
      <c r="B42" s="6">
        <v>6221.71</v>
      </c>
      <c r="C42" s="3">
        <v>17</v>
      </c>
      <c r="D42">
        <v>6221.71</v>
      </c>
    </row>
    <row r="43" spans="1:4">
      <c r="A43" s="3">
        <v>18</v>
      </c>
      <c r="B43" s="6">
        <v>388.92</v>
      </c>
      <c r="C43" s="3">
        <v>18</v>
      </c>
      <c r="D43">
        <v>388.92</v>
      </c>
    </row>
    <row r="44" spans="1:4">
      <c r="A44" s="3">
        <v>19</v>
      </c>
      <c r="B44" s="6">
        <v>2449.54</v>
      </c>
      <c r="C44" s="3">
        <v>19</v>
      </c>
      <c r="D44">
        <v>2449.54</v>
      </c>
    </row>
    <row r="45" spans="1:4">
      <c r="A45" s="3">
        <v>20</v>
      </c>
      <c r="B45" s="6">
        <v>420774.33</v>
      </c>
      <c r="C45" s="3">
        <v>20</v>
      </c>
      <c r="D45">
        <v>420774.33</v>
      </c>
    </row>
    <row r="46" spans="1:4">
      <c r="A46" s="3" t="s">
        <v>2068</v>
      </c>
      <c r="B46" s="6">
        <v>5383357.0199999996</v>
      </c>
      <c r="C46" s="3">
        <v>21</v>
      </c>
      <c r="D46">
        <v>460.25</v>
      </c>
    </row>
    <row r="47" spans="1:4">
      <c r="C47" s="3">
        <v>22</v>
      </c>
      <c r="D47">
        <v>1781.78</v>
      </c>
    </row>
    <row r="48" spans="1:4">
      <c r="C48" s="3">
        <v>23</v>
      </c>
      <c r="D48">
        <v>818.28</v>
      </c>
    </row>
    <row r="49" spans="3:4">
      <c r="C49" s="3">
        <v>24</v>
      </c>
      <c r="D49">
        <v>1276.0999999999999</v>
      </c>
    </row>
    <row r="50" spans="3:4">
      <c r="C50" s="3">
        <v>25</v>
      </c>
      <c r="D50">
        <v>163974.51999999999</v>
      </c>
    </row>
    <row r="51" spans="3:4">
      <c r="C51" s="3">
        <v>26</v>
      </c>
      <c r="D51">
        <v>133.91999999999999</v>
      </c>
    </row>
    <row r="52" spans="3:4">
      <c r="C52" s="3">
        <v>27</v>
      </c>
      <c r="D52">
        <v>181.35</v>
      </c>
    </row>
    <row r="53" spans="3:4">
      <c r="C53" s="3">
        <v>28</v>
      </c>
      <c r="D53">
        <v>151.69</v>
      </c>
    </row>
    <row r="54" spans="3:4">
      <c r="C54" s="3">
        <v>29</v>
      </c>
      <c r="D54">
        <v>25.8</v>
      </c>
    </row>
    <row r="55" spans="3:4">
      <c r="C55" s="3">
        <v>30</v>
      </c>
      <c r="D55">
        <v>40103.4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7B97-D9C1-4AD9-9A95-1997805C5281}">
  <dimension ref="I44:T46"/>
  <sheetViews>
    <sheetView tabSelected="1" zoomScaleNormal="100" workbookViewId="0">
      <selection activeCell="M44" sqref="M44"/>
    </sheetView>
  </sheetViews>
  <sheetFormatPr defaultRowHeight="14.4"/>
  <sheetData>
    <row r="44" spans="9:20">
      <c r="I44" t="s">
        <v>2103</v>
      </c>
    </row>
    <row r="46" spans="9:20">
      <c r="T46" t="s">
        <v>2103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469D0F-B828-4F51-A381-0BBDB652D9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KPI</vt:lpstr>
      <vt:lpstr>Slicers</vt:lpstr>
      <vt:lpstr>Analayz</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sheik farhaan</dc:creator>
  <cp:lastModifiedBy>sheik farhaan</cp:lastModifiedBy>
  <dcterms:created xsi:type="dcterms:W3CDTF">2026-10-23T15:12:51Z</dcterms:created>
  <dcterms:modified xsi:type="dcterms:W3CDTF">2026-10-26T15:06:10Z</dcterms:modified>
</cp:coreProperties>
</file>